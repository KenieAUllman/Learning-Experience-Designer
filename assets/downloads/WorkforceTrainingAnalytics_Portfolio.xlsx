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metadata1.xml" ContentType="application/vnd.openxmlformats-officedocument.spreadsheetml.sheetMetadata+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worksheets/sheet3.xml" ContentType="application/vnd.openxmlformats-officedocument.spreadsheetml.worksheet+xml"/>
  <Override PartName="/xl/drawings/drawing2.xml" ContentType="application/vnd.openxmlformats-officedocument.drawing+xml"/>
  <Override PartName="/xl/drawings/charts/chart4.xml" ContentType="application/vnd.openxmlformats-officedocument.drawingml.chart+xml"/>
  <Override PartName="/xl/drawings/charts/chart5.xml" ContentType="application/vnd.openxmlformats-officedocument.drawingml.chart+xml"/>
  <Override PartName="/xl/worksheets/sheet4.xml" ContentType="application/vnd.openxmlformats-officedocument.spreadsheetml.worksheet+xml"/>
  <Override PartName="/xl/drawings/drawing3.xml" ContentType="application/vnd.openxmlformats-officedocument.drawing+xml"/>
  <Override PartName="/xl/drawings/charts/chart6.xml" ContentType="application/vnd.openxmlformats-officedocument.drawingml.chart+xml"/>
  <Override PartName="/xl/worksheets/sheet5.xml" ContentType="application/vnd.openxmlformats-officedocument.spreadsheetml.worksheet+xml"/>
  <Override PartName="/xl/drawings/drawing4.xml" ContentType="application/vnd.openxmlformats-officedocument.drawing+xml"/>
  <Override PartName="/xl/drawings/charts/chart7.xml" ContentType="application/vnd.openxmlformats-officedocument.drawingml.chart+xml"/>
  <Override PartName="/xl/worksheets/sheet6.xml" ContentType="application/vnd.openxmlformats-officedocument.spreadsheetml.worksheet+xml"/>
  <Override PartName="/xl/drawings/drawing5.xml" ContentType="application/vnd.openxmlformats-officedocument.drawing+xml"/>
  <Override PartName="/xl/drawings/charts/chart8.xml" ContentType="application/vnd.openxmlformats-officedocument.drawingml.chart+xml"/>
  <Override PartName="/xl/worksheets/sheet7.xml" ContentType="application/vnd.openxmlformats-officedocument.spreadsheetml.worksheet+xml"/>
  <Override PartName="/xl/drawings/drawing6.xml" ContentType="application/vnd.openxmlformats-officedocument.drawing+xml"/>
  <Override PartName="/xl/drawings/charts/chart9.xml" ContentType="application/vnd.openxmlformats-officedocument.drawingml.chart+xml"/>
  <Override PartName="/xl/worksheets/sheet8.xml" ContentType="application/vnd.openxmlformats-officedocument.spreadsheetml.worksheet+xml"/>
  <Override PartName="/xl/tables/table1.xml" ContentType="application/vnd.openxmlformats-officedocument.spreadsheetml.table+xml"/>
  <Override PartName="/xl/worksheets/sheet9.xml" ContentType="application/vnd.openxmlformats-officedocument.spreadsheetml.worksheet+xml"/>
  <Override PartName="/xl/drawings/drawing7.xml" ContentType="application/vnd.openxmlformats-officedocument.drawing+xml"/>
  <Override PartName="/xl/drawings/charts/chart10.xml" ContentType="application/vnd.openxmlformats-officedocument.drawingml.char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8.xml" ContentType="application/vnd.openxmlformats-officedocument.drawing+xml"/>
  <Override PartName="/xl/drawings/charts/chart11.xml" ContentType="application/vnd.openxmlformats-officedocument.drawingml.chart+xml"/>
  <Override PartName="/xl/drawings/charts/chart12.xml" ContentType="application/vnd.openxmlformats-officedocument.drawingml.chart+xml"/>
  <Override PartName="/xl/worksheets/sheet13.xml" ContentType="application/vnd.openxmlformats-officedocument.spreadsheetml.worksheet+xml"/>
  <Override PartName="/xl/drawings/drawing9.xml" ContentType="application/vnd.openxmlformats-officedocument.drawing+xml"/>
  <Override PartName="/xl/drawings/charts/chart13.xml" ContentType="application/vnd.openxmlformats-officedocument.drawingml.char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30b8ce8c8a64c3d" /></Relationships>
</file>

<file path=xl/workbook.xml><?xml version="1.0" encoding="utf-8"?>
<x:workbook xmlns:x="http://schemas.openxmlformats.org/spreadsheetml/2006/main">
  <x:sheets>
    <x:sheet xmlns:r="http://schemas.openxmlformats.org/officeDocument/2006/relationships" name="Cover" sheetId="2" r:id="R6b76c214c0de4b3f"/>
    <x:sheet xmlns:r="http://schemas.openxmlformats.org/officeDocument/2006/relationships" name="Executive Dashboard" sheetId="3" r:id="R29876a84753348f3"/>
    <x:sheet xmlns:r="http://schemas.openxmlformats.org/officeDocument/2006/relationships" name="Training Outcomes" sheetId="4" r:id="Rd33ba7133040442b"/>
    <x:sheet xmlns:r="http://schemas.openxmlformats.org/officeDocument/2006/relationships" name="Retention Analysis" sheetId="5" r:id="R347e56592f30469f"/>
    <x:sheet xmlns:r="http://schemas.openxmlformats.org/officeDocument/2006/relationships" name="Assignment Impact" sheetId="6" r:id="R5c80ec045df04f1b"/>
    <x:sheet xmlns:r="http://schemas.openxmlformats.org/officeDocument/2006/relationships" name="Recruiter Analysis" sheetId="7" r:id="Rd0487c3ac44c4c1e"/>
    <x:sheet xmlns:r="http://schemas.openxmlformats.org/officeDocument/2006/relationships" name="Destination Analysis" sheetId="8" r:id="R5b9c0c705f614f73"/>
    <x:sheet xmlns:r="http://schemas.openxmlformats.org/officeDocument/2006/relationships" name="WorkforceDataset" sheetId="1" r:id="R716f74d425324e49"/>
    <x:sheet xmlns:r="http://schemas.openxmlformats.org/officeDocument/2006/relationships" name="Survival Analysis" sheetId="14" r:id="R38f90169cb5541f1"/>
    <x:sheet xmlns:r="http://schemas.openxmlformats.org/officeDocument/2006/relationships" name="Cohort Maturity" sheetId="15" r:id="R81f1e5c7e68040a1"/>
    <x:sheet xmlns:r="http://schemas.openxmlformats.org/officeDocument/2006/relationships" name="Conversion Funnel" sheetId="16" r:id="R2c95f032e4824c17"/>
    <x:sheet xmlns:r="http://schemas.openxmlformats.org/officeDocument/2006/relationships" name="Performance Controls" sheetId="17" r:id="Rf1e64c13e5db4c65"/>
    <x:sheet xmlns:r="http://schemas.openxmlformats.org/officeDocument/2006/relationships" name="Outcome Components" sheetId="18" r:id="R53e36d70ea2d48b4"/>
    <x:sheet xmlns:r="http://schemas.openxmlformats.org/officeDocument/2006/relationships" name="Methodology" sheetId="19" r:id="R9a8d2808804644fb"/>
  </x:sheets>
  <x:definedNames>
    <x:definedName name="_xlchart.v2.0" hidden="1">'Conversion Funnel'!$A$6:$A$10</x:definedName>
    <x:definedName name="_xlchart.v2.1" hidden="1">'Conversion Funnel'!$B$5</x:definedName>
    <x:definedName name="_xlchart.v2.2" hidden="1">'Conversion Funnel'!$B$6:$B$10</x:definedName>
  </x:definedNames>
</x:workbook>
</file>

<file path=xl/metadata1.xml><?xml version="1.0" encoding="utf-8"?>
<x:metadata xmlns:x="http://schemas.openxmlformats.org/spreadsheetml/2006/main">
  <x:metadataTypes count="1">
    <x:metadataType name="XLDAPR" minSupportedVersion="120000" copy="1" pasteAll="1" pasteValues="1" merge="1" splitFirst="1" rowColShift="1" clearFormats="1" clearComments="1" assign="1" coerce="1" cellMeta="1"/>
  </x:metadataTypes>
  <x:futureMetadata name="XLDAPR" count="1">
    <x:bk>
      <x:extLst>
        <x:ext uri="{bdbb8cdc-fa1e-496e-a857-3c3f30c029c3}">
          <xda:dynamicArrayProperties xmlns:xda="http://schemas.microsoft.com/office/spreadsheetml/2017/dynamicarray" fDynamic="1" fCollapsed="0"/>
        </x:ext>
      </x:extLst>
    </x:bk>
  </x:futureMetadata>
  <x:cellMetadata count="1">
    <x:bk>
      <x:rc t="1" v="0"/>
    </x:bk>
  </x:cellMetadata>
</x:metadata>
</file>

<file path=xl/sharedStrings.xml><?xml version="1.0" encoding="utf-8"?>
<x:sst xmlns:x="http://schemas.openxmlformats.org/spreadsheetml/2006/main">
  <x:si>
    <x:t xml:space="preserve">CONTENTS</x:t>
  </x:si>
  <x:si>
    <x:t xml:space="preserve">Executive Dashboard</x:t>
  </x:si>
  <x:si>
    <x:t xml:space="preserve">30-second view of program scale, success, outcomes, annual movement, and assignment impact.</x:t>
  </x:si>
  <x:si>
    <x:t xml:space="preserve">Training Outcomes</x:t>
  </x:si>
  <x:si>
    <x:t xml:space="preserve">Annual cohort performance and exclusive outcome distribution.</x:t>
  </x:si>
  <x:si>
    <x:t xml:space="preserve">Retention Analysis</x:t>
  </x:si>
  <x:si>
    <x:t xml:space="preserve">Descriptive tenure-band distribution and success context.</x:t>
  </x:si>
  <x:si>
    <x:t xml:space="preserve">Assignment Impact</x:t>
  </x:si>
  <x:si>
    <x:t xml:space="preserve">Assignment timing, success, and average tenure.</x:t>
  </x:si>
  <x:si>
    <x:t xml:space="preserve">Outcome Components</x:t>
  </x:si>
  <x:si>
    <x:t xml:space="preserve">Active, promotion, and 121+ retention components by assignment timing.</x:t>
  </x:si>
  <x:si>
    <x:t xml:space="preserve">Survival Analysis</x:t>
  </x:si>
  <x:si>
    <x:t xml:space="preserve">Kaplan–Meier retention with active employees right-censored.</x:t>
  </x:si>
  <x:si>
    <x:t xml:space="preserve">Cohort Maturity</x:t>
  </x:si>
  <x:si>
    <x:t xml:space="preserve">Maturity-adjusted 30/60/90/121-day cohort retention heatmap.</x:t>
  </x:si>
  <x:si>
    <x:t xml:space="preserve">Conversion Funnel</x:t>
  </x:si>
  <x:si>
    <x:t xml:space="preserve">Sequential conversion from training through rapid assignment, retention, and promotion.</x:t>
  </x:si>
  <x:si>
    <x:t xml:space="preserve">Recruiter Analysis</x:t>
  </x:si>
  <x:si>
    <x:t xml:space="preserve">Recruiter descriptive performance and weighted score.</x:t>
  </x:si>
  <x:si>
    <x:t xml:space="preserve">Performance Controls</x:t>
  </x:si>
  <x:si>
    <x:t xml:space="preserve">WorkforceDataset</x:t>
  </x:si>
  <x:si>
    <x:t xml:space="preserve">Clean source table plus live calculation fields used by every report.</x:t>
  </x:si>
  <x:si>
    <x:t xml:space="preserve">EXECUTIVE DASHBOARD</x:t>
  </x:si>
  <x:si>
    <x:t xml:space="preserve">Outcome</x:t>
  </x:si>
  <x:si>
    <x:t xml:space="preserve">Count</x:t>
  </x:si>
  <x:si>
    <x:t xml:space="preserve">Active</x:t>
  </x:si>
  <x:si>
    <x:t xml:space="preserve">Promoted</x:t>
  </x:si>
  <x:si>
    <x:t xml:space="preserve">TOTAL TRAINEES</x:t>
  </x:si>
  <x:si>
    <x:t xml:space="preserve">SUCCESS RATE</x:t>
  </x:si>
  <x:si>
    <x:t xml:space="preserve">ACTIVE</x:t>
  </x:si>
  <x:si>
    <x:t xml:space="preserve">PROMOTED</x:t>
  </x:si>
  <x:si>
    <x:t xml:space="preserve">Complete</x:t>
  </x:si>
  <x:si>
    <x:t xml:space="preserve">Voluntary Exit</x:t>
  </x:si>
  <x:si>
    <x:t xml:space="preserve">Terminated</x:t>
  </x:si>
  <x:si>
    <x:t xml:space="preserve">COMPLETE (121+)</x:t>
  </x:si>
  <x:si>
    <x:t xml:space="preserve">VOLUNTARY EXIT</x:t>
  </x:si>
  <x:si>
    <x:t xml:space="preserve">TERMINATED</x:t>
  </x:si>
  <x:si>
    <x:t xml:space="preserve">DNP</x:t>
  </x:si>
  <x:si>
    <x:t xml:space="preserve">Leave of Absence</x:t>
  </x:si>
  <x:si>
    <x:t xml:space="preserve">Year</x:t>
  </x:si>
  <x:si>
    <x:t xml:space="preserve">Success Rate</x:t>
  </x:si>
  <x:si>
    <x:t xml:space="preserve">Assignment Timing</x:t>
  </x:si>
  <x:si>
    <x:t xml:space="preserve">Existing Employee</x:t>
  </x:si>
  <x:si>
    <x:t xml:space="preserve">0 Days</x:t>
  </x:si>
  <x:si>
    <x:t xml:space="preserve">1-7 Days</x:t>
  </x:si>
  <x:si>
    <x:t xml:space="preserve">8-14 Days</x:t>
  </x:si>
  <x:si>
    <x:t xml:space="preserve">15-21 Days</x:t>
  </x:si>
  <x:si>
    <x:t xml:space="preserve">21+ Days</x:t>
  </x:si>
  <x:si>
    <x:t xml:space="preserve">TOP RECRUITER (WEIGHTED)</x:t>
  </x:si>
  <x:si>
    <x:t xml:space="preserve">TOP DESTINATION</x:t>
  </x:si>
  <x:si>
    <x:t xml:space="preserve">TRAINING OUTCOMES</x:t>
  </x:si>
  <x:si>
    <x:t xml:space="preserve">Annual cohorts, success conversion, and exclusive outcome mix</x:t>
  </x:si>
  <x:si>
    <x:t xml:space="preserve">Success is measured once per trainee using Active OR Promoted OR 121+ days. The outcome mix is exclusive and prioritizes Active, then Promoted, then Complete before exit categories. Use annual movement to judge whether the program is improving without double-counting overlapping achievements.</x:t>
  </x:si>
  <x:si>
    <x:t xml:space="preserve">Training Year</x:t>
  </x:si>
  <x:si>
    <x:t xml:space="preserve">Trainees</x:t>
  </x:si>
  <x:si>
    <x:t xml:space="preserve">Success Count</x:t>
  </x:si>
  <x:si>
    <x:t xml:space="preserve">RETENTION ANALYSIS</x:t>
  </x:si>
  <x:si>
    <x:t xml:space="preserve">Standardized tenure bands highlight where attrition occurs</x:t>
  </x:si>
  <x:si>
    <x:t xml:space="preserve">Retention is grouped into operational bands from zero days through 121+ days. The distribution shows where employees leave the workforce, while success rate by band indicates how strongly longevity aligns with the broader success definition. The 121+ band remains an analytical completion proxy rather than a standalone executive KPI.</x:t>
  </x:si>
  <x:si>
    <x:t xml:space="preserve">Retention Band</x:t>
  </x:si>
  <x:si>
    <x:t xml:space="preserve">Share of Total</x:t>
  </x:si>
  <x:si>
    <x:t xml:space="preserve">Success Rate (Definition-Linked)</x:t>
  </x:si>
  <x:si>
    <x:t xml:space="preserve">8-30 Days</x:t>
  </x:si>
  <x:si>
    <x:t xml:space="preserve">31-60 Days</x:t>
  </x:si>
  <x:si>
    <x:t xml:space="preserve">61-90 Days</x:t>
  </x:si>
  <x:si>
    <x:t xml:space="preserve">91-120 Days</x:t>
  </x:si>
  <x:si>
    <x:t xml:space="preserve">121+ Days</x:t>
  </x:si>
  <x:si>
    <x:t xml:space="preserve">ASSIGNMENT IMPACT</x:t>
  </x:si>
  <x:si>
    <x:t xml:space="preserve">Relationship between assignment timing, success, and tenure</x:t>
  </x:si>
  <x:si>
    <x:t xml:space="preserve">Assignment timing follows the prior project’s operational bands, with pre-training employment separated as Existing Employee. Success rate and average tenure are shown together in the table but charted separately to avoid mixing percentages and days on one axis. No Assignment remains visible in the table as an operational exception group.</x:t>
  </x:si>
  <x:si>
    <x:t xml:space="preserve">Avg. Days Worked</x:t>
  </x:si>
  <x:si>
    <x:t xml:space="preserve">No Assignment</x:t>
  </x:si>
  <x:si>
    <x:t xml:space="preserve">RECRUITER ANALYSIS</x:t>
  </x:si>
  <x:si>
    <x:t xml:space="preserve">Weighted performance balances success rate with trainee volume</x:t>
  </x:si>
  <x:si>
    <x:t xml:space="preserve">Recruiters are compared on success, promotion, assignment speed, and a minimum-sample weighted score. Weighted Score equals Success Rate × SQRT(Trainees), with scores set to zero below 10 trainees. All eight recruiters exceed the threshold, so leaders reflect both outcome quality and meaningful volume.</x:t>
  </x:si>
  <x:si>
    <x:t xml:space="preserve">Recruiter</x:t>
  </x:si>
  <x:si>
    <x:t xml:space="preserve">Promotion Rate</x:t>
  </x:si>
  <x:si>
    <x:t xml:space="preserve">Avg. Assignment Days</x:t>
  </x:si>
  <x:si>
    <x:t xml:space="preserve">Weighted Score</x:t>
  </x:si>
  <x:si>
    <x:t xml:space="preserve">TOP WEIGHTED RECRUITER</x:t>
  </x:si>
  <x:si>
    <x:t xml:space="preserve">Training Date</x:t>
  </x:si>
  <x:si>
    <x:t xml:space="preserve">Training Month</x:t>
  </x:si>
  <x:si>
    <x:t xml:space="preserve">Class Size</x:t>
  </x:si>
  <x:si>
    <x:t xml:space="preserve">Class Size Range</x:t>
  </x:si>
  <x:si>
    <x:t xml:space="preserve">Employment Start Date</x:t>
  </x:si>
  <x:si>
    <x:t xml:space="preserve">Employment End Date</x:t>
  </x:si>
  <x:si>
    <x:t xml:space="preserve">Total Days Worked</x:t>
  </x:si>
  <x:si>
    <x:t xml:space="preserve">Tenure Group</x:t>
  </x:si>
  <x:si>
    <x:t xml:space="preserve">Status</x:t>
  </x:si>
  <x:si>
    <x:t xml:space="preserve">Termination Reason</x:t>
  </x:si>
  <x:si>
    <x:t xml:space="preserve">Days Between Training and Assignment</x:t>
  </x:si>
  <x:si>
    <x:t xml:space="preserve">Days to Assignment Range</x:t>
  </x:si>
  <x:si>
    <x:t xml:space="preserve">Status After Training</x:t>
  </x:si>
  <x:si>
    <x:t xml:space="preserve">Trainee Key</x:t>
  </x:si>
  <x:si>
    <x:t xml:space="preserve">Outcome Category</x:t>
  </x:si>
  <x:si>
    <x:t xml:space="preserve">Success Flag</x:t>
  </x:si>
  <x:si>
    <x:t xml:space="preserve">DNP Flag</x:t>
  </x:si>
  <x:si>
    <x:t xml:space="preserve">Voluntary Exit Flag</x:t>
  </x:si>
  <x:si>
    <x:t xml:space="preserve">Cohort Month</x:t>
  </x:si>
  <x:si>
    <x:t xml:space="preserve">Retained 121+ Flag</x:t>
  </x:si>
  <x:si>
    <x:t xml:space="preserve">October</x:t>
  </x:si>
  <x:si>
    <x:t xml:space="preserve">21-30</x:t>
  </x:si>
  <x:si>
    <x:t xml:space="preserve">0-30 Days</x:t>
  </x:si>
  <x:si>
    <x:t xml:space="preserve">Resigned</x:t>
  </x:si>
  <x:si>
    <x:t xml:space="preserve">Voluntary Resignation</x:t>
  </x:si>
  <x:si>
    <x:t xml:space="preserve">No</x:t>
  </x:si>
  <x:si>
    <x:t xml:space="preserve">Assigned</x:t>
  </x:si>
  <x:si>
    <x:t xml:space="preserve">181-365 Days</x:t>
  </x:si>
  <x:si>
    <x:t xml:space="preserve">Yes</x:t>
  </x:si>
  <x:si>
    <x:t xml:space="preserve">0-7 Days</x:t>
  </x:si>
  <x:si>
    <x:t xml:space="preserve">31-90 Days</x:t>
  </x:si>
  <x:si>
    <x:t xml:space="preserve">Personal Reasons</x:t>
  </x:si>
  <x:si>
    <x:t xml:space="preserve">15-30 Days</x:t>
  </x:si>
  <x:si>
    <x:t xml:space="preserve">91-180 Days</x:t>
  </x:si>
  <x:si>
    <x:t xml:space="preserve">60+ Days</x:t>
  </x:si>
  <x:si>
    <x:t xml:space="preserve">Withdrew</x:t>
  </x:si>
  <x:si>
    <x:t xml:space="preserve">Attendance</x:t>
  </x:si>
  <x:si>
    <x:t xml:space="preserve">Delayed Assignment</x:t>
  </x:si>
  <x:si>
    <x:t xml:space="preserve">May</x:t>
  </x:si>
  <x:si>
    <x:t xml:space="preserve">11-20</x:t>
  </x:si>
  <x:si>
    <x:t xml:space="preserve">1-2 Years</x:t>
  </x:si>
  <x:si>
    <x:t xml:space="preserve">Performance</x:t>
  </x:si>
  <x:si>
    <x:t xml:space="preserve">2+ Years</x:t>
  </x:si>
  <x:si>
    <x:t xml:space="preserve">Retirement</x:t>
  </x:si>
  <x:si>
    <x:t xml:space="preserve">Job Abandonment</x:t>
  </x:si>
  <x:si>
    <x:t xml:space="preserve">Rehire</x:t>
  </x:si>
  <x:si>
    <x:t xml:space="preserve">April</x:t>
  </x:si>
  <x:si>
    <x:t xml:space="preserve">September</x:t>
  </x:si>
  <x:si>
    <x:t xml:space="preserve">31-40</x:t>
  </x:si>
  <x:si>
    <x:t xml:space="preserve">June</x:t>
  </x:si>
  <x:si>
    <x:t xml:space="preserve">March</x:t>
  </x:si>
  <x:si>
    <x:t xml:space="preserve">December</x:t>
  </x:si>
  <x:si>
    <x:t xml:space="preserve">1-10</x:t>
  </x:si>
  <x:si>
    <x:t xml:space="preserve">July</x:t>
  </x:si>
  <x:si>
    <x:t xml:space="preserve">November</x:t>
  </x:si>
  <x:si>
    <x:t xml:space="preserve">August</x:t>
  </x:si>
  <x:si>
    <x:t xml:space="preserve">February</x:t>
  </x:si>
  <x:si>
    <x:t xml:space="preserve">SURVIVAL ANALYSIS</x:t>
  </x:si>
  <x:si>
    <x:t xml:space="preserve">Kaplan–Meier workforce retention with active employees treated as right-censored</x:t>
  </x:si>
  <x:si>
    <x:t xml:space="preserve">Days Worked</x:t>
  </x:si>
  <x:si>
    <x:t xml:space="preserve">At Risk</x:t>
  </x:si>
  <x:si>
    <x:t xml:space="preserve">Exits</x:t>
  </x:si>
  <x:si>
    <x:t xml:space="preserve">Survival Probability</x:t>
  </x:si>
  <x:si>
    <x:t xml:space="preserve">Milestone</x:t>
  </x:si>
  <x:si>
    <x:t xml:space="preserve">Survival</x:t>
  </x:si>
  <x:si>
    <x:t xml:space="preserve">30 Days</x:t>
  </x:si>
  <x:si>
    <x:t xml:space="preserve">60 Days</x:t>
  </x:si>
  <x:si>
    <x:t xml:space="preserve">90 Days</x:t>
  </x:si>
  <x:si>
    <x:t xml:space="preserve">121 Days</x:t>
  </x:si>
  <x:si>
    <x:t xml:space="preserve">180 Days</x:t>
  </x:si>
  <x:si>
    <x:t xml:space="preserve">365 Days</x:t>
  </x:si>
  <x:si>
    <x:t xml:space="preserve">730 Days</x:t>
  </x:si>
  <x:si>
    <x:t xml:space="preserve">COHORT MATURITY</x:t>
  </x:si>
  <x:si>
    <x:t xml:space="preserve">Maturity-adjusted 30/60/90/121-day retention by training month</x:t>
  </x:si>
  <x:si>
    <x:t xml:space="preserve">Cohort Size</x:t>
  </x:si>
  <x:si>
    <x:t xml:space="preserve">30d Eligible</x:t>
  </x:si>
  <x:si>
    <x:t xml:space="preserve">30d Retention</x:t>
  </x:si>
  <x:si>
    <x:t xml:space="preserve">60d Eligible</x:t>
  </x:si>
  <x:si>
    <x:t xml:space="preserve">60d Retention</x:t>
  </x:si>
  <x:si>
    <x:t xml:space="preserve">90d Eligible</x:t>
  </x:si>
  <x:si>
    <x:t xml:space="preserve">90d Retention</x:t>
  </x:si>
  <x:si>
    <x:t xml:space="preserve">121d Eligible</x:t>
  </x:si>
  <x:si>
    <x:t xml:space="preserve">121d Retention</x:t>
  </x:si>
  <x:si>
    <x:t xml:space="preserve">CONVERSION FUNNEL</x:t>
  </x:si>
  <x:si>
    <x:t xml:space="preserve">Sequential movement from training through rapid assignment, retention, and promotion</x:t>
  </x:si>
  <x:si>
    <x:t xml:space="preserve">Each stage is a subset of the stage above it. This prevents later outcomes from appearing without passing prior operational gates and makes conversion loss visible at each step.</x:t>
  </x:si>
  <x:si>
    <x:t xml:space="preserve">Stage</x:t>
  </x:si>
  <x:si>
    <x:t xml:space="preserve">Conversion from Prior</x:t>
  </x:si>
  <x:si>
    <x:t xml:space="preserve">Trained</x:t>
  </x:si>
  <x:si>
    <x:t xml:space="preserve">Assigned within 7 days</x:t>
  </x:si>
  <x:si>
    <x:t xml:space="preserve">Retained 121+ days</x:t>
  </x:si>
  <x:si>
    <x:t xml:space="preserve">PERFORMANCE CONTROLS</x:t>
  </x:si>
  <x:si>
    <x:t xml:space="preserve">95% confidence limits distinguish signal from ordinary variation</x:t>
  </x:si>
  <x:si>
    <x:t xml:space="preserve">Success rates are compared with binomial 95% confidence limits around the relevant pooled rate. Entities inside the limits should not be declared statistically different from the program average.</x:t>
  </x:si>
  <x:si>
    <x:t xml:space="preserve">Successes</x:t>
  </x:si>
  <x:si>
    <x:t xml:space="preserve">Pooled Rate</x:t>
  </x:si>
  <x:si>
    <x:t xml:space="preserve">Lower 95%</x:t>
  </x:si>
  <x:si>
    <x:t xml:space="preserve">Upper 95%</x:t>
  </x:si>
  <x:si>
    <x:t xml:space="preserve">Signal</x:t>
  </x:si>
  <x:si>
    <x:t xml:space="preserve">OUTCOME COMPONENTS</x:t>
  </x:si>
  <x:si>
    <x:t xml:space="preserve">Active, promoted, and 121+ retention rates by assignment timing</x:t>
  </x:si>
  <x:si>
    <x:t xml:space="preserve">Separating the three success components prevents the combined metric from hiding which outcome is moving. The comparison is descriptive because assignment timing is not randomized.</x:t>
  </x:si>
  <x:si>
    <x:t xml:space="preserve">Active Rate</x:t>
  </x:si>
  <x:si>
    <x:t xml:space="preserve">121+ Retention</x:t>
  </x:si>
  <x:si>
    <x:t xml:space="preserve">Combined Success</x:t>
  </x:si>
</x:sst>
</file>

<file path=xl/styles.xml><?xml version="1.0" encoding="utf-8"?>
<x:styleSheet xmlns:x="http://schemas.openxmlformats.org/spreadsheetml/2006/main">
  <x:numFmts count="6">
    <x:numFmt numFmtId="164" formatCode="mmm\ yyyy"/>
    <x:numFmt numFmtId="165" formatCode="0.0%"/>
    <x:numFmt numFmtId="166" formatCode="0.0"/>
    <x:numFmt numFmtId="200" formatCode="mmm yyyy"/>
    <x:numFmt numFmtId="201" formatCode="0"/>
    <x:numFmt numFmtId="202" formatCode="@"/>
  </x:numFmts>
  <x:fonts count="54">
    <x:font>
      <x:sz val="11"/>
      <x:color theme="1"/>
      <x:name val="Aptos Narrow"/>
    </x:font>
    <x:font>
      <x:sz val="11"/>
      <x:color theme="1"/>
      <x:name val="Aptos Narrow"/>
    </x:font>
    <x:font>
      <x:sz val="18"/>
      <x:color theme="3"/>
      <x:name val="Aptos Display"/>
    </x:font>
    <x:font>
      <x:b/>
      <x:sz val="15"/>
      <x:color theme="3"/>
      <x:name val="Aptos Narrow"/>
    </x:font>
    <x:font>
      <x:b/>
      <x:sz val="13"/>
      <x:color theme="3"/>
      <x:name val="Aptos Narrow"/>
    </x:font>
    <x:font>
      <x:b/>
      <x:sz val="11"/>
      <x:color theme="3"/>
      <x:name val="Aptos Narrow"/>
    </x:font>
    <x:font>
      <x:sz val="11"/>
      <x:color rgb="FF006100"/>
      <x:name val="Aptos Narrow"/>
    </x:font>
    <x:font>
      <x:sz val="11"/>
      <x:color rgb="FF9C0006"/>
      <x:name val="Aptos Narrow"/>
    </x:font>
    <x:font>
      <x:sz val="11"/>
      <x:color rgb="FF9C5700"/>
      <x:name val="Aptos Narrow"/>
    </x:font>
    <x:font>
      <x:sz val="11"/>
      <x:color rgb="FF3F3F76"/>
      <x:name val="Aptos Narrow"/>
    </x:font>
    <x:font>
      <x:b/>
      <x:sz val="11"/>
      <x:color rgb="FF3F3F3F"/>
      <x:name val="Aptos Narrow"/>
    </x:font>
    <x:font>
      <x:b/>
      <x:sz val="11"/>
      <x:color rgb="FFFA7D00"/>
      <x:name val="Aptos Narrow"/>
    </x:font>
    <x:font>
      <x:sz val="11"/>
      <x:color rgb="FFFA7D00"/>
      <x:name val="Aptos Narrow"/>
    </x:font>
    <x:font>
      <x:b/>
      <x:sz val="11"/>
      <x:color theme="0"/>
      <x:name val="Aptos Narrow"/>
    </x:font>
    <x:font>
      <x:sz val="11"/>
      <x:color rgb="FFFF0000"/>
      <x:name val="Aptos Narrow"/>
    </x:font>
    <x:font>
      <x:i/>
      <x:sz val="11"/>
      <x:color rgb="FF7F7F7F"/>
      <x:name val="Aptos Narrow"/>
    </x:font>
    <x:font>
      <x:b/>
      <x:sz val="11"/>
      <x:color theme="1"/>
      <x:name val="Aptos Narrow"/>
    </x:font>
    <x:font>
      <x:sz val="11"/>
      <x:color theme="0"/>
      <x:name val="Aptos Narrow"/>
    </x:font>
    <x:font>
      <x:b/>
      <x:sz val="11"/>
      <x:color rgb="FFFFFFFF"/>
      <x:name val="Aptos Narrow"/>
    </x:font>
    <x:font>
      <x:sz val="11"/>
      <x:color rgb="FFFFFFFF"/>
      <x:name val="Aptos Narrow"/>
    </x:font>
    <x:font>
      <x:b/>
      <x:sz val="18"/>
      <x:color rgb="FFFFFFFF"/>
      <x:name val="Aptos Narrow"/>
    </x:font>
    <x:font>
      <x:b/>
      <x:sz val="18"/>
      <x:color rgb="FFFFFFFF"/>
      <x:name val="Aptos"/>
    </x:font>
    <x:font>
      <x:b/>
      <x:sz val="11"/>
      <x:color rgb="FFFFFFFF"/>
      <x:name val="Aptos"/>
    </x:font>
    <x:font>
      <x:sz val="11"/>
      <x:color rgb="FF000000"/>
      <x:name val="Aptos"/>
    </x:font>
    <x:font>
      <x:i/>
      <x:sz val="10"/>
      <x:color rgb="FF4A4A4A"/>
      <x:name val="Aptos"/>
    </x:font>
    <x:font>
      <x:b/>
      <x:sz val="11"/>
      <x:color rgb="FF1B4332"/>
      <x:name val="Aptos"/>
    </x:font>
    <x:font>
      <x:b/>
      <x:sz val="11"/>
      <x:color rgb="FF1F1F1F"/>
      <x:name val="Aptos"/>
    </x:font>
    <x:font>
      <x:sz val="11"/>
      <x:color rgb="FF1F1F1F"/>
      <x:name val="Aptos"/>
    </x:font>
    <x:font>
      <x:b/>
      <x:sz val="22"/>
      <x:color rgb="FF1B4332"/>
      <x:name val="Aptos"/>
    </x:font>
    <x:font>
      <x:sz val="11"/>
      <x:color rgb="FF1B4332"/>
      <x:name val="Aptos"/>
    </x:font>
    <x:font>
      <x:sz val="11"/>
      <x:color rgb="FF1F1F1F"/>
      <x:name val="Aptos Narrow"/>
    </x:font>
    <x:font>
      <x:b/>
      <x:sz val="11"/>
      <x:color rgb="FF1F1F1F"/>
      <x:name val="Aptos Narrow"/>
    </x:font>
    <x:font>
      <x:b/>
      <x:sz val="11"/>
      <x:color rgb="FF1B4332"/>
      <x:name val="Aptos Narrow"/>
    </x:font>
    <x:font>
      <x:sz val="8"/>
      <x:name val="Aptos Narrow"/>
    </x:font>
    <x:font>
      <x:sz val="11"/>
      <x:color rgb="FF1F1F1F"/>
      <x:name val="Aptos"/>
    </x:font>
    <x:font>
      <x:b/>
      <x:sz val="11"/>
      <x:color rgb="FF1B4332"/>
      <x:name val="Aptos"/>
    </x:font>
    <x:font>
      <x:b/>
      <x:sz val="11"/>
      <x:color rgb="FF1F1F1F"/>
      <x:name val="Aptos"/>
    </x:font>
    <x:font>
      <x:i/>
      <x:sz val="11"/>
      <x:color rgb="FF4A4A4A"/>
      <x:name val="Aptos Narrow"/>
    </x:font>
    <x:font>
      <x:b/>
      <x:sz val="11"/>
      <x:color rgb="FF666666"/>
      <x:name val="Aptos"/>
    </x:font>
    <x:font>
      <x:sz val="11"/>
      <x:color rgb="FF666666"/>
      <x:name val="Aptos"/>
    </x:font>
    <x:font>
      <x:i/>
      <x:sz val="11"/>
      <x:color rgb="FF6B4F1D"/>
      <x:name val="Aptos"/>
    </x:font>
    <x:font>
      <x:b/>
      <x:sz val="16"/>
      <x:color rgb="FFFFFFFF"/>
      <x:name val="Aptos Narrow"/>
    </x:font>
    <x:font>
      <x:i/>
      <x:sz val="11"/>
      <x:color rgb="FF6B4F1D"/>
      <x:name val="Aptos Narrow"/>
    </x:font>
    <x:font>
      <x:b/>
      <x:sz val="20"/>
      <x:color rgb="FFFFFFFF"/>
      <x:name val="Aptos"/>
    </x:font>
    <x:font>
      <x:i/>
      <x:sz val="11"/>
      <x:color rgb="FF1F1F1F"/>
      <x:name val="Aptos"/>
    </x:font>
    <x:font>
      <x:i/>
      <x:sz val="10"/>
      <x:color rgb="FF6B4F1D"/>
      <x:name val="Aptos"/>
    </x:font>
    <x:font>
      <x:b/>
      <x:sz val="12"/>
      <x:color rgb="FF1F1F1F"/>
      <x:name val="Aptos"/>
    </x:font>
    <x:font>
      <x:b/>
      <x:sz val="10"/>
      <x:color rgb="FF1F4E78"/>
      <x:name val="Aptos"/>
    </x:font>
    <x:font>
      <x:b/>
      <x:sz val="10"/>
      <x:color rgb="FF1F4E78"/>
      <x:name val="Aptos Narrow"/>
    </x:font>
    <x:font>
      <x:sz val="10"/>
      <x:color rgb="FF222222"/>
      <x:name val="Aptos"/>
    </x:font>
    <x:font>
      <x:b/>
      <x:sz val="10"/>
      <x:color rgb="FF222222"/>
      <x:name val="Aptos"/>
    </x:font>
    <x:font>
      <x:sz val="10"/>
      <x:color rgb="FF222222"/>
      <x:name val="Aptos Narrow"/>
    </x:font>
    <x:font>
      <x:b/>
      <x:i/>
      <x:sz val="9"/>
      <x:color rgb="FF555555"/>
      <x:name val="Aptos Narrow"/>
    </x:font>
    <x:font>
      <x:b/>
      <x:sz val="10"/>
      <x:color rgb="FF222222"/>
      <x:name val="Aptos Narrow"/>
    </x:font>
  </x:fonts>
  <x:fills count="57">
    <x:fill>
      <x:patternFill patternType="none"/>
    </x:fill>
    <x:fill>
      <x:patternFill patternType="gray125"/>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FFFFC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theme="0"/>
      </x:patternFill>
    </x:fill>
    <x:fill>
      <x:patternFill patternType="solid">
        <x:fgColor rgb="FFFFFFFF"/>
      </x:patternFill>
    </x:fill>
    <x:fill>
      <x:patternFill patternType="solid">
        <x:fgColor rgb="FF1B4332"/>
      </x:patternFill>
    </x:fill>
    <x:fill>
      <x:patternFill patternType="solid">
        <x:fgColor rgb="FFF3F3F3"/>
      </x:patternFill>
    </x:fill>
    <x:fill>
      <x:patternFill patternType="solid">
        <x:fgColor rgb="FF2D6A4F"/>
      </x:patternFill>
    </x:fill>
    <x:fill>
      <x:patternFill patternType="solid">
        <x:fgColor rgb="FFF7F7F7"/>
      </x:patternFill>
    </x:fill>
    <x:fill>
      <x:patternFill patternType="solid">
        <x:fgColor rgb="FFB8860B"/>
      </x:patternFill>
    </x:fill>
    <x:fill>
      <x:patternFill patternType="solid">
        <x:fgColor theme="6"/>
      </x:patternFill>
    </x:fill>
    <x:fill>
      <x:patternFill patternType="solid">
        <x:fgColor rgb="FF95A78D"/>
      </x:patternFill>
    </x:fill>
    <x:fill>
      <x:patternFill patternType="solid">
        <x:fgColor rgb="FFC9A227"/>
      </x:patternFill>
    </x:fill>
    <x:fill>
      <x:patternFill patternType="solid">
        <x:fgColor rgb="FFD9D9D9"/>
      </x:patternFill>
    </x:fill>
    <x:fill>
      <x:patternFill patternType="solid">
        <x:fgColor rgb="FFF2F2F2"/>
      </x:patternFill>
    </x:fill>
    <x:fill>
      <x:patternFill patternType="solid">
        <x:fgColor rgb="FFFFF4E5"/>
      </x:patternFill>
    </x:fill>
    <x:fill>
      <x:patternFill patternType="solid">
        <x:fgColor rgb="FF1F4E78"/>
      </x:patternFill>
    </x:fill>
    <x:fill>
      <x:patternFill patternType="solid">
        <x:fgColor rgb="FFD9EAF7"/>
      </x:patternFill>
    </x:fill>
    <x:fill>
      <x:patternFill patternType="solid">
        <x:fgColor rgb="FFFFF4E5"/>
      </x:patternFill>
    </x:fill>
    <x:fill>
      <x:patternFill patternType="solid">
        <x:fgColor rgb="FF1F4E78"/>
      </x:patternFill>
    </x:fill>
    <x:fill>
      <x:patternFill patternType="solid">
        <x:fgColor rgb="FFD9EAF7"/>
      </x:patternFill>
    </x:fill>
    <x:fill>
      <x:patternFill patternType="solid">
        <x:fgColor rgb="FFFFF4E5"/>
      </x:patternFill>
    </x:fill>
    <x:fill>
      <x:patternFill patternType="solid">
        <x:fgColor rgb="FFFFFFFF"/>
      </x:patternFill>
    </x:fill>
    <x:fill>
      <x:patternFill patternType="solid">
        <x:fgColor rgb="FFF5F8FA"/>
      </x:patternFill>
    </x:fill>
    <x:fill>
      <x:patternFill patternType="solid">
        <x:fgColor rgb="FFF2F2F2"/>
      </x:patternFill>
    </x:fill>
    <x:fill>
      <x:patternFill patternType="solid">
        <x:fgColor rgb="FFFFFFFF"/>
      </x:patternFill>
    </x:fill>
    <x:fill>
      <x:patternFill patternType="solid">
        <x:fgColor rgb="FFF5F8FA"/>
      </x:patternFill>
    </x:fill>
  </x:fills>
  <x:borders count="75">
    <x:border/>
    <x:border>
      <x:bottom style="thick">
        <x:color theme="4"/>
      </x:bottom>
    </x:border>
    <x:border>
      <x:bottom style="thick">
        <x:color theme="4" tint="0.49998"/>
      </x:bottom>
    </x:border>
    <x:border>
      <x:bottom style="medium">
        <x:color theme="4" tint="0.3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bottom style="double">
        <x:color rgb="FFFF8001"/>
      </x:bottom>
    </x:border>
    <x:border>
      <x:left style="double">
        <x:color rgb="FF3F3F3F"/>
      </x:left>
      <x:right style="double">
        <x:color rgb="FF3F3F3F"/>
      </x:right>
      <x:top style="double">
        <x:color rgb="FF3F3F3F"/>
      </x:top>
      <x:bottom style="double">
        <x:color rgb="FF3F3F3F"/>
      </x:bottom>
    </x:border>
    <x:border>
      <x:left style="thin">
        <x:color rgb="FFB2B2B2"/>
      </x:left>
      <x:right style="thin">
        <x:color rgb="FFB2B2B2"/>
      </x:right>
      <x:top style="thin">
        <x:color rgb="FFB2B2B2"/>
      </x:top>
      <x:bottom style="thin">
        <x:color rgb="FFB2B2B2"/>
      </x:bottom>
    </x:border>
    <x:border>
      <x:top style="thin">
        <x:color theme="4"/>
      </x:top>
      <x:bottom style="double">
        <x:color theme="4"/>
      </x:bottom>
    </x:border>
    <x:border>
      <x:bottom style="thin">
        <x:color rgb="FFC9A227"/>
      </x:bottom>
    </x:border>
    <x:border>
      <x:bottom style="medium">
        <x:color rgb="FFC9A227"/>
      </x:bottom>
    </x:border>
    <x:border>
      <x:left style="thin">
        <x:color rgb="FFB4C6E7"/>
      </x:left>
      <x:top style="thin">
        <x:color rgb="FFB4C6E7"/>
      </x:top>
      <x:bottom style="thin">
        <x:color rgb="FFD9D9D9"/>
      </x:bottom>
    </x:border>
    <x:border>
      <x:right style="thin">
        <x:color rgb="FFB4C6E7"/>
      </x:right>
      <x:top style="thin">
        <x:color rgb="FFB4C6E7"/>
      </x:top>
      <x:bottom style="thin">
        <x:color rgb="FFD9D9D9"/>
      </x:bottom>
    </x:border>
    <x:border>
      <x:left style="thin">
        <x:color rgb="FFB4C6E7"/>
      </x:left>
      <x:top style="thin">
        <x:color rgb="FFD9D9D9"/>
      </x:top>
      <x:bottom style="thin">
        <x:color rgb="FFD9D9D9"/>
      </x:bottom>
    </x:border>
    <x:border>
      <x:right style="thin">
        <x:color rgb="FFB4C6E7"/>
      </x:right>
      <x:top style="thin">
        <x:color rgb="FFD9D9D9"/>
      </x:top>
      <x:bottom style="thin">
        <x:color rgb="FFD9D9D9"/>
      </x:bottom>
    </x:border>
    <x:border>
      <x:left style="thin">
        <x:color rgb="FFB4C6E7"/>
      </x:left>
      <x:top style="thin">
        <x:color rgb="FFD9D9D9"/>
      </x:top>
      <x:bottom style="thin">
        <x:color rgb="FF95A78D"/>
      </x:bottom>
    </x:border>
    <x:border>
      <x:right style="thin">
        <x:color rgb="FFB4C6E7"/>
      </x:right>
      <x:top style="thin">
        <x:color rgb="FFD9D9D9"/>
      </x:top>
      <x:bottom style="thin">
        <x:color rgb="FF95A78D"/>
      </x:bottom>
    </x:border>
    <x:border>
      <x:left style="thin">
        <x:color rgb="FFC9A227"/>
      </x:left>
    </x:border>
    <x:border>
      <x:left style="thick">
        <x:color rgb="FFC9A227"/>
      </x:left>
    </x:border>
    <x:border>
      <x:top style="thin">
        <x:color rgb="FFC9A227"/>
      </x:top>
    </x:border>
    <x:border>
      <x:top style="medium">
        <x:color rgb="FFC9A227"/>
      </x:top>
      <x:bottom style="thin">
        <x:color rgb="FFD9D9D9"/>
      </x:bottom>
    </x:border>
    <x:border>
      <x:top style="thin">
        <x:color rgb="FFD9D9D9"/>
      </x:top>
      <x:bottom style="thin">
        <x:color rgb="FFD9D9D9"/>
      </x:bottom>
    </x:border>
    <x:border>
      <x:top style="thin">
        <x:color rgb="FFD9D9D9"/>
      </x:top>
      <x:bottom style="thin">
        <x:color rgb="FF95A78D"/>
      </x:bottom>
    </x:border>
    <x:border>
      <x:top style="medium">
        <x:color rgb="FFC9A227"/>
      </x:top>
      <x:bottom style="thin">
        <x:color rgb="FFC9A227"/>
      </x:bottom>
    </x:border>
    <x:border>
      <x:left style="thin">
        <x:color rgb="FFB4C6E7"/>
      </x:left>
      <x:top style="thin">
        <x:color rgb="FFB4C6E7"/>
      </x:top>
      <x:bottom style="medium">
        <x:color rgb="FFC9A227"/>
      </x:bottom>
    </x:border>
    <x:border>
      <x:top style="thin">
        <x:color rgb="FFB4C6E7"/>
      </x:top>
      <x:bottom style="medium">
        <x:color rgb="FFC9A227"/>
      </x:bottom>
    </x:border>
    <x:border>
      <x:right style="thin">
        <x:color rgb="FFB4C6E7"/>
      </x:right>
      <x:top style="thin">
        <x:color rgb="FFB4C6E7"/>
      </x:top>
      <x:bottom style="medium">
        <x:color rgb="FFC9A227"/>
      </x:bottom>
    </x:border>
    <x:border>
      <x:left style="thin">
        <x:color rgb="FFB4C6E7"/>
      </x:left>
      <x:top style="medium">
        <x:color rgb="FFC9A227"/>
      </x:top>
      <x:bottom style="thin">
        <x:color rgb="FFD9D9D9"/>
      </x:bottom>
    </x:border>
    <x:border>
      <x:right style="thin">
        <x:color rgb="FFB4C6E7"/>
      </x:right>
      <x:top style="medium">
        <x:color rgb="FFC9A227"/>
      </x:top>
      <x:bottom style="thin">
        <x:color rgb="FFD9D9D9"/>
      </x:bottom>
    </x:border>
    <x:border>
      <x:right style="thin">
        <x:color theme="0"/>
      </x:right>
    </x:border>
    <x:border>
      <x:left style="thin">
        <x:color theme="0"/>
      </x:left>
    </x:border>
    <x:border>
      <x:left style="thin">
        <x:color theme="0"/>
      </x:left>
      <x:top style="thin">
        <x:color theme="0"/>
      </x:top>
      <x:bottom style="thin">
        <x:color theme="0"/>
      </x:bottom>
    </x:border>
    <x:border>
      <x:top style="thin">
        <x:color theme="0"/>
      </x:top>
      <x:bottom style="thin">
        <x:color theme="0"/>
      </x:bottom>
    </x:border>
    <x:border>
      <x:right style="thin">
        <x:color theme="0"/>
      </x:right>
      <x:top style="thin">
        <x:color theme="0"/>
      </x:top>
      <x:bottom style="thin">
        <x:color theme="0"/>
      </x:bottom>
    </x:border>
    <x:border>
      <x:left style="thin">
        <x:color theme="0"/>
      </x:left>
      <x:top style="thin">
        <x:color theme="0"/>
      </x:top>
    </x:border>
    <x:border>
      <x:top style="thin">
        <x:color theme="0"/>
      </x:top>
    </x:border>
    <x:border>
      <x:left style="thin">
        <x:color theme="0"/>
      </x:left>
      <x:right style="thin">
        <x:color theme="0"/>
      </x:right>
      <x:top style="thin">
        <x:color theme="0"/>
      </x:top>
    </x:border>
    <x:border>
      <x:left style="thin">
        <x:color theme="0"/>
      </x:left>
      <x:bottom style="thin">
        <x:color theme="0"/>
      </x:bottom>
    </x:border>
    <x:border>
      <x:bottom style="thin">
        <x:color theme="0"/>
      </x:bottom>
    </x:border>
    <x:border>
      <x:right style="thin">
        <x:color theme="0"/>
      </x:right>
      <x:bottom style="thin">
        <x:color theme="0"/>
      </x:bottom>
    </x:border>
    <x:border>
      <x:left style="thick">
        <x:color rgb="FFC9A227"/>
      </x:left>
      <x:top style="thin">
        <x:color rgb="FFC9A227"/>
      </x:top>
    </x:border>
    <x:border/>
    <x:border>
      <x:bottom style="medium">
        <x:color rgb="FFC9A227"/>
      </x:bottom>
    </x:border>
    <x:border>
      <x:left style="thick">
        <x:color rgb="FFC9A227"/>
      </x:left>
    </x:border>
    <x:border>
      <x:top style="thin">
        <x:color rgb="FFC9A227"/>
      </x:top>
    </x:border>
    <x:border>
      <x:top style="medium">
        <x:color rgb="FFC9A227"/>
      </x:top>
      <x:bottom style="thin">
        <x:color rgb="FFD9D9D9"/>
      </x:bottom>
    </x:border>
    <x:border>
      <x:top style="thin">
        <x:color rgb="FFD9D9D9"/>
      </x:top>
      <x:bottom style="thin">
        <x:color rgb="FFD9D9D9"/>
      </x:bottom>
    </x:border>
    <x:border>
      <x:top style="thin">
        <x:color rgb="FFD9D9D9"/>
      </x:top>
      <x:bottom style="thin">
        <x:color rgb="FF95A78D"/>
      </x:bottom>
    </x:border>
    <x:border>
      <x:left style="thin">
        <x:color rgb="FFC9A227"/>
      </x:left>
    </x:border>
    <x:border>
      <x:top style="medium">
        <x:color rgb="FFC9A227"/>
      </x:top>
      <x:bottom style="thin">
        <x:color rgb="FFC9A227"/>
      </x:bottom>
    </x:border>
    <x:border>
      <x:left style="thin">
        <x:color rgb="FFB4C6E7"/>
      </x:left>
      <x:top style="medium">
        <x:color rgb="FFC9A227"/>
      </x:top>
      <x:bottom style="thin">
        <x:color rgb="FFD9D9D9"/>
      </x:bottom>
    </x:border>
    <x:border>
      <x:right style="thin">
        <x:color rgb="FFB4C6E7"/>
      </x:right>
      <x:top style="medium">
        <x:color rgb="FFC9A227"/>
      </x:top>
      <x:bottom style="thin">
        <x:color rgb="FFD9D9D9"/>
      </x:bottom>
    </x:border>
    <x:border>
      <x:left style="thin">
        <x:color rgb="FFB4C6E7"/>
      </x:left>
      <x:top style="thin">
        <x:color rgb="FFD9D9D9"/>
      </x:top>
      <x:bottom style="thin">
        <x:color rgb="FFD9D9D9"/>
      </x:bottom>
    </x:border>
    <x:border>
      <x:right style="thin">
        <x:color rgb="FFB4C6E7"/>
      </x:right>
      <x:top style="thin">
        <x:color rgb="FFD9D9D9"/>
      </x:top>
      <x:bottom style="thin">
        <x:color rgb="FFD9D9D9"/>
      </x:bottom>
    </x:border>
    <x:border>
      <x:left style="thin">
        <x:color rgb="FFB4C6E7"/>
      </x:left>
      <x:top style="thin">
        <x:color rgb="FFD9D9D9"/>
      </x:top>
      <x:bottom style="thin">
        <x:color rgb="FF95A78D"/>
      </x:bottom>
    </x:border>
    <x:border>
      <x:right style="thin">
        <x:color rgb="FFB4C6E7"/>
      </x:right>
      <x:top style="thin">
        <x:color rgb="FFD9D9D9"/>
      </x:top>
      <x:bottom style="thin">
        <x:color rgb="FF95A78D"/>
      </x:bottom>
    </x:border>
    <x:border>
      <x:left style="thin">
        <x:color rgb="FFB4C6E7"/>
      </x:left>
      <x:top style="thin">
        <x:color rgb="FFB4C6E7"/>
      </x:top>
      <x:bottom style="medium">
        <x:color rgb="FFC9A227"/>
      </x:bottom>
    </x:border>
    <x:border>
      <x:top style="thin">
        <x:color rgb="FFB4C6E7"/>
      </x:top>
      <x:bottom style="medium">
        <x:color rgb="FFC9A227"/>
      </x:bottom>
    </x:border>
    <x:border>
      <x:right style="thin">
        <x:color rgb="FFB4C6E7"/>
      </x:right>
      <x:top style="thin">
        <x:color rgb="FFB4C6E7"/>
      </x:top>
      <x:bottom style="medium">
        <x:color rgb="FFC9A227"/>
      </x:bottom>
    </x:border>
    <x:border>
      <x:left style="thin">
        <x:color theme="0"/>
      </x:left>
      <x:top style="thin">
        <x:color theme="0"/>
      </x:top>
      <x:bottom style="thin">
        <x:color theme="0"/>
      </x:bottom>
    </x:border>
    <x:border>
      <x:top style="thin">
        <x:color theme="0"/>
      </x:top>
      <x:bottom style="thin">
        <x:color theme="0"/>
      </x:bottom>
    </x:border>
    <x:border>
      <x:right style="thin">
        <x:color theme="0"/>
      </x:right>
      <x:top style="thin">
        <x:color theme="0"/>
      </x:top>
      <x:bottom style="thin">
        <x:color theme="0"/>
      </x:bottom>
    </x:border>
    <x:border>
      <x:left style="thin">
        <x:color theme="0"/>
      </x:left>
      <x:top style="thin">
        <x:color theme="0"/>
      </x:top>
    </x:border>
    <x:border>
      <x:top style="thin">
        <x:color theme="0"/>
      </x:top>
    </x:border>
    <x:border>
      <x:left style="thin">
        <x:color theme="0"/>
      </x:left>
      <x:right style="thin">
        <x:color theme="0"/>
      </x:right>
      <x:top style="thin">
        <x:color theme="0"/>
      </x:top>
    </x:border>
    <x:border>
      <x:left style="thin">
        <x:color theme="0"/>
      </x:left>
    </x:border>
    <x:border>
      <x:right style="thin">
        <x:color theme="0"/>
      </x:right>
    </x:border>
    <x:border>
      <x:left style="thin">
        <x:color theme="0"/>
      </x:left>
      <x:bottom style="thin">
        <x:color theme="0"/>
      </x:bottom>
    </x:border>
    <x:border>
      <x:bottom style="thin">
        <x:color theme="0"/>
      </x:bottom>
    </x:border>
    <x:border>
      <x:right style="thin">
        <x:color theme="0"/>
      </x:right>
      <x:bottom style="thin">
        <x:color theme="0"/>
      </x:bottom>
    </x:border>
    <x:border>
      <x:left style="thick">
        <x:color rgb="FFC9A227"/>
      </x:left>
      <x:top style="thin">
        <x:color rgb="FFC9A227"/>
      </x:top>
    </x:border>
    <x:border>
      <x:bottom style="thin">
        <x:color rgb="FFC9A227"/>
      </x:bottom>
    </x:border>
    <x:border>
      <x:left style="thin">
        <x:color rgb="FFB4C6E7"/>
      </x:left>
      <x:top style="thin">
        <x:color rgb="FFB4C6E7"/>
      </x:top>
      <x:bottom style="thin">
        <x:color rgb="FFD9D9D9"/>
      </x:bottom>
    </x:border>
    <x:border>
      <x:right style="thin">
        <x:color rgb="FFB4C6E7"/>
      </x:right>
      <x:top style="thin">
        <x:color rgb="FFB4C6E7"/>
      </x:top>
      <x:bottom style="thin">
        <x:color rgb="FFD9D9D9"/>
      </x:bottom>
    </x:border>
  </x:borders>
  <x:cellStyleXfs count="42">
    <x:xf numFmtId="0" fontId="0" fillId="0" borderId="0"/>
    <x:xf numFmtId="0" fontId="2" fillId="0" borderId="0" applyNumberFormat="0" applyFill="0" applyBorder="0" applyAlignment="0" applyProtection="0"/>
    <x:xf numFmtId="0" fontId="3" fillId="0" borderId="1" applyNumberFormat="0" applyFill="0" applyAlignment="0" applyProtection="0"/>
    <x:xf numFmtId="0" fontId="4" fillId="0" borderId="2" applyNumberFormat="0" applyFill="0" applyAlignment="0" applyProtection="0"/>
    <x:xf numFmtId="0" fontId="5" fillId="0" borderId="3" applyNumberFormat="0" applyFill="0" applyAlignment="0" applyProtection="0"/>
    <x:xf numFmtId="0" fontId="5" fillId="0" borderId="0" applyNumberFormat="0" applyFill="0" applyBorder="0" applyAlignment="0" applyProtection="0"/>
    <x:xf numFmtId="0" fontId="6" fillId="2" borderId="0" applyNumberFormat="0" applyBorder="0" applyAlignment="0" applyProtection="0"/>
    <x:xf numFmtId="0" fontId="7" fillId="3" borderId="0" applyNumberFormat="0" applyBorder="0" applyAlignment="0" applyProtection="0"/>
    <x:xf numFmtId="0" fontId="8" fillId="4" borderId="0" applyNumberFormat="0" applyBorder="0" applyAlignment="0" applyProtection="0"/>
    <x:xf numFmtId="0" fontId="9" fillId="5" borderId="4" applyNumberFormat="0" applyAlignment="0" applyProtection="0"/>
    <x:xf numFmtId="0" fontId="10" fillId="6" borderId="5" applyNumberFormat="0" applyAlignment="0" applyProtection="0"/>
    <x:xf numFmtId="0" fontId="11" fillId="6" borderId="4" applyNumberFormat="0" applyAlignment="0" applyProtection="0"/>
    <x:xf numFmtId="0" fontId="12" fillId="0" borderId="6" applyNumberFormat="0" applyFill="0" applyAlignment="0" applyProtection="0"/>
    <x:xf numFmtId="0" fontId="13" fillId="7" borderId="7" applyNumberFormat="0" applyAlignment="0" applyProtection="0"/>
    <x:xf numFmtId="0" fontId="14" fillId="0" borderId="0" applyNumberFormat="0" applyFill="0" applyBorder="0" applyAlignment="0" applyProtection="0"/>
    <x:xf numFmtId="0" fontId="1" fillId="8" borderId="8" applyNumberFormat="0" applyFont="0" applyAlignment="0" applyProtection="0"/>
    <x:xf numFmtId="0" fontId="15" fillId="0" borderId="0" applyNumberFormat="0" applyFill="0" applyBorder="0" applyAlignment="0" applyProtection="0"/>
    <x:xf numFmtId="0" fontId="16" fillId="0" borderId="9" applyNumberFormat="0" applyFill="0" applyAlignment="0" applyProtection="0"/>
    <x:xf numFmtId="0" fontId="17" fillId="9" borderId="0" applyNumberFormat="0" applyBorder="0" applyAlignment="0" applyProtection="0"/>
    <x:xf numFmtId="0" fontId="1" fillId="10" borderId="0" applyNumberFormat="0" applyBorder="0" applyAlignment="0" applyProtection="0"/>
    <x:xf numFmtId="0" fontId="1" fillId="11" borderId="0" applyNumberFormat="0" applyBorder="0" applyAlignment="0" applyProtection="0"/>
    <x:xf numFmtId="0" fontId="1" fillId="12" borderId="0" applyNumberFormat="0" applyBorder="0" applyAlignment="0" applyProtection="0"/>
    <x:xf numFmtId="0" fontId="17" fillId="13" borderId="0" applyNumberFormat="0" applyBorder="0" applyAlignment="0" applyProtection="0"/>
    <x:xf numFmtId="0" fontId="1" fillId="14" borderId="0" applyNumberFormat="0" applyBorder="0" applyAlignment="0" applyProtection="0"/>
    <x:xf numFmtId="0" fontId="1" fillId="15" borderId="0" applyNumberFormat="0" applyBorder="0" applyAlignment="0" applyProtection="0"/>
    <x:xf numFmtId="0" fontId="1" fillId="16" borderId="0" applyNumberFormat="0" applyBorder="0" applyAlignment="0" applyProtection="0"/>
    <x:xf numFmtId="0" fontId="17" fillId="17" borderId="0" applyNumberFormat="0" applyBorder="0" applyAlignment="0" applyProtection="0"/>
    <x:xf numFmtId="0" fontId="1" fillId="18" borderId="0" applyNumberFormat="0" applyBorder="0" applyAlignment="0" applyProtection="0"/>
    <x:xf numFmtId="0" fontId="1" fillId="19" borderId="0" applyNumberFormat="0" applyBorder="0" applyAlignment="0" applyProtection="0"/>
    <x:xf numFmtId="0" fontId="1" fillId="20" borderId="0" applyNumberFormat="0" applyBorder="0" applyAlignment="0" applyProtection="0"/>
    <x:xf numFmtId="0" fontId="17" fillId="21" borderId="0" applyNumberFormat="0" applyBorder="0" applyAlignment="0" applyProtection="0"/>
    <x:xf numFmtId="0" fontId="1" fillId="22" borderId="0" applyNumberFormat="0" applyBorder="0" applyAlignment="0" applyProtection="0"/>
    <x:xf numFmtId="0" fontId="1" fillId="23" borderId="0" applyNumberFormat="0" applyBorder="0" applyAlignment="0" applyProtection="0"/>
    <x:xf numFmtId="0" fontId="1" fillId="24" borderId="0" applyNumberFormat="0" applyBorder="0" applyAlignment="0" applyProtection="0"/>
    <x:xf numFmtId="0" fontId="17" fillId="25" borderId="0" applyNumberFormat="0" applyBorder="0" applyAlignment="0" applyProtection="0"/>
    <x:xf numFmtId="0" fontId="1" fillId="26" borderId="0" applyNumberFormat="0" applyBorder="0" applyAlignment="0" applyProtection="0"/>
    <x:xf numFmtId="0" fontId="1" fillId="27" borderId="0" applyNumberFormat="0" applyBorder="0" applyAlignment="0" applyProtection="0"/>
    <x:xf numFmtId="0" fontId="1" fillId="28" borderId="0" applyNumberFormat="0" applyBorder="0" applyAlignment="0" applyProtection="0"/>
    <x:xf numFmtId="0" fontId="17" fillId="29" borderId="0" applyNumberFormat="0" applyBorder="0" applyAlignment="0" applyProtection="0"/>
    <x:xf numFmtId="0" fontId="1" fillId="30" borderId="0" applyNumberFormat="0" applyBorder="0" applyAlignment="0" applyProtection="0"/>
    <x:xf numFmtId="0" fontId="1" fillId="31" borderId="0" applyNumberFormat="0" applyBorder="0" applyAlignment="0" applyProtection="0"/>
    <x:xf numFmtId="0" fontId="1" fillId="32" borderId="0" applyNumberFormat="0" applyBorder="0" applyAlignment="0" applyProtection="0"/>
  </x:cellStyleXfs>
  <x:cellXfs count="462">
    <x:xf numFmtId="0" fontId="0" fillId="0" borderId="0" xfId="0"/>
    <x:xf numFmtId="165" fontId="0" fillId="0" borderId="0" xfId="0" applyNumberFormat="1"/>
    <x:xf numFmtId="3" fontId="0" fillId="0" borderId="0" xfId="0" applyNumberFormat="1"/>
    <x:xf numFmtId="0" fontId="23" fillId="34" borderId="0" xfId="0" applyFont="1" applyFill="1"/>
    <x:xf numFmtId="0" fontId="21" fillId="35" borderId="0" xfId="0" applyFont="1" applyFill="1" applyAlignment="1">
      <x:alignment vertical="center"/>
    </x:xf>
    <x:xf numFmtId="0" fontId="24" fillId="36" borderId="11" xfId="0" applyFont="1" applyFill="1" applyBorder="1"/>
    <x:xf numFmtId="0" fontId="22" fillId="37" borderId="11" xfId="0" applyFont="1" applyFill="1" applyBorder="1" applyAlignment="1">
      <x:alignment horizontal="center"/>
    </x:xf>
    <x:xf numFmtId="0" fontId="26" fillId="38" borderId="0" xfId="0" applyFont="1" applyFill="1" applyBorder="1" applyAlignment="1">
      <x:alignment wrapText="1"/>
    </x:xf>
    <x:xf numFmtId="0" fontId="26" fillId="38" borderId="19" xfId="0" applyFont="1" applyFill="1" applyBorder="1" applyAlignment="1">
      <x:alignment wrapText="1"/>
    </x:xf>
    <x:xf numFmtId="3" fontId="28" fillId="36" borderId="0" xfId="0" applyNumberFormat="1" applyFont="1" applyFill="1" applyAlignment="1">
      <x:alignment horizontal="center"/>
    </x:xf>
    <x:xf numFmtId="165" fontId="28" fillId="36" borderId="0" xfId="0" applyNumberFormat="1" applyFont="1" applyFill="1" applyAlignment="1">
      <x:alignment horizontal="center"/>
    </x:xf>
    <x:xf numFmtId="0" fontId="22" fillId="35" borderId="0" xfId="0" applyFont="1" applyFill="1" applyAlignment="1">
      <x:alignment horizontal="center"/>
    </x:xf>
    <x:xf numFmtId="0" fontId="22" fillId="35" borderId="20" xfId="0" applyFont="1" applyFill="1" applyBorder="1" applyAlignment="1">
      <x:alignment horizontal="center"/>
    </x:xf>
    <x:xf numFmtId="0" fontId="22" fillId="37" borderId="11" xfId="0" applyFont="1" applyFill="1" applyBorder="1" applyAlignment="1">
      <x:alignment horizontal="center"/>
    </x:xf>
    <x:xf numFmtId="0" fontId="27" fillId="34" borderId="0" xfId="0" applyFont="1" applyFill="1"/>
    <x:xf numFmtId="0" fontId="27" fillId="34" borderId="21" xfId="0" applyFont="1" applyFill="1" applyBorder="1"/>
    <x:xf numFmtId="3" fontId="27" fillId="34" borderId="21" xfId="0" applyNumberFormat="1" applyFont="1" applyFill="1" applyBorder="1"/>
    <x:xf numFmtId="0" fontId="27" fillId="34" borderId="22" xfId="0" applyFont="1" applyFill="1" applyBorder="1"/>
    <x:xf numFmtId="3" fontId="27" fillId="34" borderId="22" xfId="0" applyNumberFormat="1" applyFont="1" applyFill="1" applyBorder="1"/>
    <x:xf numFmtId="0" fontId="27" fillId="34" borderId="23" xfId="0" applyFont="1" applyFill="1" applyBorder="1"/>
    <x:xf numFmtId="3" fontId="27" fillId="34" borderId="23" xfId="0" applyNumberFormat="1" applyFont="1" applyFill="1" applyBorder="1"/>
    <x:xf numFmtId="165" fontId="27" fillId="34" borderId="21" xfId="0" applyNumberFormat="1" applyFont="1" applyFill="1" applyBorder="1"/>
    <x:xf numFmtId="165" fontId="27" fillId="34" borderId="22" xfId="0" applyNumberFormat="1" applyFont="1" applyFill="1" applyBorder="1"/>
    <x:xf numFmtId="165" fontId="27" fillId="34" borderId="23" xfId="0" applyNumberFormat="1" applyFont="1" applyFill="1" applyBorder="1"/>
    <x:xf numFmtId="0" fontId="25" fillId="36" borderId="0" xfId="0" applyFont="1" applyFill="1"/>
    <x:xf numFmtId="0" fontId="31" fillId="38" borderId="18" xfId="0" applyFont="1" applyFill="1" applyBorder="1" applyAlignment="1">
      <x:alignment wrapText="1"/>
    </x:xf>
    <x:xf numFmtId="0" fontId="31" fillId="38" borderId="0" xfId="0" applyFont="1" applyFill="1" applyBorder="1" applyAlignment="1">
      <x:alignment wrapText="1"/>
    </x:xf>
    <x:xf numFmtId="0" fontId="22" fillId="35" borderId="11" xfId="0" applyFont="1" applyFill="1" applyBorder="1"/>
    <x:xf numFmtId="14" fontId="27" fillId="34" borderId="0" xfId="0" applyNumberFormat="1" applyFont="1" applyFill="1"/>
    <x:xf numFmtId="49" fontId="27" fillId="34" borderId="0" xfId="0" applyNumberFormat="1" applyFont="1" applyFill="1"/>
    <x:xf numFmtId="1" fontId="27" fillId="34" borderId="0" xfId="0" applyNumberFormat="1" applyFont="1" applyFill="1"/>
    <x:xf numFmtId="0" fontId="22" fillId="39" borderId="11" xfId="0" applyFont="1" applyFill="1" applyBorder="1"/>
    <x:xf numFmtId="0" fontId="29" fillId="34" borderId="0" xfId="0" applyFont="1" applyFill="1"/>
    <x:xf numFmtId="1" fontId="29" fillId="34" borderId="0" xfId="0" applyNumberFormat="1" applyFont="1" applyFill="1"/>
    <x:xf numFmtId="164" fontId="29" fillId="34" borderId="0" xfId="0" applyNumberFormat="1" applyFont="1" applyFill="1"/>
    <x:xf numFmtId="0" fontId="27" fillId="36" borderId="24" xfId="0" applyFont="1" applyFill="1" applyBorder="1" applyAlignment="1">
      <x:alignment wrapText="1"/>
    </x:xf>
    <x:xf numFmtId="0" fontId="27" fillId="34" borderId="28" xfId="0" applyFont="1" applyFill="1" applyBorder="1"/>
    <x:xf numFmtId="3" fontId="27" fillId="34" borderId="29" xfId="0" applyNumberFormat="1" applyFont="1" applyFill="1" applyBorder="1"/>
    <x:xf numFmtId="0" fontId="27" fillId="34" borderId="14" xfId="0" applyFont="1" applyFill="1" applyBorder="1"/>
    <x:xf numFmtId="3" fontId="27" fillId="34" borderId="15" xfId="0" applyNumberFormat="1" applyFont="1" applyFill="1" applyBorder="1"/>
    <x:xf numFmtId="0" fontId="27" fillId="34" borderId="16" xfId="0" applyFont="1" applyFill="1" applyBorder="1"/>
    <x:xf numFmtId="3" fontId="27" fillId="34" borderId="17" xfId="0" applyNumberFormat="1" applyFont="1" applyFill="1" applyBorder="1"/>
    <x:xf numFmtId="0" fontId="22" fillId="37" borderId="25" xfId="0" applyFont="1" applyFill="1" applyBorder="1" applyAlignment="1">
      <x:alignment horizontal="center"/>
    </x:xf>
    <x:xf numFmtId="0" fontId="22" fillId="37" borderId="26" xfId="0" applyFont="1" applyFill="1" applyBorder="1" applyAlignment="1">
      <x:alignment horizontal="center"/>
    </x:xf>
    <x:xf numFmtId="0" fontId="22" fillId="37" borderId="27" xfId="0" applyFont="1" applyFill="1" applyBorder="1" applyAlignment="1">
      <x:alignment horizontal="center"/>
    </x:xf>
    <x:xf numFmtId="165" fontId="27" fillId="34" borderId="29" xfId="0" applyNumberFormat="1" applyFont="1" applyFill="1" applyBorder="1"/>
    <x:xf numFmtId="165" fontId="27" fillId="34" borderId="15" xfId="0" applyNumberFormat="1" applyFont="1" applyFill="1" applyBorder="1"/>
    <x:xf numFmtId="165" fontId="27" fillId="34" borderId="17" xfId="0" applyNumberFormat="1" applyFont="1" applyFill="1" applyBorder="1"/>
    <x:xf numFmtId="0" fontId="26" fillId="38" borderId="19" xfId="0" applyFont="1" applyFill="1" applyBorder="1"/>
    <x:xf numFmtId="0" fontId="26" fillId="38" borderId="0" xfId="0" applyFont="1" applyFill="1" applyBorder="1"/>
    <x:xf numFmtId="166" fontId="27" fillId="34" borderId="21" xfId="0" applyNumberFormat="1" applyFont="1" applyFill="1" applyBorder="1"/>
    <x:xf numFmtId="2" fontId="27" fillId="34" borderId="29" xfId="0" applyNumberFormat="1" applyFont="1" applyFill="1" applyBorder="1"/>
    <x:xf numFmtId="166" fontId="27" fillId="34" borderId="22" xfId="0" applyNumberFormat="1" applyFont="1" applyFill="1" applyBorder="1"/>
    <x:xf numFmtId="2" fontId="27" fillId="34" borderId="15" xfId="0" applyNumberFormat="1" applyFont="1" applyFill="1" applyBorder="1"/>
    <x:xf numFmtId="166" fontId="27" fillId="34" borderId="23" xfId="0" applyNumberFormat="1" applyFont="1" applyFill="1" applyBorder="1"/>
    <x:xf numFmtId="2" fontId="27" fillId="34" borderId="17" xfId="0" applyNumberFormat="1" applyFont="1" applyFill="1" applyBorder="1"/>
    <x:xf numFmtId="0" fontId="22" fillId="35" borderId="19" xfId="0" applyFont="1" applyFill="1" applyBorder="1" applyAlignment="1">
      <x:alignment horizontal="center"/>
    </x:xf>
    <x:xf numFmtId="0" fontId="22" fillId="35" borderId="0" xfId="0" applyFont="1" applyFill="1" applyBorder="1" applyAlignment="1">
      <x:alignment horizontal="center"/>
    </x:xf>
    <x:xf numFmtId="0" fontId="25" fillId="36" borderId="0" xfId="0" applyFont="1" applyFill="1" applyBorder="1"/>
    <x:xf numFmtId="0" fontId="0" fillId="33" borderId="0" xfId="0" applyFill="1"/>
    <x:xf numFmtId="0" fontId="23" fillId="40" borderId="0" xfId="0" applyFont="1" applyFill="1"/>
    <x:xf numFmtId="0" fontId="21" fillId="35" borderId="0" xfId="0" applyFont="1" applyFill="1" applyAlignment="1">
      <x:alignment vertical="center"/>
    </x:xf>
    <x:xf numFmtId="0" fontId="24" fillId="36" borderId="11" xfId="0" applyFont="1" applyFill="1" applyBorder="1" applyAlignment="1"/>
    <x:xf numFmtId="0" fontId="27" fillId="36" borderId="19" xfId="0" applyFont="1" applyFill="1" applyBorder="1" applyAlignment="1">
      <x:alignment horizontal="center" wrapText="1"/>
    </x:xf>
    <x:xf numFmtId="0" fontId="27" fillId="36" borderId="0" xfId="0" applyFont="1" applyFill="1" applyBorder="1" applyAlignment="1">
      <x:alignment horizontal="center" wrapText="1"/>
    </x:xf>
    <x:xf numFmtId="0" fontId="23" fillId="33" borderId="0" xfId="0" applyFont="1" applyFill="1"/>
    <x:xf numFmtId="0" fontId="23" fillId="33" borderId="32" xfId="0" applyFont="1" applyFill="1" applyBorder="1"/>
    <x:xf numFmtId="0" fontId="23" fillId="33" borderId="33" xfId="0" applyFont="1" applyFill="1" applyBorder="1"/>
    <x:xf numFmtId="0" fontId="23" fillId="33" borderId="34" xfId="0" applyFont="1" applyFill="1" applyBorder="1"/>
    <x:xf numFmtId="0" fontId="23" fillId="33" borderId="35" xfId="0" applyFont="1" applyFill="1" applyBorder="1"/>
    <x:xf numFmtId="0" fontId="23" fillId="33" borderId="36" xfId="0" applyFont="1" applyFill="1" applyBorder="1"/>
    <x:xf numFmtId="0" fontId="23" fillId="33" borderId="37" xfId="0" applyFont="1" applyFill="1" applyBorder="1"/>
    <x:xf numFmtId="0" fontId="23" fillId="33" borderId="31" xfId="0" applyFont="1" applyFill="1" applyBorder="1"/>
    <x:xf numFmtId="0" fontId="23" fillId="33" borderId="0" xfId="0" applyFont="1" applyFill="1" applyBorder="1"/>
    <x:xf numFmtId="0" fontId="23" fillId="33" borderId="30" xfId="0" applyFont="1" applyFill="1" applyBorder="1"/>
    <x:xf numFmtId="0" fontId="23" fillId="33" borderId="38" xfId="0" applyFont="1" applyFill="1" applyBorder="1"/>
    <x:xf numFmtId="0" fontId="23" fillId="33" borderId="39" xfId="0" applyFont="1" applyFill="1" applyBorder="1"/>
    <x:xf numFmtId="0" fontId="23" fillId="33" borderId="40" xfId="0" applyFont="1" applyFill="1" applyBorder="1"/>
    <x:xf numFmtId="0" fontId="0" fillId="33" borderId="30" xfId="0" applyFill="1" applyBorder="1"/>
    <x:xf numFmtId="0" fontId="20" fillId="35" borderId="0" xfId="0" applyFont="1" applyFill="1"/>
    <x:xf numFmtId="0" fontId="30" fillId="36" borderId="20" xfId="0" applyFont="1" applyFill="1" applyBorder="1" applyAlignment="1">
      <x:alignment wrapText="1"/>
    </x:xf>
    <x:xf numFmtId="0" fontId="37" fillId="36" borderId="0" xfId="0" applyFont="1" applyFill="1" applyBorder="1"/>
    <x:xf numFmtId="0" fontId="30" fillId="36" borderId="41" xfId="0" applyFont="1" applyFill="1" applyBorder="1" applyAlignment="1">
      <x:alignment wrapText="1"/>
    </x:xf>
    <x:xf numFmtId="0" fontId="18" fillId="37" borderId="10" xfId="0" applyFont="1" applyFill="1" applyBorder="1" applyAlignment="1">
      <x:alignment horizontal="center"/>
    </x:xf>
    <x:xf numFmtId="0" fontId="30" fillId="34" borderId="0" xfId="0" applyFont="1" applyFill="1"/>
    <x:xf numFmtId="3" fontId="30" fillId="34" borderId="0" xfId="0" applyNumberFormat="1" applyFont="1" applyFill="1"/>
    <x:xf numFmtId="165" fontId="30" fillId="34" borderId="0" xfId="0" applyNumberFormat="1" applyFont="1" applyFill="1"/>
    <x:xf numFmtId="164" fontId="30" fillId="34" borderId="0" xfId="0" applyNumberFormat="1" applyFont="1" applyFill="1"/>
    <x:xf numFmtId="164" fontId="30" fillId="36" borderId="0" xfId="0" applyNumberFormat="1" applyFont="1" applyFill="1"/>
    <x:xf numFmtId="3" fontId="30" fillId="36" borderId="0" xfId="0" applyNumberFormat="1" applyFont="1" applyFill="1"/>
    <x:xf numFmtId="165" fontId="30" fillId="36" borderId="0" xfId="0" applyNumberFormat="1" applyFont="1" applyFill="1"/>
    <x:xf numFmtId="0" fontId="30" fillId="36" borderId="0" xfId="0" applyFont="1" applyFill="1"/>
    <x:xf numFmtId="3" fontId="18" fillId="37" borderId="10" xfId="0" applyNumberFormat="1" applyFont="1" applyFill="1" applyBorder="1" applyAlignment="1">
      <x:alignment horizontal="center"/>
    </x:xf>
    <x:xf numFmtId="165" fontId="18" fillId="37" borderId="10" xfId="0" applyNumberFormat="1" applyFont="1" applyFill="1" applyBorder="1" applyAlignment="1">
      <x:alignment horizontal="center"/>
    </x:xf>
    <x:xf numFmtId="0" fontId="26" fillId="38" borderId="0" xfId="0" applyFont="1" applyFill="1" applyBorder="1" applyAlignment="1">
      <x:alignment wrapText="1"/>
    </x:xf>
    <x:xf numFmtId="0" fontId="35" fillId="34" borderId="12" xfId="0" applyFont="1" applyFill="1" applyBorder="1"/>
    <x:xf numFmtId="0" fontId="35" fillId="34" borderId="14" xfId="0" applyFont="1" applyFill="1" applyBorder="1"/>
    <x:xf numFmtId="0" fontId="35" fillId="34" borderId="16" xfId="0" applyFont="1" applyFill="1" applyBorder="1"/>
    <x:xf numFmtId="0" fontId="35" fillId="34" borderId="0" xfId="0" applyFont="1" applyFill="1"/>
    <x:xf numFmtId="0" fontId="35" fillId="38" borderId="19" xfId="0" applyFont="1" applyFill="1" applyBorder="1" applyAlignment="1">
      <x:alignment wrapText="1"/>
    </x:xf>
    <x:xf numFmtId="0" fontId="32" fillId="33" borderId="0" xfId="0" applyFont="1" applyFill="1"/>
    <x:xf numFmtId="0" fontId="34" fillId="34" borderId="13" xfId="0" applyFont="1" applyFill="1" applyBorder="1" applyAlignment="1">
      <x:alignment wrapText="1"/>
    </x:xf>
    <x:xf numFmtId="0" fontId="34" fillId="34" borderId="15" xfId="0" applyFont="1" applyFill="1" applyBorder="1" applyAlignment="1">
      <x:alignment wrapText="1"/>
    </x:xf>
    <x:xf numFmtId="0" fontId="34" fillId="34" borderId="22" xfId="0" applyFont="1" applyFill="1" applyBorder="1" applyAlignment="1">
      <x:alignment wrapText="1"/>
    </x:xf>
    <x:xf numFmtId="0" fontId="34" fillId="34" borderId="23" xfId="0" applyFont="1" applyFill="1" applyBorder="1" applyAlignment="1">
      <x:alignment wrapText="1"/>
    </x:xf>
    <x:xf numFmtId="0" fontId="36" fillId="38" borderId="0" xfId="0" applyFont="1" applyFill="1" applyBorder="1" applyAlignment="1">
      <x:alignment wrapText="1"/>
    </x:xf>
    <x:xf numFmtId="0" fontId="34" fillId="34" borderId="0" xfId="0" applyFont="1" applyFill="1" applyAlignment="1">
      <x:alignment wrapText="1"/>
    </x:xf>
    <x:xf numFmtId="0" fontId="30" fillId="33" borderId="0" xfId="0" applyFont="1" applyFill="1" applyAlignment="1">
      <x:alignment wrapText="1"/>
    </x:xf>
    <x:xf numFmtId="0" fontId="0" fillId="0" borderId="10" xfId="0" applyBorder="1"/>
    <x:xf numFmtId="0" fontId="0" fillId="0" borderId="41" xfId="0" applyBorder="1"/>
    <x:xf numFmtId="0" fontId="0" fillId="0" borderId="20" xfId="0" applyBorder="1"/>
    <x:xf numFmtId="165" fontId="19" fillId="35" borderId="0" xfId="0" applyNumberFormat="1" applyFont="1" applyFill="1"/>
    <x:xf numFmtId="165" fontId="19" fillId="37" borderId="0" xfId="0" applyNumberFormat="1" applyFont="1" applyFill="1"/>
    <x:xf numFmtId="165" fontId="30" fillId="41" borderId="0" xfId="0" applyNumberFormat="1" applyFont="1" applyFill="1"/>
    <x:xf numFmtId="165" fontId="30" fillId="42" borderId="0" xfId="0" applyNumberFormat="1" applyFont="1" applyFill="1"/>
    <x:xf numFmtId="0" fontId="0" fillId="0" borderId="42" xfId="0" applyNumberFormat="1" applyFont="1" applyFill="1" applyBorder="1"/>
    <x:xf numFmtId="165" fontId="0" fillId="0" borderId="42" xfId="0" applyNumberFormat="1" applyFont="1" applyFill="1" applyBorder="1"/>
    <x:xf numFmtId="3" fontId="0" fillId="0" borderId="42" xfId="0" applyNumberFormat="1" applyFont="1" applyFill="1" applyBorder="1"/>
    <x:xf numFmtId="0" fontId="23" fillId="34" borderId="42" xfId="0" applyNumberFormat="1" applyFont="1" applyFill="1" applyBorder="1"/>
    <x:xf numFmtId="0" fontId="21" fillId="35" borderId="42" xfId="0" applyNumberFormat="1" applyFont="1" applyFill="1" applyBorder="1" applyAlignment="1">
      <x:alignment vertical="center"/>
    </x:xf>
    <x:xf numFmtId="0" fontId="24" fillId="36" borderId="43" xfId="0" applyNumberFormat="1" applyFont="1" applyFill="1" applyBorder="1"/>
    <x:xf numFmtId="0" fontId="22" fillId="37" borderId="43" xfId="0" applyNumberFormat="1" applyFont="1" applyFill="1" applyBorder="1" applyAlignment="1">
      <x:alignment horizontal="center"/>
    </x:xf>
    <x:xf numFmtId="0" fontId="26" fillId="38" borderId="42" xfId="0" applyNumberFormat="1" applyFont="1" applyFill="1" applyBorder="1" applyAlignment="1">
      <x:alignment wrapText="1"/>
    </x:xf>
    <x:xf numFmtId="0" fontId="26" fillId="38" borderId="44" xfId="0" applyNumberFormat="1" applyFont="1" applyFill="1" applyBorder="1" applyAlignment="1">
      <x:alignment wrapText="1"/>
    </x:xf>
    <x:xf numFmtId="3" fontId="28" fillId="36" borderId="42" xfId="0" applyNumberFormat="1" applyFont="1" applyFill="1" applyBorder="1" applyAlignment="1">
      <x:alignment horizontal="center"/>
    </x:xf>
    <x:xf numFmtId="165" fontId="28" fillId="36" borderId="42" xfId="0" applyNumberFormat="1" applyFont="1" applyFill="1" applyBorder="1" applyAlignment="1">
      <x:alignment horizontal="center"/>
    </x:xf>
    <x:xf numFmtId="0" fontId="22" fillId="35" borderId="42" xfId="0" applyNumberFormat="1" applyFont="1" applyFill="1" applyBorder="1" applyAlignment="1">
      <x:alignment horizontal="center"/>
    </x:xf>
    <x:xf numFmtId="0" fontId="22" fillId="35" borderId="45" xfId="0" applyNumberFormat="1" applyFont="1" applyFill="1" applyBorder="1" applyAlignment="1">
      <x:alignment horizontal="center"/>
    </x:xf>
    <x:xf numFmtId="0" fontId="27" fillId="34" borderId="42" xfId="0" applyNumberFormat="1" applyFont="1" applyFill="1" applyBorder="1"/>
    <x:xf numFmtId="0" fontId="27" fillId="34" borderId="46" xfId="0" applyNumberFormat="1" applyFont="1" applyFill="1" applyBorder="1"/>
    <x:xf numFmtId="3" fontId="27" fillId="34" borderId="46" xfId="0" applyNumberFormat="1" applyFont="1" applyFill="1" applyBorder="1"/>
    <x:xf numFmtId="0" fontId="27" fillId="34" borderId="47" xfId="0" applyNumberFormat="1" applyFont="1" applyFill="1" applyBorder="1"/>
    <x:xf numFmtId="3" fontId="27" fillId="34" borderId="47" xfId="0" applyNumberFormat="1" applyFont="1" applyFill="1" applyBorder="1"/>
    <x:xf numFmtId="0" fontId="27" fillId="34" borderId="48" xfId="0" applyNumberFormat="1" applyFont="1" applyFill="1" applyBorder="1"/>
    <x:xf numFmtId="3" fontId="27" fillId="34" borderId="48" xfId="0" applyNumberFormat="1" applyFont="1" applyFill="1" applyBorder="1"/>
    <x:xf numFmtId="165" fontId="27" fillId="34" borderId="46" xfId="0" applyNumberFormat="1" applyFont="1" applyFill="1" applyBorder="1"/>
    <x:xf numFmtId="165" fontId="27" fillId="34" borderId="47" xfId="0" applyNumberFormat="1" applyFont="1" applyFill="1" applyBorder="1"/>
    <x:xf numFmtId="165" fontId="27" fillId="34" borderId="48" xfId="0" applyNumberFormat="1" applyFont="1" applyFill="1" applyBorder="1"/>
    <x:xf numFmtId="0" fontId="25" fillId="36" borderId="42" xfId="0" applyNumberFormat="1" applyFont="1" applyFill="1" applyBorder="1"/>
    <x:xf numFmtId="0" fontId="31" fillId="38" borderId="49" xfId="0" applyNumberFormat="1" applyFont="1" applyFill="1" applyBorder="1" applyAlignment="1">
      <x:alignment wrapText="1"/>
    </x:xf>
    <x:xf numFmtId="0" fontId="31" fillId="38" borderId="42" xfId="0" applyNumberFormat="1" applyFont="1" applyFill="1" applyBorder="1" applyAlignment="1">
      <x:alignment wrapText="1"/>
    </x:xf>
    <x:xf numFmtId="0" fontId="22" fillId="35" borderId="43" xfId="0" applyNumberFormat="1" applyFont="1" applyFill="1" applyBorder="1"/>
    <x:xf numFmtId="14" fontId="27" fillId="34" borderId="42" xfId="0" applyNumberFormat="1" applyFont="1" applyFill="1" applyBorder="1"/>
    <x:xf numFmtId="49" fontId="27" fillId="34" borderId="42" xfId="0" applyNumberFormat="1" applyFont="1" applyFill="1" applyBorder="1"/>
    <x:xf numFmtId="1" fontId="27" fillId="34" borderId="42" xfId="0" applyNumberFormat="1" applyFont="1" applyFill="1" applyBorder="1"/>
    <x:xf numFmtId="0" fontId="22" fillId="39" borderId="43" xfId="0" applyNumberFormat="1" applyFont="1" applyFill="1" applyBorder="1"/>
    <x:xf numFmtId="0" fontId="29" fillId="34" borderId="42" xfId="0" applyNumberFormat="1" applyFont="1" applyFill="1" applyBorder="1"/>
    <x:xf numFmtId="1" fontId="29" fillId="34" borderId="42" xfId="0" applyNumberFormat="1" applyFont="1" applyFill="1" applyBorder="1"/>
    <x:xf numFmtId="164" fontId="29" fillId="34" borderId="42" xfId="0" applyNumberFormat="1" applyFont="1" applyFill="1" applyBorder="1"/>
    <x:xf numFmtId="0" fontId="27" fillId="36" borderId="50" xfId="0" applyNumberFormat="1" applyFont="1" applyFill="1" applyBorder="1" applyAlignment="1">
      <x:alignment wrapText="1"/>
    </x:xf>
    <x:xf numFmtId="0" fontId="27" fillId="34" borderId="51" xfId="0" applyNumberFormat="1" applyFont="1" applyFill="1" applyBorder="1"/>
    <x:xf numFmtId="3" fontId="27" fillId="34" borderId="52" xfId="0" applyNumberFormat="1" applyFont="1" applyFill="1" applyBorder="1"/>
    <x:xf numFmtId="0" fontId="27" fillId="34" borderId="53" xfId="0" applyNumberFormat="1" applyFont="1" applyFill="1" applyBorder="1"/>
    <x:xf numFmtId="3" fontId="27" fillId="34" borderId="54" xfId="0" applyNumberFormat="1" applyFont="1" applyFill="1" applyBorder="1"/>
    <x:xf numFmtId="0" fontId="27" fillId="34" borderId="55" xfId="0" applyNumberFormat="1" applyFont="1" applyFill="1" applyBorder="1"/>
    <x:xf numFmtId="3" fontId="27" fillId="34" borderId="56" xfId="0" applyNumberFormat="1" applyFont="1" applyFill="1" applyBorder="1"/>
    <x:xf numFmtId="0" fontId="22" fillId="37" borderId="57" xfId="0" applyNumberFormat="1" applyFont="1" applyFill="1" applyBorder="1" applyAlignment="1">
      <x:alignment horizontal="center"/>
    </x:xf>
    <x:xf numFmtId="0" fontId="22" fillId="37" borderId="58" xfId="0" applyNumberFormat="1" applyFont="1" applyFill="1" applyBorder="1" applyAlignment="1">
      <x:alignment horizontal="center"/>
    </x:xf>
    <x:xf numFmtId="0" fontId="22" fillId="37" borderId="59" xfId="0" applyNumberFormat="1" applyFont="1" applyFill="1" applyBorder="1" applyAlignment="1">
      <x:alignment horizontal="center"/>
    </x:xf>
    <x:xf numFmtId="165" fontId="27" fillId="34" borderId="52" xfId="0" applyNumberFormat="1" applyFont="1" applyFill="1" applyBorder="1"/>
    <x:xf numFmtId="165" fontId="27" fillId="34" borderId="54" xfId="0" applyNumberFormat="1" applyFont="1" applyFill="1" applyBorder="1"/>
    <x:xf numFmtId="165" fontId="27" fillId="34" borderId="56" xfId="0" applyNumberFormat="1" applyFont="1" applyFill="1" applyBorder="1"/>
    <x:xf numFmtId="0" fontId="26" fillId="38" borderId="44" xfId="0" applyNumberFormat="1" applyFont="1" applyFill="1" applyBorder="1"/>
    <x:xf numFmtId="0" fontId="26" fillId="38" borderId="42" xfId="0" applyNumberFormat="1" applyFont="1" applyFill="1" applyBorder="1"/>
    <x:xf numFmtId="166" fontId="27" fillId="34" borderId="46" xfId="0" applyNumberFormat="1" applyFont="1" applyFill="1" applyBorder="1"/>
    <x:xf numFmtId="2" fontId="27" fillId="34" borderId="52" xfId="0" applyNumberFormat="1" applyFont="1" applyFill="1" applyBorder="1"/>
    <x:xf numFmtId="166" fontId="27" fillId="34" borderId="47" xfId="0" applyNumberFormat="1" applyFont="1" applyFill="1" applyBorder="1"/>
    <x:xf numFmtId="2" fontId="27" fillId="34" borderId="54" xfId="0" applyNumberFormat="1" applyFont="1" applyFill="1" applyBorder="1"/>
    <x:xf numFmtId="166" fontId="27" fillId="34" borderId="48" xfId="0" applyNumberFormat="1" applyFont="1" applyFill="1" applyBorder="1"/>
    <x:xf numFmtId="2" fontId="27" fillId="34" borderId="56" xfId="0" applyNumberFormat="1" applyFont="1" applyFill="1" applyBorder="1"/>
    <x:xf numFmtId="0" fontId="22" fillId="35" borderId="44" xfId="0" applyNumberFormat="1" applyFont="1" applyFill="1" applyBorder="1" applyAlignment="1">
      <x:alignment horizontal="center"/>
    </x:xf>
    <x:xf numFmtId="0" fontId="0" fillId="33" borderId="42" xfId="0" applyNumberFormat="1" applyFont="1" applyFill="1" applyBorder="1"/>
    <x:xf numFmtId="0" fontId="23" fillId="17" borderId="42" xfId="0" applyNumberFormat="1" applyFont="1" applyFill="1" applyBorder="1"/>
    <x:xf numFmtId="0" fontId="27" fillId="36" borderId="44" xfId="0" applyNumberFormat="1" applyFont="1" applyFill="1" applyBorder="1" applyAlignment="1">
      <x:alignment horizontal="center" wrapText="1"/>
    </x:xf>
    <x:xf numFmtId="0" fontId="27" fillId="36" borderId="42" xfId="0" applyNumberFormat="1" applyFont="1" applyFill="1" applyBorder="1" applyAlignment="1">
      <x:alignment horizontal="center" wrapText="1"/>
    </x:xf>
    <x:xf numFmtId="0" fontId="23" fillId="33" borderId="42" xfId="0" applyNumberFormat="1" applyFont="1" applyFill="1" applyBorder="1"/>
    <x:xf numFmtId="0" fontId="23" fillId="33" borderId="60" xfId="0" applyNumberFormat="1" applyFont="1" applyFill="1" applyBorder="1"/>
    <x:xf numFmtId="0" fontId="23" fillId="33" borderId="61" xfId="0" applyNumberFormat="1" applyFont="1" applyFill="1" applyBorder="1"/>
    <x:xf numFmtId="0" fontId="23" fillId="33" borderId="62" xfId="0" applyNumberFormat="1" applyFont="1" applyFill="1" applyBorder="1"/>
    <x:xf numFmtId="0" fontId="23" fillId="33" borderId="63" xfId="0" applyNumberFormat="1" applyFont="1" applyFill="1" applyBorder="1"/>
    <x:xf numFmtId="0" fontId="23" fillId="33" borderId="64" xfId="0" applyNumberFormat="1" applyFont="1" applyFill="1" applyBorder="1"/>
    <x:xf numFmtId="0" fontId="23" fillId="33" borderId="65" xfId="0" applyNumberFormat="1" applyFont="1" applyFill="1" applyBorder="1"/>
    <x:xf numFmtId="0" fontId="23" fillId="33" borderId="66" xfId="0" applyNumberFormat="1" applyFont="1" applyFill="1" applyBorder="1"/>
    <x:xf numFmtId="0" fontId="23" fillId="33" borderId="67" xfId="0" applyNumberFormat="1" applyFont="1" applyFill="1" applyBorder="1"/>
    <x:xf numFmtId="0" fontId="23" fillId="33" borderId="68" xfId="0" applyNumberFormat="1" applyFont="1" applyFill="1" applyBorder="1"/>
    <x:xf numFmtId="0" fontId="23" fillId="33" borderId="69" xfId="0" applyNumberFormat="1" applyFont="1" applyFill="1" applyBorder="1"/>
    <x:xf numFmtId="0" fontId="23" fillId="33" borderId="70" xfId="0" applyNumberFormat="1" applyFont="1" applyFill="1" applyBorder="1"/>
    <x:xf numFmtId="0" fontId="0" fillId="33" borderId="67" xfId="0" applyNumberFormat="1" applyFont="1" applyFill="1" applyBorder="1"/>
    <x:xf numFmtId="0" fontId="20" fillId="35" borderId="42" xfId="0" applyNumberFormat="1" applyFont="1" applyFill="1" applyBorder="1"/>
    <x:xf numFmtId="0" fontId="30" fillId="36" borderId="45" xfId="0" applyNumberFormat="1" applyFont="1" applyFill="1" applyBorder="1" applyAlignment="1">
      <x:alignment wrapText="1"/>
    </x:xf>
    <x:xf numFmtId="0" fontId="37" fillId="36" borderId="42" xfId="0" applyNumberFormat="1" applyFont="1" applyFill="1" applyBorder="1"/>
    <x:xf numFmtId="0" fontId="30" fillId="36" borderId="71" xfId="0" applyNumberFormat="1" applyFont="1" applyFill="1" applyBorder="1" applyAlignment="1">
      <x:alignment wrapText="1"/>
    </x:xf>
    <x:xf numFmtId="0" fontId="18" fillId="37" borderId="72" xfId="0" applyNumberFormat="1" applyFont="1" applyFill="1" applyBorder="1" applyAlignment="1">
      <x:alignment horizontal="center"/>
    </x:xf>
    <x:xf numFmtId="0" fontId="30" fillId="34" borderId="42" xfId="0" applyNumberFormat="1" applyFont="1" applyFill="1" applyBorder="1"/>
    <x:xf numFmtId="3" fontId="30" fillId="34" borderId="42" xfId="0" applyNumberFormat="1" applyFont="1" applyFill="1" applyBorder="1"/>
    <x:xf numFmtId="165" fontId="30" fillId="34" borderId="42" xfId="0" applyNumberFormat="1" applyFont="1" applyFill="1" applyBorder="1"/>
    <x:xf numFmtId="164" fontId="30" fillId="34" borderId="42" xfId="0" applyNumberFormat="1" applyFont="1" applyFill="1" applyBorder="1"/>
    <x:xf numFmtId="164" fontId="30" fillId="36" borderId="42" xfId="0" applyNumberFormat="1" applyFont="1" applyFill="1" applyBorder="1"/>
    <x:xf numFmtId="3" fontId="30" fillId="36" borderId="42" xfId="0" applyNumberFormat="1" applyFont="1" applyFill="1" applyBorder="1"/>
    <x:xf numFmtId="165" fontId="30" fillId="36" borderId="42" xfId="0" applyNumberFormat="1" applyFont="1" applyFill="1" applyBorder="1"/>
    <x:xf numFmtId="0" fontId="30" fillId="36" borderId="42" xfId="0" applyNumberFormat="1" applyFont="1" applyFill="1" applyBorder="1"/>
    <x:xf numFmtId="3" fontId="18" fillId="37" borderId="72" xfId="0" applyNumberFormat="1" applyFont="1" applyFill="1" applyBorder="1" applyAlignment="1">
      <x:alignment horizontal="center"/>
    </x:xf>
    <x:xf numFmtId="165" fontId="18" fillId="37" borderId="72" xfId="0" applyNumberFormat="1" applyFont="1" applyFill="1" applyBorder="1" applyAlignment="1">
      <x:alignment horizontal="center"/>
    </x:xf>
    <x:xf numFmtId="0" fontId="25" fillId="34" borderId="73" xfId="0" applyNumberFormat="1" applyFont="1" applyFill="1" applyBorder="1"/>
    <x:xf numFmtId="0" fontId="25" fillId="34" borderId="53" xfId="0" applyNumberFormat="1" applyFont="1" applyFill="1" applyBorder="1"/>
    <x:xf numFmtId="0" fontId="25" fillId="34" borderId="55" xfId="0" applyNumberFormat="1" applyFont="1" applyFill="1" applyBorder="1"/>
    <x:xf numFmtId="0" fontId="25" fillId="34" borderId="42" xfId="0" applyNumberFormat="1" applyFont="1" applyFill="1" applyBorder="1"/>
    <x:xf numFmtId="0" fontId="25" fillId="38" borderId="44" xfId="0" applyNumberFormat="1" applyFont="1" applyFill="1" applyBorder="1" applyAlignment="1">
      <x:alignment wrapText="1"/>
    </x:xf>
    <x:xf numFmtId="0" fontId="32" fillId="33" borderId="42" xfId="0" applyNumberFormat="1" applyFont="1" applyFill="1" applyBorder="1"/>
    <x:xf numFmtId="0" fontId="27" fillId="34" borderId="74" xfId="0" applyNumberFormat="1" applyFont="1" applyFill="1" applyBorder="1" applyAlignment="1">
      <x:alignment wrapText="1"/>
    </x:xf>
    <x:xf numFmtId="0" fontId="27" fillId="34" borderId="54" xfId="0" applyNumberFormat="1" applyFont="1" applyFill="1" applyBorder="1" applyAlignment="1">
      <x:alignment wrapText="1"/>
    </x:xf>
    <x:xf numFmtId="0" fontId="27" fillId="34" borderId="47" xfId="0" applyNumberFormat="1" applyFont="1" applyFill="1" applyBorder="1" applyAlignment="1">
      <x:alignment wrapText="1"/>
    </x:xf>
    <x:xf numFmtId="0" fontId="27" fillId="34" borderId="48" xfId="0" applyNumberFormat="1" applyFont="1" applyFill="1" applyBorder="1" applyAlignment="1">
      <x:alignment wrapText="1"/>
    </x:xf>
    <x:xf numFmtId="0" fontId="27" fillId="34" borderId="42" xfId="0" applyNumberFormat="1" applyFont="1" applyFill="1" applyBorder="1" applyAlignment="1">
      <x:alignment wrapText="1"/>
    </x:xf>
    <x:xf numFmtId="0" fontId="30" fillId="33" borderId="42" xfId="0" applyNumberFormat="1" applyFont="1" applyFill="1" applyBorder="1" applyAlignment="1">
      <x:alignment wrapText="1"/>
    </x:xf>
    <x:xf numFmtId="0" fontId="0" fillId="0" borderId="72" xfId="0" applyNumberFormat="1" applyFont="1" applyFill="1" applyBorder="1"/>
    <x:xf numFmtId="0" fontId="0" fillId="0" borderId="71" xfId="0" applyNumberFormat="1" applyFont="1" applyFill="1" applyBorder="1"/>
    <x:xf numFmtId="0" fontId="0" fillId="0" borderId="45" xfId="0" applyNumberFormat="1" applyFont="1" applyFill="1" applyBorder="1"/>
    <x:xf numFmtId="165" fontId="19" fillId="35" borderId="42" xfId="0" applyNumberFormat="1" applyFont="1" applyFill="1" applyBorder="1"/>
    <x:xf numFmtId="165" fontId="19" fillId="37" borderId="42" xfId="0" applyNumberFormat="1" applyFont="1" applyFill="1" applyBorder="1"/>
    <x:xf numFmtId="165" fontId="30" fillId="41" borderId="42" xfId="0" applyNumberFormat="1" applyFont="1" applyFill="1" applyBorder="1"/>
    <x:xf numFmtId="165" fontId="30" fillId="42" borderId="42" xfId="0" applyNumberFormat="1" applyFont="1" applyFill="1" applyBorder="1"/>
    <x:xf numFmtId="200" fontId="30" fillId="34" borderId="0" xfId="0" applyNumberFormat="1" applyFont="1" applyFill="1" applyBorder="1"/>
    <x:xf numFmtId="200" fontId="30" fillId="36" borderId="0" xfId="0" applyNumberFormat="1" applyFont="1" applyFill="1" applyBorder="1"/>
    <x:xf numFmtId="200" fontId="30" fillId="34" borderId="42" xfId="0" applyNumberFormat="1" applyFont="1" applyFill="1" applyBorder="1"/>
    <x:xf numFmtId="200" fontId="30" fillId="36" borderId="42" xfId="0" applyNumberFormat="1" applyFont="1" applyFill="1" applyBorder="1"/>
    <x:xf numFmtId="201" fontId="30" fillId="34" borderId="0" xfId="0" applyNumberFormat="1" applyFont="1" applyFill="1" applyBorder="1"/>
    <x:xf numFmtId="201" fontId="30" fillId="36" borderId="0" xfId="0" applyNumberFormat="1" applyFont="1" applyFill="1" applyBorder="1"/>
    <x:xf numFmtId="201" fontId="30" fillId="34" borderId="42" xfId="0" applyNumberFormat="1" applyFont="1" applyFill="1" applyBorder="1"/>
    <x:xf numFmtId="201" fontId="30" fillId="36" borderId="42" xfId="0" applyNumberFormat="1" applyFont="1" applyFill="1" applyBorder="1"/>
    <x:xf numFmtId="165" fontId="19" fillId="35" borderId="0" xfId="0" applyNumberFormat="1" applyFont="1" applyFill="1" applyBorder="1"/>
    <x:xf numFmtId="165" fontId="19" fillId="37" borderId="0" xfId="0" applyNumberFormat="1" applyFont="1" applyFill="1" applyBorder="1"/>
    <x:xf numFmtId="165" fontId="30" fillId="36" borderId="0" xfId="0" applyNumberFormat="1" applyFont="1" applyFill="1" applyBorder="1"/>
    <x:xf numFmtId="165" fontId="30" fillId="41" borderId="0" xfId="0" applyNumberFormat="1" applyFont="1" applyFill="1" applyBorder="1"/>
    <x:xf numFmtId="165" fontId="30" fillId="42" borderId="0" xfId="0" applyNumberFormat="1" applyFont="1" applyFill="1" applyBorder="1"/>
    <x:xf numFmtId="165" fontId="30" fillId="34" borderId="0" xfId="0" applyNumberFormat="1" applyFont="1" applyFill="1" applyBorder="1"/>
    <x:xf numFmtId="202" fontId="27" fillId="34" borderId="0" xfId="0" applyNumberFormat="1" applyFont="1" applyFill="1" applyBorder="1"/>
    <x:xf numFmtId="202" fontId="27" fillId="34" borderId="42" xfId="0" applyNumberFormat="1" applyFont="1" applyFill="1" applyBorder="1"/>
    <x:xf numFmtId="0" fontId="22" fillId="43" borderId="11" xfId="0" applyNumberFormat="1" applyFont="1" applyFill="1" applyBorder="1"/>
    <x:xf numFmtId="0" fontId="22" fillId="43" borderId="43" xfId="0" applyNumberFormat="1" applyFont="1" applyFill="1" applyBorder="1"/>
    <x:xf numFmtId="0" fontId="27" fillId="44" borderId="0" xfId="0" applyNumberFormat="1" applyFont="1" applyFill="1" applyBorder="1"/>
    <x:xf numFmtId="0" fontId="27" fillId="44" borderId="42" xfId="0" applyNumberFormat="1" applyFont="1" applyFill="1" applyBorder="1"/>
    <x:xf numFmtId="0" fontId="38" fillId="43" borderId="11" xfId="0" applyNumberFormat="1" applyFont="1" applyFill="1" applyBorder="1"/>
    <x:xf numFmtId="0" fontId="39" fillId="44" borderId="0" xfId="0" applyNumberFormat="1" applyFont="1" applyFill="1" applyBorder="1"/>
    <x:xf numFmtId="0" fontId="38" fillId="43" borderId="43" xfId="0" applyNumberFormat="1" applyFont="1" applyFill="1" applyBorder="1"/>
    <x:xf numFmtId="0" fontId="39" fillId="44" borderId="42" xfId="0" applyNumberFormat="1" applyFont="1" applyFill="1" applyBorder="1"/>
    <x:xf numFmtId="0" fontId="23" fillId="34" borderId="0" xfId="0" applyNumberFormat="1" applyFont="1" applyFill="1" applyBorder="1" applyAlignment="1">
      <x:alignment wrapText="1"/>
    </x:xf>
    <x:xf numFmtId="0" fontId="23" fillId="34" borderId="42" xfId="0" applyNumberFormat="1" applyFont="1" applyFill="1" applyBorder="1" applyAlignment="1">
      <x:alignment wrapText="1"/>
    </x:xf>
    <x:xf numFmtId="0" fontId="23" fillId="45" borderId="0" xfId="0" applyNumberFormat="1" applyFont="1" applyFill="1" applyBorder="1" applyAlignment="1">
      <x:alignment wrapText="1"/>
    </x:xf>
    <x:xf numFmtId="0" fontId="23" fillId="45" borderId="42" xfId="0" applyNumberFormat="1" applyFont="1" applyFill="1" applyBorder="1" applyAlignment="1">
      <x:alignment wrapText="1"/>
    </x:xf>
    <x:xf numFmtId="0" fontId="40" fillId="45" borderId="0" xfId="0" applyNumberFormat="1" applyFont="1" applyFill="1" applyBorder="1" applyAlignment="1">
      <x:alignment wrapText="1"/>
    </x:xf>
    <x:xf numFmtId="0" fontId="0" fillId="0" borderId="0" xfId="0" applyNumberFormat="1" applyFont="1" applyFill="1" applyBorder="1"/>
    <x:xf numFmtId="165" fontId="0" fillId="0" borderId="0" xfId="0" applyNumberFormat="1" applyFont="1" applyFill="1" applyBorder="1"/>
    <x:xf numFmtId="3" fontId="0" fillId="0" borderId="0" xfId="0" applyNumberFormat="1" applyFont="1" applyFill="1" applyBorder="1"/>
    <x:xf numFmtId="0" fontId="23" fillId="34" borderId="0" xfId="0" applyNumberFormat="1" applyFont="1" applyFill="1" applyBorder="1"/>
    <x:xf numFmtId="0" fontId="21" fillId="35" borderId="0" xfId="0" applyNumberFormat="1" applyFont="1" applyFill="1" applyBorder="1" applyAlignment="1">
      <x:alignment vertical="center"/>
    </x:xf>
    <x:xf numFmtId="0" fontId="24" fillId="36" borderId="11" xfId="0" applyNumberFormat="1" applyFont="1" applyFill="1" applyBorder="1"/>
    <x:xf numFmtId="0" fontId="22" fillId="37" borderId="11" xfId="0" applyNumberFormat="1" applyFont="1" applyFill="1" applyBorder="1" applyAlignment="1">
      <x:alignment horizontal="center"/>
    </x:xf>
    <x:xf numFmtId="0" fontId="26" fillId="38" borderId="0" xfId="0" applyNumberFormat="1" applyFont="1" applyFill="1" applyBorder="1" applyAlignment="1">
      <x:alignment wrapText="1"/>
    </x:xf>
    <x:xf numFmtId="0" fontId="26" fillId="38" borderId="19" xfId="0" applyNumberFormat="1" applyFont="1" applyFill="1" applyBorder="1" applyAlignment="1">
      <x:alignment wrapText="1"/>
    </x:xf>
    <x:xf numFmtId="3" fontId="28" fillId="36" borderId="0" xfId="0" applyNumberFormat="1" applyFont="1" applyFill="1" applyBorder="1" applyAlignment="1">
      <x:alignment horizontal="center"/>
    </x:xf>
    <x:xf numFmtId="165" fontId="28" fillId="36" borderId="0" xfId="0" applyNumberFormat="1" applyFont="1" applyFill="1" applyBorder="1" applyAlignment="1">
      <x:alignment horizontal="center"/>
    </x:xf>
    <x:xf numFmtId="0" fontId="22" fillId="35" borderId="0" xfId="0" applyNumberFormat="1" applyFont="1" applyFill="1" applyBorder="1" applyAlignment="1">
      <x:alignment horizontal="center"/>
    </x:xf>
    <x:xf numFmtId="0" fontId="22" fillId="35" borderId="20" xfId="0" applyNumberFormat="1" applyFont="1" applyFill="1" applyBorder="1" applyAlignment="1">
      <x:alignment horizontal="center"/>
    </x:xf>
    <x:xf numFmtId="0" fontId="27" fillId="34" borderId="0" xfId="0" applyNumberFormat="1" applyFont="1" applyFill="1" applyBorder="1"/>
    <x:xf numFmtId="0" fontId="27" fillId="34" borderId="21" xfId="0" applyNumberFormat="1" applyFont="1" applyFill="1" applyBorder="1"/>
    <x:xf numFmtId="0" fontId="27" fillId="34" borderId="22" xfId="0" applyNumberFormat="1" applyFont="1" applyFill="1" applyBorder="1"/>
    <x:xf numFmtId="0" fontId="27" fillId="34" borderId="23" xfId="0" applyNumberFormat="1" applyFont="1" applyFill="1" applyBorder="1"/>
    <x:xf numFmtId="0" fontId="25" fillId="36" borderId="0" xfId="0" applyNumberFormat="1" applyFont="1" applyFill="1" applyBorder="1"/>
    <x:xf numFmtId="0" fontId="31" fillId="38" borderId="18" xfId="0" applyNumberFormat="1" applyFont="1" applyFill="1" applyBorder="1" applyAlignment="1">
      <x:alignment wrapText="1"/>
    </x:xf>
    <x:xf numFmtId="0" fontId="31" fillId="38" borderId="0" xfId="0" applyNumberFormat="1" applyFont="1" applyFill="1" applyBorder="1" applyAlignment="1">
      <x:alignment wrapText="1"/>
    </x:xf>
    <x:xf numFmtId="0" fontId="22" fillId="35" borderId="11" xfId="0" applyNumberFormat="1" applyFont="1" applyFill="1" applyBorder="1"/>
    <x:xf numFmtId="14" fontId="27" fillId="34" borderId="0" xfId="0" applyNumberFormat="1" applyFont="1" applyFill="1" applyBorder="1"/>
    <x:xf numFmtId="49" fontId="27" fillId="34" borderId="0" xfId="0" applyNumberFormat="1" applyFont="1" applyFill="1" applyBorder="1"/>
    <x:xf numFmtId="1" fontId="27" fillId="34" borderId="0" xfId="0" applyNumberFormat="1" applyFont="1" applyFill="1" applyBorder="1"/>
    <x:xf numFmtId="0" fontId="22" fillId="39" borderId="11" xfId="0" applyNumberFormat="1" applyFont="1" applyFill="1" applyBorder="1"/>
    <x:xf numFmtId="0" fontId="29" fillId="34" borderId="0" xfId="0" applyNumberFormat="1" applyFont="1" applyFill="1" applyBorder="1"/>
    <x:xf numFmtId="1" fontId="29" fillId="34" borderId="0" xfId="0" applyNumberFormat="1" applyFont="1" applyFill="1" applyBorder="1"/>
    <x:xf numFmtId="164" fontId="29" fillId="34" borderId="0" xfId="0" applyNumberFormat="1" applyFont="1" applyFill="1" applyBorder="1"/>
    <x:xf numFmtId="0" fontId="27" fillId="36" borderId="24" xfId="0" applyNumberFormat="1" applyFont="1" applyFill="1" applyBorder="1" applyAlignment="1">
      <x:alignment wrapText="1"/>
    </x:xf>
    <x:xf numFmtId="0" fontId="27" fillId="34" borderId="28" xfId="0" applyNumberFormat="1" applyFont="1" applyFill="1" applyBorder="1"/>
    <x:xf numFmtId="0" fontId="27" fillId="34" borderId="14" xfId="0" applyNumberFormat="1" applyFont="1" applyFill="1" applyBorder="1"/>
    <x:xf numFmtId="0" fontId="27" fillId="34" borderId="16" xfId="0" applyNumberFormat="1" applyFont="1" applyFill="1" applyBorder="1"/>
    <x:xf numFmtId="0" fontId="22" fillId="37" borderId="25" xfId="0" applyNumberFormat="1" applyFont="1" applyFill="1" applyBorder="1" applyAlignment="1">
      <x:alignment horizontal="center"/>
    </x:xf>
    <x:xf numFmtId="0" fontId="22" fillId="37" borderId="26" xfId="0" applyNumberFormat="1" applyFont="1" applyFill="1" applyBorder="1" applyAlignment="1">
      <x:alignment horizontal="center"/>
    </x:xf>
    <x:xf numFmtId="0" fontId="22" fillId="37" borderId="27" xfId="0" applyNumberFormat="1" applyFont="1" applyFill="1" applyBorder="1" applyAlignment="1">
      <x:alignment horizontal="center"/>
    </x:xf>
    <x:xf numFmtId="0" fontId="26" fillId="38" borderId="19" xfId="0" applyNumberFormat="1" applyFont="1" applyFill="1" applyBorder="1"/>
    <x:xf numFmtId="0" fontId="26" fillId="38" borderId="0" xfId="0" applyNumberFormat="1" applyFont="1" applyFill="1" applyBorder="1"/>
    <x:xf numFmtId="0" fontId="22" fillId="35" borderId="19" xfId="0" applyNumberFormat="1" applyFont="1" applyFill="1" applyBorder="1" applyAlignment="1">
      <x:alignment horizontal="center"/>
    </x:xf>
    <x:xf numFmtId="0" fontId="0" fillId="33" borderId="0" xfId="0" applyNumberFormat="1" applyFont="1" applyFill="1" applyBorder="1"/>
    <x:xf numFmtId="0" fontId="23" fillId="17" borderId="0" xfId="0" applyNumberFormat="1" applyFont="1" applyFill="1" applyBorder="1"/>
    <x:xf numFmtId="0" fontId="27" fillId="36" borderId="19" xfId="0" applyNumberFormat="1" applyFont="1" applyFill="1" applyBorder="1" applyAlignment="1">
      <x:alignment horizontal="center" wrapText="1"/>
    </x:xf>
    <x:xf numFmtId="0" fontId="27" fillId="36" borderId="0" xfId="0" applyNumberFormat="1" applyFont="1" applyFill="1" applyBorder="1" applyAlignment="1">
      <x:alignment horizontal="center" wrapText="1"/>
    </x:xf>
    <x:xf numFmtId="0" fontId="23" fillId="33" borderId="0" xfId="0" applyNumberFormat="1" applyFont="1" applyFill="1" applyBorder="1"/>
    <x:xf numFmtId="0" fontId="23" fillId="33" borderId="32" xfId="0" applyNumberFormat="1" applyFont="1" applyFill="1" applyBorder="1"/>
    <x:xf numFmtId="0" fontId="23" fillId="33" borderId="33" xfId="0" applyNumberFormat="1" applyFont="1" applyFill="1" applyBorder="1"/>
    <x:xf numFmtId="0" fontId="23" fillId="33" borderId="34" xfId="0" applyNumberFormat="1" applyFont="1" applyFill="1" applyBorder="1"/>
    <x:xf numFmtId="0" fontId="23" fillId="33" borderId="35" xfId="0" applyNumberFormat="1" applyFont="1" applyFill="1" applyBorder="1"/>
    <x:xf numFmtId="0" fontId="23" fillId="33" borderId="36" xfId="0" applyNumberFormat="1" applyFont="1" applyFill="1" applyBorder="1"/>
    <x:xf numFmtId="0" fontId="23" fillId="33" borderId="37" xfId="0" applyNumberFormat="1" applyFont="1" applyFill="1" applyBorder="1"/>
    <x:xf numFmtId="0" fontId="23" fillId="33" borderId="31" xfId="0" applyNumberFormat="1" applyFont="1" applyFill="1" applyBorder="1"/>
    <x:xf numFmtId="0" fontId="23" fillId="33" borderId="30" xfId="0" applyNumberFormat="1" applyFont="1" applyFill="1" applyBorder="1"/>
    <x:xf numFmtId="0" fontId="23" fillId="33" borderId="38" xfId="0" applyNumberFormat="1" applyFont="1" applyFill="1" applyBorder="1"/>
    <x:xf numFmtId="0" fontId="23" fillId="33" borderId="39" xfId="0" applyNumberFormat="1" applyFont="1" applyFill="1" applyBorder="1"/>
    <x:xf numFmtId="0" fontId="23" fillId="33" borderId="40" xfId="0" applyNumberFormat="1" applyFont="1" applyFill="1" applyBorder="1"/>
    <x:xf numFmtId="0" fontId="0" fillId="33" borderId="30" xfId="0" applyNumberFormat="1" applyFont="1" applyFill="1" applyBorder="1"/>
    <x:xf numFmtId="0" fontId="20" fillId="35" borderId="0" xfId="0" applyNumberFormat="1" applyFont="1" applyFill="1" applyBorder="1"/>
    <x:xf numFmtId="0" fontId="30" fillId="36" borderId="20" xfId="0" applyNumberFormat="1" applyFont="1" applyFill="1" applyBorder="1" applyAlignment="1">
      <x:alignment wrapText="1"/>
    </x:xf>
    <x:xf numFmtId="0" fontId="37" fillId="36" borderId="0" xfId="0" applyNumberFormat="1" applyFont="1" applyFill="1" applyBorder="1"/>
    <x:xf numFmtId="0" fontId="30" fillId="36" borderId="41" xfId="0" applyNumberFormat="1" applyFont="1" applyFill="1" applyBorder="1" applyAlignment="1">
      <x:alignment wrapText="1"/>
    </x:xf>
    <x:xf numFmtId="0" fontId="18" fillId="37" borderId="10" xfId="0" applyNumberFormat="1" applyFont="1" applyFill="1" applyBorder="1" applyAlignment="1">
      <x:alignment horizontal="center"/>
    </x:xf>
    <x:xf numFmtId="0" fontId="30" fillId="34" borderId="0" xfId="0" applyNumberFormat="1" applyFont="1" applyFill="1" applyBorder="1"/>
    <x:xf numFmtId="3" fontId="30" fillId="34" borderId="0" xfId="0" applyNumberFormat="1" applyFont="1" applyFill="1" applyBorder="1"/>
    <x:xf numFmtId="164" fontId="30" fillId="34" borderId="0" xfId="0" applyNumberFormat="1" applyFont="1" applyFill="1" applyBorder="1"/>
    <x:xf numFmtId="164" fontId="30" fillId="36" borderId="0" xfId="0" applyNumberFormat="1" applyFont="1" applyFill="1" applyBorder="1"/>
    <x:xf numFmtId="3" fontId="30" fillId="36" borderId="0" xfId="0" applyNumberFormat="1" applyFont="1" applyFill="1" applyBorder="1"/>
    <x:xf numFmtId="0" fontId="30" fillId="36" borderId="0" xfId="0" applyNumberFormat="1" applyFont="1" applyFill="1" applyBorder="1"/>
    <x:xf numFmtId="0" fontId="25" fillId="34" borderId="12" xfId="0" applyNumberFormat="1" applyFont="1" applyFill="1" applyBorder="1"/>
    <x:xf numFmtId="0" fontId="25" fillId="34" borderId="14" xfId="0" applyNumberFormat="1" applyFont="1" applyFill="1" applyBorder="1"/>
    <x:xf numFmtId="0" fontId="25" fillId="34" borderId="16" xfId="0" applyNumberFormat="1" applyFont="1" applyFill="1" applyBorder="1"/>
    <x:xf numFmtId="0" fontId="25" fillId="34" borderId="0" xfId="0" applyNumberFormat="1" applyFont="1" applyFill="1" applyBorder="1"/>
    <x:xf numFmtId="0" fontId="25" fillId="38" borderId="19" xfId="0" applyNumberFormat="1" applyFont="1" applyFill="1" applyBorder="1" applyAlignment="1">
      <x:alignment wrapText="1"/>
    </x:xf>
    <x:xf numFmtId="0" fontId="32" fillId="33" borderId="0" xfId="0" applyNumberFormat="1" applyFont="1" applyFill="1" applyBorder="1"/>
    <x:xf numFmtId="0" fontId="27" fillId="34" borderId="13" xfId="0" applyNumberFormat="1" applyFont="1" applyFill="1" applyBorder="1" applyAlignment="1">
      <x:alignment wrapText="1"/>
    </x:xf>
    <x:xf numFmtId="0" fontId="27" fillId="34" borderId="15" xfId="0" applyNumberFormat="1" applyFont="1" applyFill="1" applyBorder="1" applyAlignment="1">
      <x:alignment wrapText="1"/>
    </x:xf>
    <x:xf numFmtId="0" fontId="27" fillId="34" borderId="22" xfId="0" applyNumberFormat="1" applyFont="1" applyFill="1" applyBorder="1" applyAlignment="1">
      <x:alignment wrapText="1"/>
    </x:xf>
    <x:xf numFmtId="0" fontId="27" fillId="34" borderId="23" xfId="0" applyNumberFormat="1" applyFont="1" applyFill="1" applyBorder="1" applyAlignment="1">
      <x:alignment wrapText="1"/>
    </x:xf>
    <x:xf numFmtId="0" fontId="27" fillId="34" borderId="0" xfId="0" applyNumberFormat="1" applyFont="1" applyFill="1" applyBorder="1" applyAlignment="1">
      <x:alignment wrapText="1"/>
    </x:xf>
    <x:xf numFmtId="0" fontId="30" fillId="33" borderId="0" xfId="0" applyNumberFormat="1" applyFont="1" applyFill="1" applyBorder="1" applyAlignment="1">
      <x:alignment wrapText="1"/>
    </x:xf>
    <x:xf numFmtId="0" fontId="0" fillId="0" borderId="10" xfId="0" applyNumberFormat="1" applyFont="1" applyFill="1" applyBorder="1"/>
    <x:xf numFmtId="0" fontId="0" fillId="0" borderId="41" xfId="0" applyNumberFormat="1" applyFont="1" applyFill="1" applyBorder="1"/>
    <x:xf numFmtId="0" fontId="0" fillId="0" borderId="20" xfId="0" applyNumberFormat="1" applyFont="1" applyFill="1" applyBorder="1"/>
    <x:xf numFmtId="0" fontId="27" fillId="6" borderId="0" xfId="0" applyNumberFormat="1" applyFont="1" applyFill="1" applyBorder="1"/>
    <x:xf numFmtId="0" fontId="39" fillId="6" borderId="0" xfId="0" applyNumberFormat="1" applyFont="1" applyFill="1" applyBorder="1"/>
    <x:xf numFmtId="0" fontId="0" fillId="46" borderId="0" xfId="0" applyNumberFormat="1" applyFont="1" applyFill="1" applyBorder="1"/>
    <x:xf numFmtId="0" fontId="41" fillId="46" borderId="0" xfId="0" applyNumberFormat="1" applyFont="1" applyFill="1" applyBorder="1"/>
    <x:xf numFmtId="0" fontId="0" fillId="47" borderId="0" xfId="0" applyNumberFormat="1" applyFont="1" applyFill="1" applyBorder="1"/>
    <x:xf numFmtId="0" fontId="31" fillId="47" borderId="0" xfId="0" applyNumberFormat="1" applyFont="1" applyFill="1" applyBorder="1"/>
    <x:xf numFmtId="0" fontId="31" fillId="47"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48" borderId="0" xfId="0" applyNumberFormat="1" applyFont="1" applyFill="1" applyBorder="1"/>
    <x:xf numFmtId="0" fontId="42" fillId="48" borderId="0" xfId="0" applyNumberFormat="1" applyFont="1" applyFill="1" applyBorder="1"/>
    <x:xf numFmtId="0" fontId="42" fillId="48" borderId="0" xfId="0" applyNumberFormat="1" applyFont="1" applyFill="1" applyBorder="1" applyAlignment="1">
      <x:alignment wrapText="1"/>
    </x:xf>
    <x:xf numFmtId="0" fontId="0" fillId="45" borderId="0" xfId="0" applyNumberFormat="1" applyFont="1" applyFill="1" applyBorder="1"/>
    <x:xf numFmtId="0" fontId="42" fillId="45" borderId="0" xfId="0" applyNumberFormat="1" applyFont="1" applyFill="1" applyBorder="1"/>
    <x:xf numFmtId="0" fontId="42" fillId="45" borderId="0" xfId="0" applyNumberFormat="1" applyFont="1" applyFill="1" applyBorder="1" applyAlignment="1">
      <x:alignment wrapText="1"/>
    </x:xf>
    <x:xf numFmtId="0" fontId="21" fillId="49" borderId="0" xfId="0" applyNumberFormat="1" applyFont="1" applyFill="1" applyBorder="1" applyAlignment="1">
      <x:alignment vertical="center"/>
    </x:xf>
    <x:xf numFmtId="0" fontId="43" fillId="49" borderId="0" xfId="0" applyNumberFormat="1" applyFont="1" applyFill="1" applyBorder="1" applyAlignment="1">
      <x:alignment vertical="center"/>
    </x:xf>
    <x:xf numFmtId="0" fontId="24" fillId="50" borderId="11" xfId="0" applyNumberFormat="1" applyFont="1" applyFill="1" applyBorder="1"/>
    <x:xf numFmtId="0" fontId="44" fillId="50" borderId="11" xfId="0" applyNumberFormat="1" applyFont="1" applyFill="1" applyBorder="1"/>
    <x:xf numFmtId="0" fontId="44" fillId="50" borderId="11" xfId="0" applyNumberFormat="1" applyFont="1" applyFill="1" applyBorder="1" applyAlignment="1">
      <x:alignment vertical="center"/>
    </x:xf>
    <x:xf numFmtId="0" fontId="40" fillId="51" borderId="0" xfId="0" applyNumberFormat="1" applyFont="1" applyFill="1" applyBorder="1" applyAlignment="1">
      <x:alignment wrapText="1"/>
    </x:xf>
    <x:xf numFmtId="0" fontId="45" fillId="51" borderId="0" xfId="0" applyNumberFormat="1" applyFont="1" applyFill="1" applyBorder="1" applyAlignment="1">
      <x:alignment wrapText="1"/>
    </x:xf>
    <x:xf numFmtId="0" fontId="45" fillId="51" borderId="0" xfId="0" applyNumberFormat="1" applyFont="1" applyFill="1" applyBorder="1" applyAlignment="1">
      <x:alignment vertical="center" wrapText="1"/>
    </x:xf>
    <x:xf numFmtId="0" fontId="22" fillId="50" borderId="11" xfId="0" applyNumberFormat="1" applyFont="1" applyFill="1" applyBorder="1" applyAlignment="1">
      <x:alignment horizontal="center"/>
    </x:xf>
    <x:xf numFmtId="0" fontId="46" fillId="50" borderId="11" xfId="0" applyNumberFormat="1" applyFont="1" applyFill="1" applyBorder="1" applyAlignment="1">
      <x:alignment horizontal="center"/>
    </x:xf>
    <x:xf numFmtId="0" fontId="25" fillId="52" borderId="12" xfId="0" applyNumberFormat="1" applyFont="1" applyFill="1" applyBorder="1"/>
    <x:xf numFmtId="0" fontId="27" fillId="52" borderId="13" xfId="0" applyNumberFormat="1" applyFont="1" applyFill="1" applyBorder="1" applyAlignment="1">
      <x:alignment wrapText="1"/>
    </x:xf>
    <x:xf numFmtId="0" fontId="25" fillId="52" borderId="14" xfId="0" applyNumberFormat="1" applyFont="1" applyFill="1" applyBorder="1"/>
    <x:xf numFmtId="0" fontId="27" fillId="52" borderId="15" xfId="0" applyNumberFormat="1" applyFont="1" applyFill="1" applyBorder="1" applyAlignment="1">
      <x:alignment wrapText="1"/>
    </x:xf>
    <x:xf numFmtId="0" fontId="27" fillId="52" borderId="22" xfId="0" applyNumberFormat="1" applyFont="1" applyFill="1" applyBorder="1" applyAlignment="1">
      <x:alignment wrapText="1"/>
    </x:xf>
    <x:xf numFmtId="0" fontId="25" fillId="52" borderId="16" xfId="0" applyNumberFormat="1" applyFont="1" applyFill="1" applyBorder="1"/>
    <x:xf numFmtId="0" fontId="27" fillId="52" borderId="23" xfId="0" applyNumberFormat="1" applyFont="1" applyFill="1" applyBorder="1" applyAlignment="1">
      <x:alignment wrapText="1"/>
    </x:xf>
    <x:xf numFmtId="0" fontId="25" fillId="52" borderId="0" xfId="0" applyNumberFormat="1" applyFont="1" applyFill="1" applyBorder="1"/>
    <x:xf numFmtId="0" fontId="27" fillId="52" borderId="0" xfId="0" applyNumberFormat="1" applyFont="1" applyFill="1" applyBorder="1" applyAlignment="1">
      <x:alignment wrapText="1"/>
    </x:xf>
    <x:xf numFmtId="0" fontId="25" fillId="52" borderId="19" xfId="0" applyNumberFormat="1" applyFont="1" applyFill="1" applyBorder="1" applyAlignment="1">
      <x:alignment wrapText="1"/>
    </x:xf>
    <x:xf numFmtId="0" fontId="26" fillId="52" borderId="0" xfId="0" applyNumberFormat="1" applyFont="1" applyFill="1" applyBorder="1" applyAlignment="1">
      <x:alignment wrapText="1"/>
    </x:xf>
    <x:xf numFmtId="0" fontId="32" fillId="52" borderId="0" xfId="0" applyNumberFormat="1" applyFont="1" applyFill="1" applyBorder="1"/>
    <x:xf numFmtId="0" fontId="30" fillId="52" borderId="0" xfId="0" applyNumberFormat="1" applyFont="1" applyFill="1" applyBorder="1" applyAlignment="1">
      <x:alignment wrapText="1"/>
    </x:xf>
    <x:xf numFmtId="0" fontId="0" fillId="52" borderId="0" xfId="0" applyNumberFormat="1" applyFont="1" applyFill="1" applyBorder="1"/>
    <x:xf numFmtId="0" fontId="47" fillId="52" borderId="12" xfId="0" applyNumberFormat="1" applyFont="1" applyFill="1" applyBorder="1"/>
    <x:xf numFmtId="0" fontId="47" fillId="52" borderId="14" xfId="0" applyNumberFormat="1" applyFont="1" applyFill="1" applyBorder="1"/>
    <x:xf numFmtId="0" fontId="47" fillId="52" borderId="16" xfId="0" applyNumberFormat="1" applyFont="1" applyFill="1" applyBorder="1"/>
    <x:xf numFmtId="0" fontId="47" fillId="52" borderId="0" xfId="0" applyNumberFormat="1" applyFont="1" applyFill="1" applyBorder="1"/>
    <x:xf numFmtId="0" fontId="47" fillId="52" borderId="19" xfId="0" applyNumberFormat="1" applyFont="1" applyFill="1" applyBorder="1" applyAlignment="1">
      <x:alignment wrapText="1"/>
    </x:xf>
    <x:xf numFmtId="0" fontId="48" fillId="52" borderId="0" xfId="0" applyNumberFormat="1" applyFont="1" applyFill="1" applyBorder="1"/>
    <x:xf numFmtId="0" fontId="49" fillId="52" borderId="13" xfId="0" applyNumberFormat="1" applyFont="1" applyFill="1" applyBorder="1" applyAlignment="1">
      <x:alignment wrapText="1"/>
    </x:xf>
    <x:xf numFmtId="0" fontId="49" fillId="52" borderId="15" xfId="0" applyNumberFormat="1" applyFont="1" applyFill="1" applyBorder="1" applyAlignment="1">
      <x:alignment wrapText="1"/>
    </x:xf>
    <x:xf numFmtId="0" fontId="49" fillId="52" borderId="22" xfId="0" applyNumberFormat="1" applyFont="1" applyFill="1" applyBorder="1" applyAlignment="1">
      <x:alignment wrapText="1"/>
    </x:xf>
    <x:xf numFmtId="0" fontId="49" fillId="52" borderId="23" xfId="0" applyNumberFormat="1" applyFont="1" applyFill="1" applyBorder="1" applyAlignment="1">
      <x:alignment wrapText="1"/>
    </x:xf>
    <x:xf numFmtId="0" fontId="49" fillId="52" borderId="0" xfId="0" applyNumberFormat="1" applyFont="1" applyFill="1" applyBorder="1" applyAlignment="1">
      <x:alignment wrapText="1"/>
    </x:xf>
    <x:xf numFmtId="0" fontId="50" fillId="52" borderId="0" xfId="0" applyNumberFormat="1" applyFont="1" applyFill="1" applyBorder="1" applyAlignment="1">
      <x:alignment wrapText="1"/>
    </x:xf>
    <x:xf numFmtId="0" fontId="51" fillId="52" borderId="0" xfId="0" applyNumberFormat="1" applyFont="1" applyFill="1" applyBorder="1" applyAlignment="1">
      <x:alignment wrapText="1"/>
    </x:xf>
    <x:xf numFmtId="0" fontId="51" fillId="52" borderId="0" xfId="0" applyNumberFormat="1" applyFont="1" applyFill="1" applyBorder="1"/>
    <x:xf numFmtId="0" fontId="47" fillId="52" borderId="12" xfId="0" applyNumberFormat="1" applyFont="1" applyFill="1" applyBorder="1" applyAlignment="1">
      <x:alignment wrapText="1"/>
    </x:xf>
    <x:xf numFmtId="0" fontId="47" fillId="52" borderId="14" xfId="0" applyNumberFormat="1" applyFont="1" applyFill="1" applyBorder="1" applyAlignment="1">
      <x:alignment wrapText="1"/>
    </x:xf>
    <x:xf numFmtId="0" fontId="47" fillId="52" borderId="16" xfId="0" applyNumberFormat="1" applyFont="1" applyFill="1" applyBorder="1" applyAlignment="1">
      <x:alignment wrapText="1"/>
    </x:xf>
    <x:xf numFmtId="0" fontId="47" fillId="52" borderId="0" xfId="0" applyNumberFormat="1" applyFont="1" applyFill="1" applyBorder="1" applyAlignment="1">
      <x:alignment wrapText="1"/>
    </x:xf>
    <x:xf numFmtId="0" fontId="48" fillId="52" borderId="0" xfId="0" applyNumberFormat="1" applyFont="1" applyFill="1" applyBorder="1" applyAlignment="1">
      <x:alignment wrapText="1"/>
    </x:xf>
    <x:xf numFmtId="0" fontId="47" fillId="53" borderId="14" xfId="0" applyNumberFormat="1" applyFont="1" applyFill="1" applyBorder="1" applyAlignment="1">
      <x:alignment wrapText="1"/>
    </x:xf>
    <x:xf numFmtId="0" fontId="49" fillId="53" borderId="15" xfId="0" applyNumberFormat="1" applyFont="1" applyFill="1" applyBorder="1" applyAlignment="1">
      <x:alignment wrapText="1"/>
    </x:xf>
    <x:xf numFmtId="0" fontId="49" fillId="53" borderId="22" xfId="0" applyNumberFormat="1" applyFont="1" applyFill="1" applyBorder="1" applyAlignment="1">
      <x:alignment wrapText="1"/>
    </x:xf>
    <x:xf numFmtId="0" fontId="47" fillId="53" borderId="0" xfId="0" applyNumberFormat="1" applyFont="1" applyFill="1" applyBorder="1" applyAlignment="1">
      <x:alignment wrapText="1"/>
    </x:xf>
    <x:xf numFmtId="0" fontId="49" fillId="53" borderId="0" xfId="0" applyNumberFormat="1" applyFont="1" applyFill="1" applyBorder="1" applyAlignment="1">
      <x:alignment wrapText="1"/>
    </x:xf>
    <x:xf numFmtId="0" fontId="48" fillId="53" borderId="0" xfId="0" applyNumberFormat="1" applyFont="1" applyFill="1" applyBorder="1" applyAlignment="1">
      <x:alignment wrapText="1"/>
    </x:xf>
    <x:xf numFmtId="0" fontId="51" fillId="53" borderId="0" xfId="0" applyNumberFormat="1" applyFont="1" applyFill="1" applyBorder="1" applyAlignment="1">
      <x:alignment wrapText="1"/>
    </x:xf>
    <x:xf numFmtId="0" fontId="31" fillId="54" borderId="18" xfId="0" applyNumberFormat="1" applyFont="1" applyFill="1" applyBorder="1" applyAlignment="1">
      <x:alignment wrapText="1"/>
    </x:xf>
    <x:xf numFmtId="0" fontId="31" fillId="54" borderId="0" xfId="0" applyNumberFormat="1" applyFont="1" applyFill="1" applyBorder="1" applyAlignment="1">
      <x:alignment wrapText="1"/>
    </x:xf>
    <x:xf numFmtId="0" fontId="52" fillId="54" borderId="18" xfId="0" applyNumberFormat="1" applyFont="1" applyFill="1" applyBorder="1" applyAlignment="1">
      <x:alignment wrapText="1"/>
    </x:xf>
    <x:xf numFmtId="0" fontId="52" fillId="54" borderId="0" xfId="0" applyNumberFormat="1" applyFont="1" applyFill="1" applyBorder="1" applyAlignment="1">
      <x:alignment wrapText="1"/>
    </x:xf>
    <x:xf numFmtId="0" fontId="21" fillId="46" borderId="0" xfId="0" applyNumberFormat="1" applyFont="1" applyFill="1" applyBorder="1" applyAlignment="1">
      <x:alignment vertical="center"/>
    </x:xf>
    <x:xf numFmtId="0" fontId="43" fillId="46" borderId="0" xfId="0" applyNumberFormat="1" applyFont="1" applyFill="1" applyBorder="1" applyAlignment="1">
      <x:alignment vertical="center"/>
    </x:xf>
    <x:xf numFmtId="0" fontId="24" fillId="47" borderId="11" xfId="0" applyNumberFormat="1" applyFont="1" applyFill="1" applyBorder="1"/>
    <x:xf numFmtId="0" fontId="44" fillId="47" borderId="11" xfId="0" applyNumberFormat="1" applyFont="1" applyFill="1" applyBorder="1"/>
    <x:xf numFmtId="0" fontId="44" fillId="47" borderId="11" xfId="0" applyNumberFormat="1" applyFont="1" applyFill="1" applyBorder="1" applyAlignment="1">
      <x:alignment vertical="center"/>
    </x:xf>
    <x:xf numFmtId="0" fontId="45" fillId="45" borderId="0" xfId="0" applyNumberFormat="1" applyFont="1" applyFill="1" applyBorder="1" applyAlignment="1">
      <x:alignment wrapText="1"/>
    </x:xf>
    <x:xf numFmtId="0" fontId="45" fillId="45" borderId="0" xfId="0" applyNumberFormat="1" applyFont="1" applyFill="1" applyBorder="1" applyAlignment="1">
      <x:alignment vertical="center" wrapText="1"/>
    </x:xf>
    <x:xf numFmtId="0" fontId="22" fillId="47" borderId="11" xfId="0" applyNumberFormat="1" applyFont="1" applyFill="1" applyBorder="1" applyAlignment="1">
      <x:alignment horizontal="center"/>
    </x:xf>
    <x:xf numFmtId="0" fontId="46" fillId="47" borderId="11" xfId="0" applyNumberFormat="1" applyFont="1" applyFill="1" applyBorder="1" applyAlignment="1">
      <x:alignment horizontal="center"/>
    </x:xf>
    <x:xf numFmtId="0" fontId="25" fillId="34" borderId="19" xfId="0" applyNumberFormat="1" applyFont="1" applyFill="1" applyBorder="1" applyAlignment="1">
      <x:alignment wrapText="1"/>
    </x:xf>
    <x:xf numFmtId="0" fontId="26" fillId="34" borderId="0" xfId="0" applyNumberFormat="1" applyFont="1" applyFill="1" applyBorder="1" applyAlignment="1">
      <x:alignment wrapText="1"/>
    </x:xf>
    <x:xf numFmtId="0" fontId="32" fillId="34" borderId="0" xfId="0" applyNumberFormat="1" applyFont="1" applyFill="1" applyBorder="1"/>
    <x:xf numFmtId="0" fontId="30" fillId="34" borderId="0" xfId="0" applyNumberFormat="1" applyFont="1" applyFill="1" applyBorder="1" applyAlignment="1">
      <x:alignment wrapText="1"/>
    </x:xf>
    <x:xf numFmtId="0" fontId="0" fillId="34" borderId="0" xfId="0" applyNumberFormat="1" applyFont="1" applyFill="1" applyBorder="1"/>
    <x:xf numFmtId="0" fontId="47" fillId="34" borderId="12" xfId="0" applyNumberFormat="1" applyFont="1" applyFill="1" applyBorder="1"/>
    <x:xf numFmtId="0" fontId="47" fillId="34" borderId="14" xfId="0" applyNumberFormat="1" applyFont="1" applyFill="1" applyBorder="1"/>
    <x:xf numFmtId="0" fontId="47" fillId="34" borderId="16" xfId="0" applyNumberFormat="1" applyFont="1" applyFill="1" applyBorder="1"/>
    <x:xf numFmtId="0" fontId="47" fillId="34" borderId="0" xfId="0" applyNumberFormat="1" applyFont="1" applyFill="1" applyBorder="1"/>
    <x:xf numFmtId="0" fontId="47" fillId="34" borderId="19" xfId="0" applyNumberFormat="1" applyFont="1" applyFill="1" applyBorder="1" applyAlignment="1">
      <x:alignment wrapText="1"/>
    </x:xf>
    <x:xf numFmtId="0" fontId="48" fillId="34" borderId="0" xfId="0" applyNumberFormat="1" applyFont="1" applyFill="1" applyBorder="1"/>
    <x:xf numFmtId="0" fontId="49" fillId="34" borderId="13" xfId="0" applyNumberFormat="1" applyFont="1" applyFill="1" applyBorder="1" applyAlignment="1">
      <x:alignment wrapText="1"/>
    </x:xf>
    <x:xf numFmtId="0" fontId="49" fillId="34" borderId="15" xfId="0" applyNumberFormat="1" applyFont="1" applyFill="1" applyBorder="1" applyAlignment="1">
      <x:alignment wrapText="1"/>
    </x:xf>
    <x:xf numFmtId="0" fontId="49" fillId="34" borderId="22" xfId="0" applyNumberFormat="1" applyFont="1" applyFill="1" applyBorder="1" applyAlignment="1">
      <x:alignment wrapText="1"/>
    </x:xf>
    <x:xf numFmtId="0" fontId="49" fillId="34" borderId="23" xfId="0" applyNumberFormat="1" applyFont="1" applyFill="1" applyBorder="1" applyAlignment="1">
      <x:alignment wrapText="1"/>
    </x:xf>
    <x:xf numFmtId="0" fontId="49" fillId="34" borderId="0" xfId="0" applyNumberFormat="1" applyFont="1" applyFill="1" applyBorder="1" applyAlignment="1">
      <x:alignment wrapText="1"/>
    </x:xf>
    <x:xf numFmtId="0" fontId="50" fillId="34" borderId="0" xfId="0" applyNumberFormat="1" applyFont="1" applyFill="1" applyBorder="1" applyAlignment="1">
      <x:alignment wrapText="1"/>
    </x:xf>
    <x:xf numFmtId="0" fontId="51" fillId="34" borderId="0" xfId="0" applyNumberFormat="1" applyFont="1" applyFill="1" applyBorder="1" applyAlignment="1">
      <x:alignment wrapText="1"/>
    </x:xf>
    <x:xf numFmtId="0" fontId="51" fillId="34" borderId="0" xfId="0" applyNumberFormat="1" applyFont="1" applyFill="1" applyBorder="1"/>
    <x:xf numFmtId="0" fontId="47" fillId="34" borderId="12" xfId="0" applyNumberFormat="1" applyFont="1" applyFill="1" applyBorder="1" applyAlignment="1">
      <x:alignment wrapText="1"/>
    </x:xf>
    <x:xf numFmtId="0" fontId="47" fillId="34" borderId="14" xfId="0" applyNumberFormat="1" applyFont="1" applyFill="1" applyBorder="1" applyAlignment="1">
      <x:alignment wrapText="1"/>
    </x:xf>
    <x:xf numFmtId="0" fontId="47" fillId="34" borderId="16" xfId="0" applyNumberFormat="1" applyFont="1" applyFill="1" applyBorder="1" applyAlignment="1">
      <x:alignment wrapText="1"/>
    </x:xf>
    <x:xf numFmtId="0" fontId="47" fillId="34" borderId="0" xfId="0" applyNumberFormat="1" applyFont="1" applyFill="1" applyBorder="1" applyAlignment="1">
      <x:alignment wrapText="1"/>
    </x:xf>
    <x:xf numFmtId="0" fontId="48" fillId="34" borderId="0" xfId="0" applyNumberFormat="1" applyFont="1" applyFill="1" applyBorder="1" applyAlignment="1">
      <x:alignment wrapText="1"/>
    </x:xf>
    <x:xf numFmtId="0" fontId="31" fillId="6" borderId="18" xfId="0" applyNumberFormat="1" applyFont="1" applyFill="1" applyBorder="1" applyAlignment="1">
      <x:alignment wrapText="1"/>
    </x:xf>
    <x:xf numFmtId="0" fontId="31" fillId="6" borderId="0" xfId="0" applyNumberFormat="1" applyFont="1" applyFill="1" applyBorder="1" applyAlignment="1">
      <x:alignment wrapText="1"/>
    </x:xf>
    <x:xf numFmtId="0" fontId="52" fillId="6" borderId="18" xfId="0" applyNumberFormat="1" applyFont="1" applyFill="1" applyBorder="1" applyAlignment="1">
      <x:alignment wrapText="1"/>
    </x:xf>
    <x:xf numFmtId="0" fontId="52" fillId="6" borderId="0" xfId="0" applyNumberFormat="1" applyFont="1" applyFill="1" applyBorder="1" applyAlignment="1">
      <x:alignment wrapText="1"/>
    </x:xf>
    <x:xf numFmtId="0" fontId="47" fillId="55" borderId="12" xfId="0" applyNumberFormat="1" applyFont="1" applyFill="1" applyBorder="1" applyAlignment="1">
      <x:alignment wrapText="1"/>
    </x:xf>
    <x:xf numFmtId="0" fontId="49" fillId="55" borderId="13" xfId="0" applyNumberFormat="1" applyFont="1" applyFill="1" applyBorder="1" applyAlignment="1">
      <x:alignment wrapText="1"/>
    </x:xf>
    <x:xf numFmtId="0" fontId="50" fillId="55" borderId="12" xfId="0" applyNumberFormat="1" applyFont="1" applyFill="1" applyBorder="1" applyAlignment="1">
      <x:alignment wrapText="1"/>
    </x:xf>
    <x:xf numFmtId="0" fontId="47" fillId="56" borderId="14" xfId="0" applyNumberFormat="1" applyFont="1" applyFill="1" applyBorder="1" applyAlignment="1">
      <x:alignment wrapText="1"/>
    </x:xf>
    <x:xf numFmtId="0" fontId="49" fillId="56" borderId="15" xfId="0" applyNumberFormat="1" applyFont="1" applyFill="1" applyBorder="1" applyAlignment="1">
      <x:alignment wrapText="1"/>
    </x:xf>
    <x:xf numFmtId="0" fontId="50" fillId="56" borderId="14" xfId="0" applyNumberFormat="1" applyFont="1" applyFill="1" applyBorder="1" applyAlignment="1">
      <x:alignment wrapText="1"/>
    </x:xf>
    <x:xf numFmtId="0" fontId="47" fillId="55" borderId="14" xfId="0" applyNumberFormat="1" applyFont="1" applyFill="1" applyBorder="1" applyAlignment="1">
      <x:alignment wrapText="1"/>
    </x:xf>
    <x:xf numFmtId="0" fontId="49" fillId="55" borderId="22" xfId="0" applyNumberFormat="1" applyFont="1" applyFill="1" applyBorder="1" applyAlignment="1">
      <x:alignment wrapText="1"/>
    </x:xf>
    <x:xf numFmtId="0" fontId="50" fillId="55" borderId="14" xfId="0" applyNumberFormat="1" applyFont="1" applyFill="1" applyBorder="1" applyAlignment="1">
      <x:alignment wrapText="1"/>
    </x:xf>
    <x:xf numFmtId="0" fontId="49" fillId="56" borderId="22" xfId="0" applyNumberFormat="1" applyFont="1" applyFill="1" applyBorder="1" applyAlignment="1">
      <x:alignment wrapText="1"/>
    </x:xf>
    <x:xf numFmtId="0" fontId="47" fillId="55" borderId="16" xfId="0" applyNumberFormat="1" applyFont="1" applyFill="1" applyBorder="1" applyAlignment="1">
      <x:alignment wrapText="1"/>
    </x:xf>
    <x:xf numFmtId="0" fontId="49" fillId="55" borderId="23" xfId="0" applyNumberFormat="1" applyFont="1" applyFill="1" applyBorder="1" applyAlignment="1">
      <x:alignment wrapText="1"/>
    </x:xf>
    <x:xf numFmtId="0" fontId="50" fillId="55" borderId="16" xfId="0" applyNumberFormat="1" applyFont="1" applyFill="1" applyBorder="1" applyAlignment="1">
      <x:alignment wrapText="1"/>
    </x:xf>
    <x:xf numFmtId="0" fontId="47" fillId="56" borderId="0" xfId="0" applyNumberFormat="1" applyFont="1" applyFill="1" applyBorder="1" applyAlignment="1">
      <x:alignment wrapText="1"/>
    </x:xf>
    <x:xf numFmtId="0" fontId="49" fillId="56" borderId="0" xfId="0" applyNumberFormat="1" applyFont="1" applyFill="1" applyBorder="1" applyAlignment="1">
      <x:alignment wrapText="1"/>
    </x:xf>
    <x:xf numFmtId="0" fontId="50" fillId="56" borderId="0" xfId="0" applyNumberFormat="1" applyFont="1" applyFill="1" applyBorder="1" applyAlignment="1">
      <x:alignment wrapText="1"/>
    </x:xf>
    <x:xf numFmtId="0" fontId="47" fillId="55" borderId="19" xfId="0" applyNumberFormat="1" applyFont="1" applyFill="1" applyBorder="1" applyAlignment="1">
      <x:alignment wrapText="1"/>
    </x:xf>
    <x:xf numFmtId="0" fontId="50" fillId="55" borderId="0" xfId="0" applyNumberFormat="1" applyFont="1" applyFill="1" applyBorder="1" applyAlignment="1">
      <x:alignment wrapText="1"/>
    </x:xf>
    <x:xf numFmtId="0" fontId="50" fillId="55" borderId="19" xfId="0" applyNumberFormat="1" applyFont="1" applyFill="1" applyBorder="1" applyAlignment="1">
      <x:alignment wrapText="1"/>
    </x:xf>
    <x:xf numFmtId="0" fontId="48" fillId="56" borderId="0" xfId="0" applyNumberFormat="1" applyFont="1" applyFill="1" applyBorder="1" applyAlignment="1">
      <x:alignment wrapText="1"/>
    </x:xf>
    <x:xf numFmtId="0" fontId="51" fillId="56" borderId="0" xfId="0" applyNumberFormat="1" applyFont="1" applyFill="1" applyBorder="1" applyAlignment="1">
      <x:alignment wrapText="1"/>
    </x:xf>
    <x:xf numFmtId="0" fontId="53" fillId="56" borderId="0" xfId="0" applyNumberFormat="1" applyFont="1" applyFill="1" applyBorder="1" applyAlignment="1">
      <x:alignment wrapText="1"/>
    </x:xf>
    <x:xf numFmtId="0" fontId="48" fillId="55" borderId="0" xfId="0" applyNumberFormat="1" applyFont="1" applyFill="1" applyBorder="1" applyAlignment="1">
      <x:alignment wrapText="1"/>
    </x:xf>
    <x:xf numFmtId="0" fontId="51" fillId="55" borderId="0" xfId="0" applyNumberFormat="1" applyFont="1" applyFill="1" applyBorder="1" applyAlignment="1">
      <x:alignment wrapText="1"/>
    </x:xf>
    <x:xf numFmtId="0" fontId="53" fillId="55" borderId="0" xfId="0" applyNumberFormat="1" applyFont="1" applyFill="1" applyBorder="1" applyAlignment="1">
      <x:alignment wrapText="1"/>
    </x:xf>
  </x:cellXfs>
  <x:cellStyles count="42">
    <x:cellStyle name="20% - Accent1" xfId="19"/>
    <x:cellStyle name="20% - Accent2" xfId="23"/>
    <x:cellStyle name="20% - Accent3" xfId="27"/>
    <x:cellStyle name="20% - Accent4" xfId="31"/>
    <x:cellStyle name="20% - Accent5" xfId="35"/>
    <x:cellStyle name="20% - Accent6" xfId="39"/>
    <x:cellStyle name="40% - Accent1" xfId="20"/>
    <x:cellStyle name="40% - Accent2" xfId="24"/>
    <x:cellStyle name="40% - Accent3" xfId="28"/>
    <x:cellStyle name="40% - Accent4" xfId="32"/>
    <x:cellStyle name="40% - Accent5" xfId="36"/>
    <x:cellStyle name="40% - Accent6" xfId="40"/>
    <x:cellStyle name="60% - Accent1" xfId="21"/>
    <x:cellStyle name="60% - Accent2" xfId="25"/>
    <x:cellStyle name="60% - Accent3" xfId="29"/>
    <x:cellStyle name="60% - Accent4" xfId="33"/>
    <x:cellStyle name="60% - Accent5" xfId="37"/>
    <x:cellStyle name="60% - Accent6" xfId="41"/>
    <x:cellStyle name="Accent1" xfId="18"/>
    <x:cellStyle name="Accent2" xfId="22"/>
    <x:cellStyle name="Accent3" xfId="26"/>
    <x:cellStyle name="Accent4" xfId="30"/>
    <x:cellStyle name="Accent5" xfId="34"/>
    <x:cellStyle name="Accent6" xfId="38"/>
    <x:cellStyle name="Bad" xfId="7"/>
    <x:cellStyle name="Calculation" xfId="11"/>
    <x:cellStyle name="Check Cell" xfId="13"/>
    <x:cellStyle name="Explanatory Text" xfId="16"/>
    <x:cellStyle name="Good" xfId="6"/>
    <x:cellStyle name="Heading 1" xfId="2"/>
    <x:cellStyle name="Heading 2" xfId="3"/>
    <x:cellStyle name="Heading 3" xfId="4"/>
    <x:cellStyle name="Heading 4" xfId="5"/>
    <x:cellStyle name="Input" xfId="9"/>
    <x:cellStyle name="Linked Cell" xfId="12"/>
    <x:cellStyle name="Neutral" xfId="8"/>
    <x:cellStyle name="Normal" xfId="0"/>
    <x:cellStyle name="Note" xfId="15"/>
    <x:cellStyle name="Output" xfId="10"/>
    <x:cellStyle name="Title" xfId="1"/>
    <x:cellStyle name="Total" xfId="17"/>
    <x:cellStyle name="Warning Text" xfId="14"/>
  </x:cellStyles>
  <x:dxfs count="59">
    <x:dxf>
      <x:fill>
        <x:patternFill>
          <x:bgColor indexed="64"/>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ont>
        <x:color rgb="FF1B4332"/>
        <x:name val="Aptos"/>
      </x:font>
      <x:numFmt numFmtId="1" formatCode="0"/>
      <x:fill>
        <x:patternFill>
          <x:bgColor indexed="64"/>
        </x:patternFill>
      </x:fill>
    </x:dxf>
    <x:dxf>
      <x:font>
        <x:color rgb="FF1B4332"/>
        <x:name val="Aptos"/>
      </x:font>
      <x:fill>
        <x:patternFill>
          <x:bgColor indexed="64"/>
        </x:patternFill>
      </x:fill>
    </x:dxf>
    <x:dxf>
      <x:font>
        <x:color rgb="FF1B4332"/>
        <x:name val="Aptos"/>
      </x:font>
      <x:fill>
        <x:patternFill>
          <x:bgColor indexed="64"/>
        </x:patternFill>
      </x:fill>
    </x:dxf>
    <x:dxf>
      <x:font>
        <x:color rgb="FF1B4332"/>
        <x:name val="Aptos"/>
      </x:font>
      <x:numFmt numFmtId="164" formatCode="mmm\ yyyy"/>
      <x:fill>
        <x:patternFill>
          <x:bgColor indexed="64"/>
        </x:patternFill>
      </x:fill>
    </x:dxf>
    <x:dxf>
      <x:font>
        <x:color rgb="FF1B4332"/>
        <x:name val="Aptos"/>
      </x:font>
      <x:numFmt numFmtId="1" formatCode="0"/>
      <x:fill>
        <x:patternFill>
          <x:bgColor indexed="64"/>
        </x:patternFill>
      </x:fill>
    </x:dxf>
    <x:dxf>
      <x:font>
        <x:color rgb="FF1B4332"/>
        <x:name val="Aptos"/>
      </x:font>
      <x:numFmt numFmtId="1" formatCode="0"/>
      <x:fill>
        <x:patternFill>
          <x:bgColor indexed="64"/>
        </x:patternFill>
      </x:fill>
    </x:dxf>
    <x:dxf>
      <x:font>
        <x:color rgb="FF1B4332"/>
        <x:name val="Aptos"/>
      </x:font>
      <x:numFmt numFmtId="1" formatCode="0"/>
      <x:fill>
        <x:patternFill>
          <x:bgColor indexed="64"/>
        </x:patternFill>
      </x:fill>
    </x:dxf>
    <x:dxf>
      <x:font>
        <x:color rgb="FF1B4332"/>
        <x:name val="Aptos"/>
      </x:font>
      <x:fill>
        <x:patternFill>
          <x:bgColor indexed="64"/>
        </x:patternFill>
      </x:fill>
    </x:dxf>
    <x:dxf>
      <x:font>
        <x:color rgb="FF1B4332"/>
        <x:name val="Aptos"/>
      </x:font>
      <x:fill>
        <x:patternFill>
          <x:bgColor indexed="64"/>
        </x:patternFill>
      </x:fill>
    </x:dxf>
    <x:dxf>
      <x:font>
        <x:color rgb="FF1F1F1F"/>
        <x:name val="Aptos"/>
      </x:font>
      <x:fill>
        <x:patternFill>
          <x:bgColor indexed="64"/>
        </x:patternFill>
      </x:fill>
    </x:dxf>
    <x:dxf>
      <x:font>
        <x:color rgb="FF1F1F1F"/>
        <x:name val="Aptos"/>
      </x:font>
      <x:fill>
        <x:patternFill>
          <x:bgColor indexed="64"/>
        </x:patternFill>
      </x:fill>
    </x:dxf>
    <x:dxf>
      <x:font>
        <x:color rgb="FF1F1F1F"/>
        <x:name val="Aptos"/>
      </x:font>
      <x:fill>
        <x:patternFill>
          <x:bgColor indexed="64"/>
        </x:patternFill>
      </x:fill>
    </x:dxf>
    <x:dxf>
      <x:font>
        <x:color rgb="FF1F1F1F"/>
        <x:name val="Aptos"/>
      </x:font>
      <x:numFmt numFmtId="1" formatCode="0"/>
      <x:fill>
        <x:patternFill>
          <x:bgColor indexed="64"/>
        </x:patternFill>
      </x:fill>
    </x:dxf>
    <x:dxf>
      <x:font>
        <x:color rgb="FF1F1F1F"/>
        <x:name val="Aptos"/>
      </x:font>
      <x:numFmt numFmtId="19" formatCode="m/d/yyyy"/>
      <x:fill>
        <x:patternFill>
          <x:bgColor indexed="64"/>
        </x:patternFill>
      </x:fill>
    </x:dxf>
    <x:dxf>
      <x:font>
        <x:color rgb="FF1F1F1F"/>
        <x:name val="Aptos"/>
      </x:font>
      <x:fill>
        <x:patternFill>
          <x:bgColor indexed="64"/>
        </x:patternFill>
      </x:fill>
    </x:dxf>
    <x:dxf>
      <x:font>
        <x:color rgb="FF1F1F1F"/>
        <x:name val="Aptos"/>
      </x:font>
      <x:fill>
        <x:patternFill>
          <x:bgColor indexed="64"/>
        </x:patternFill>
      </x:fill>
    </x:dxf>
    <x:dxf>
      <x:font>
        <x:color rgb="FF1F1F1F"/>
        <x:name val="Aptos"/>
      </x:font>
      <x:fill>
        <x:patternFill>
          <x:bgColor indexed="64"/>
        </x:patternFill>
      </x:fill>
    </x:dxf>
    <x:dxf>
      <x:font>
        <x:color rgb="FF1F1F1F"/>
        <x:name val="Aptos"/>
      </x:font>
      <x:fill>
        <x:patternFill>
          <x:bgColor indexed="64"/>
        </x:patternFill>
      </x:fill>
    </x:dxf>
    <x:dxf>
      <x:font>
        <x:color rgb="FF1F1F1F"/>
        <x:name val="Aptos"/>
      </x:font>
      <x:fill>
        <x:patternFill>
          <x:bgColor indexed="64"/>
        </x:patternFill>
      </x:fill>
    </x:dxf>
    <x:dxf>
      <x:font>
        <x:color rgb="FF1F1F1F"/>
        <x:name val="Aptos"/>
      </x:font>
      <x:fill>
        <x:patternFill>
          <x:bgColor indexed="64"/>
        </x:patternFill>
      </x:fill>
    </x:dxf>
    <x:dxf>
      <x:font>
        <x:color rgb="FF1F1F1F"/>
        <x:name val="Aptos"/>
      </x:font>
      <x:fill>
        <x:patternFill>
          <x:bgColor indexed="64"/>
        </x:patternFill>
      </x:fill>
    </x:dxf>
    <x:dxf>
      <x:font>
        <x:color rgb="FF1F1F1F"/>
        <x:name val="Aptos"/>
      </x:font>
      <x:numFmt numFmtId="19" formatCode="m/d/yyyy"/>
      <x:fill>
        <x:patternFill>
          <x:bgColor indexed="64"/>
        </x:patternFill>
      </x:fill>
    </x:dxf>
    <x:dxf>
      <x:font>
        <x:color rgb="FF1F1F1F"/>
        <x:name val="Aptos"/>
      </x:font>
      <x:numFmt numFmtId="30" formatCode="@"/>
      <x:fill>
        <x:patternFill>
          <x:bgColor indexed="64"/>
        </x:patternFill>
      </x:fill>
    </x:dxf>
    <x:dxf>
      <x:font>
        <x:color rgb="FF1F1F1F"/>
        <x:name val="Aptos"/>
      </x:font>
      <x:fill>
        <x:patternFill>
          <x:bgColor indexed="64"/>
        </x:patternFill>
      </x:fill>
    </x:dxf>
    <x:dxf>
      <x:font>
        <x:color rgb="FF1F1F1F"/>
        <x:name val="Aptos"/>
      </x:font>
      <x:fill>
        <x:patternFill>
          <x:bgColor indexed="64"/>
        </x:patternFill>
      </x:fill>
    </x:dxf>
    <x:dxf>
      <x:font>
        <x:color rgb="FF1F1F1F"/>
        <x:name val="Aptos"/>
      </x:font>
      <x:fill>
        <x:patternFill>
          <x:bgColor indexed="64"/>
        </x:patternFill>
      </x:fill>
    </x:dxf>
    <x:dxf>
      <x:font>
        <x:color rgb="FF1F1F1F"/>
        <x:name val="Aptos"/>
      </x:font>
      <x:numFmt numFmtId="19" formatCode="m/d/yyyy"/>
      <x:fill>
        <x:patternFill>
          <x:bgColor indexed="64"/>
        </x:patternFill>
      </x:fill>
    </x:dxf>
    <x:dxf>
      <x:font>
        <x:color rgb="FF1F1F1F"/>
        <x:name val="Aptos"/>
      </x:font>
      <x:fill>
        <x:patternFill>
          <x:bgColor indexed="64"/>
        </x:patternFill>
      </x:fill>
    </x:dxf>
    <x:dxf>
      <x:font>
        <x:color rgb="FF1F1F1F"/>
        <x:name val="Aptos"/>
      </x:font>
      <x:fill>
        <x:patternFill>
          <x:bgColor indexed="64"/>
        </x:patternFill>
      </x:fill>
    </x:dxf>
    <x:dxf>
      <x:font>
        <x:color rgb="FF1F1F1F"/>
        <x:name val="Aptos"/>
      </x:font>
      <x:fill>
        <x:patternFill>
          <x:bgColor indexed="64"/>
        </x:patternFill>
      </x:fill>
    </x:dxf>
    <x:dxf>
      <x:font>
        <x:color rgb="FF1F1F1F"/>
        <x:name val="Aptos"/>
      </x:font>
      <x:fill>
        <x:patternFill>
          <x:bgColor indexed="64"/>
        </x:patternFill>
      </x:fill>
    </x:dxf>
    <x:dxf>
      <x:font>
        <x:color rgb="FF1F1F1F"/>
        <x:name val="Aptos"/>
      </x:font>
      <x:fill>
        <x:patternFill>
          <x:bgColor indexed="64"/>
        </x:patternFill>
      </x:fill>
    </x:dxf>
    <x:dxf>
      <x:font>
        <x:color rgb="FF1F1F1F"/>
        <x:name val="Aptos"/>
      </x:font>
      <x:fill>
        <x:patternFill>
          <x:bgColor indexed="64"/>
        </x:patternFill>
      </x:fill>
    </x:dxf>
    <x:dxf>
      <x:font>
        <x:color rgb="FF1F1F1F"/>
        <x:name val="Aptos"/>
      </x:font>
      <x:fill>
        <x:patternFill>
          <x:bgColor indexed="64"/>
        </x:patternFill>
      </x:fill>
    </x:dxf>
    <x:dxf>
      <x:border>
        <x:bottom style="medium">
          <x:color rgb="FFC9A227"/>
        </x:bottom>
      </x:border>
    </x:dxf>
    <x:dxf>
      <x:font>
        <x:b/>
        <x:color rgb="FFFFFFFF"/>
        <x:name val="Aptos"/>
      </x:font>
      <x:fill>
        <x:patternFill>
          <x:bgColor indexed="6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5817eb2a0eb4a53" /><Relationship Type="http://schemas.openxmlformats.org/officeDocument/2006/relationships/theme" Target="/xl/theme/theme1.xml" Id="R66e4cf850fc049cd" /><Relationship Type="http://schemas.openxmlformats.org/officeDocument/2006/relationships/sheetMetadata" Target="/xl/metadata1.xml" Id="Rd5b34a241f944e67" /><Relationship Type="http://schemas.openxmlformats.org/officeDocument/2006/relationships/sharedStrings" Target="/xl/sharedStrings.xml" Id="R0449b30c235445f2" /><Relationship Type="http://schemas.openxmlformats.org/officeDocument/2006/relationships/worksheet" Target="/xl/worksheets/sheet1.xml" Id="R6b76c214c0de4b3f" /><Relationship Type="http://schemas.openxmlformats.org/officeDocument/2006/relationships/worksheet" Target="/xl/worksheets/sheet2.xml" Id="R29876a84753348f3" /><Relationship Type="http://schemas.openxmlformats.org/officeDocument/2006/relationships/worksheet" Target="/xl/worksheets/sheet3.xml" Id="Rd33ba7133040442b" /><Relationship Type="http://schemas.openxmlformats.org/officeDocument/2006/relationships/worksheet" Target="/xl/worksheets/sheet4.xml" Id="R347e56592f30469f" /><Relationship Type="http://schemas.openxmlformats.org/officeDocument/2006/relationships/worksheet" Target="/xl/worksheets/sheet5.xml" Id="R5c80ec045df04f1b" /><Relationship Type="http://schemas.openxmlformats.org/officeDocument/2006/relationships/worksheet" Target="/xl/worksheets/sheet6.xml" Id="Rd0487c3ac44c4c1e" /><Relationship Type="http://schemas.openxmlformats.org/officeDocument/2006/relationships/worksheet" Target="/xl/worksheets/sheet7.xml" Id="R5b9c0c705f614f73" /><Relationship Type="http://schemas.openxmlformats.org/officeDocument/2006/relationships/worksheet" Target="/xl/worksheets/sheet8.xml" Id="R716f74d425324e49" /><Relationship Type="http://schemas.openxmlformats.org/officeDocument/2006/relationships/worksheet" Target="/xl/worksheets/sheet9.xml" Id="R38f90169cb5541f1" /><Relationship Type="http://schemas.openxmlformats.org/officeDocument/2006/relationships/worksheet" Target="/xl/worksheets/sheet10.xml" Id="R81f1e5c7e68040a1" /><Relationship Type="http://schemas.openxmlformats.org/officeDocument/2006/relationships/worksheet" Target="/xl/worksheets/sheet11.xml" Id="R2c95f032e4824c17" /><Relationship Type="http://schemas.openxmlformats.org/officeDocument/2006/relationships/worksheet" Target="/xl/worksheets/sheet12.xml" Id="Rf1e64c13e5db4c65" /><Relationship Type="http://schemas.openxmlformats.org/officeDocument/2006/relationships/worksheet" Target="/xl/worksheets/sheet13.xml" Id="R53e36d70ea2d48b4" /><Relationship Type="http://schemas.openxmlformats.org/officeDocument/2006/relationships/worksheet" Target="/xl/worksheets/sheet14.xml" Id="R9a8d2808804644fb" /></Relationships>
</file>

<file path=xl/drawings/_rels/drawing1.xml.rels>&#65279;<?xml version="1.0" encoding="utf-8"?><Relationships xmlns="http://schemas.openxmlformats.org/package/2006/relationships"><Relationship Type="http://schemas.openxmlformats.org/officeDocument/2006/relationships/chart" Target="/xl/drawings/charts/chart1.xml" Id="R1dd1810e35734777" /><Relationship Type="http://schemas.openxmlformats.org/officeDocument/2006/relationships/chart" Target="/xl/drawings/charts/chart2.xml" Id="Rf79e4489a0ac47e5" /><Relationship Type="http://schemas.openxmlformats.org/officeDocument/2006/relationships/chart" Target="/xl/drawings/charts/chart3.xml" Id="R27ccad7a46e54a82" /></Relationships>
</file>

<file path=xl/drawings/_rels/drawing2.xml.rels>&#65279;<?xml version="1.0" encoding="utf-8"?><Relationships xmlns="http://schemas.openxmlformats.org/package/2006/relationships"><Relationship Type="http://schemas.openxmlformats.org/officeDocument/2006/relationships/chart" Target="/xl/drawings/charts/chart4.xml" Id="R489d5244765349b0" /><Relationship Type="http://schemas.openxmlformats.org/officeDocument/2006/relationships/chart" Target="/xl/drawings/charts/chart5.xml" Id="R7596933036ed42db" /></Relationships>
</file>

<file path=xl/drawings/_rels/drawing3.xml.rels>&#65279;<?xml version="1.0" encoding="utf-8"?><Relationships xmlns="http://schemas.openxmlformats.org/package/2006/relationships"><Relationship Type="http://schemas.openxmlformats.org/officeDocument/2006/relationships/chart" Target="/xl/drawings/charts/chart6.xml" Id="Rcfdbb7b5bd9d4a1a" /></Relationships>
</file>

<file path=xl/drawings/_rels/drawing4.xml.rels>&#65279;<?xml version="1.0" encoding="utf-8"?><Relationships xmlns="http://schemas.openxmlformats.org/package/2006/relationships"><Relationship Type="http://schemas.openxmlformats.org/officeDocument/2006/relationships/chart" Target="/xl/drawings/charts/chart7.xml" Id="Rd147f545c1a6466c" /></Relationships>
</file>

<file path=xl/drawings/_rels/drawing5.xml.rels>&#65279;<?xml version="1.0" encoding="utf-8"?><Relationships xmlns="http://schemas.openxmlformats.org/package/2006/relationships"><Relationship Type="http://schemas.openxmlformats.org/officeDocument/2006/relationships/chart" Target="/xl/drawings/charts/chart8.xml" Id="Re188bc1ffad841d9" /></Relationships>
</file>

<file path=xl/drawings/_rels/drawing6.xml.rels>&#65279;<?xml version="1.0" encoding="utf-8"?><Relationships xmlns="http://schemas.openxmlformats.org/package/2006/relationships"><Relationship Type="http://schemas.openxmlformats.org/officeDocument/2006/relationships/chart" Target="/xl/drawings/charts/chart9.xml" Id="Ra748bebb9dc94a2e" /></Relationships>
</file>

<file path=xl/drawings/_rels/drawing7.xml.rels>&#65279;<?xml version="1.0" encoding="utf-8"?><Relationships xmlns="http://schemas.openxmlformats.org/package/2006/relationships"><Relationship Type="http://schemas.openxmlformats.org/officeDocument/2006/relationships/chart" Target="/xl/drawings/charts/chart10.xml" Id="Rdbb66991c5c648ad" /></Relationships>
</file>

<file path=xl/drawings/_rels/drawing8.xml.rels>&#65279;<?xml version="1.0" encoding="utf-8"?><Relationships xmlns="http://schemas.openxmlformats.org/package/2006/relationships"><Relationship Type="http://schemas.openxmlformats.org/officeDocument/2006/relationships/chart" Target="/xl/drawings/charts/chart11.xml" Id="R4814f2be971e40ec" /><Relationship Type="http://schemas.openxmlformats.org/officeDocument/2006/relationships/chart" Target="/xl/drawings/charts/chart12.xml" Id="R7f44643b46d14a45" /></Relationships>
</file>

<file path=xl/drawings/_rels/drawing9.xml.rels>&#65279;<?xml version="1.0" encoding="utf-8"?><Relationships xmlns="http://schemas.openxmlformats.org/package/2006/relationships"><Relationship Type="http://schemas.openxmlformats.org/officeDocument/2006/relationships/chart" Target="/xl/drawings/charts/chart13.xml" Id="R7b47fc4665aa4579" /></Relationships>
</file>

<file path=xl/drawings/charts/chart1.xml><?xml version="1.0" encoding="utf-8"?>
<c:chartSpace xmlns:mc="http://schemas.openxmlformats.org/markup-compatibility/2006" xmlns:c14="http://schemas.microsoft.com/office/drawing/2007/8/2/chart" xmlns:c="http://schemas.openxmlformats.org/drawingml/2006/chart" mc:Ignorable="c14">
  <c:lang val="en-US"/>
  <c:roundedCorners val="0"/>
  <mc:AlternateContent>
    <mc:Choice Requires="c14">
      <c14:style val="102"/>
    </mc:Choice>
    <mc:Fallback>
      <c:style val="2"/>
    </mc:Fallback>
  </mc:AlternateContent>
  <c:chart>
    <c:title>
      <c:tx>
        <c:rich>
          <a:bodyPr xmlns:a="http://schemas.openxmlformats.org/drawingml/2006/main"/>
          <a:lstStyle xmlns:a="http://schemas.openxmlformats.org/drawingml/2006/main"/>
          <a:p xmlns:a="http://schemas.openxmlformats.org/drawingml/2006/main">
            <a:r>
              <a:rPr sz="1200" b="1" i="0" u="none">
                <a:solidFill>
                  <a:srgbClr val="1B4332"/>
                </a:solidFill>
                <a:latin typeface="+mn-lt"/>
                <a:ea typeface="+mn-lt"/>
                <a:cs typeface="+mn-lt"/>
              </a:rPr>
              <a:t>Exclusive Program Outcomes</a:t>
            </a:r>
          </a:p>
        </c:rich>
      </c:tx>
      <c:txPr>
        <a:bodyPr xmlns:a="http://schemas.openxmlformats.org/drawingml/2006/main" rot="0" vert="horz" anchor="ctr" anchorCtr="1"/>
        <a:lstStyle xmlns:a="http://schemas.openxmlformats.org/drawingml/2006/main"/>
        <a:p xmlns:a="http://schemas.openxmlformats.org/drawingml/2006/main">
          <a:pPr>
            <a:defRPr sz="1200" b="1" i="0" u="none">
              <a:solidFill>
                <a:srgbClr val="1B4332"/>
              </a:solidFill>
              <a:latin typeface="+mn-lt"/>
              <a:ea typeface="+mn-lt"/>
              <a:cs typeface="+mn-lt"/>
            </a:defRPr>
          </a:pPr>
        </a:p>
      </c:txPr>
    </c:title>
    <c:autoTitleDeleted val="0"/>
    <c:plotArea>
      <c:barChart>
        <c:barDir val="bar"/>
        <c:grouping val="clustered"/>
        <c:varyColors val="0"/>
        <c:ser>
          <c:idx val="0"/>
          <c:order val="0"/>
          <c:tx>
            <c:strRef>
              <c:f>'Executive Dashboard'!$K$4</c:f>
              <c:strCache>
                <c:ptCount val="1"/>
                <c:pt idx="0">
                  <c:v>Count</c:v>
                </c:pt>
              </c:strCache>
            </c:strRef>
          </c:tx>
          <c:spPr>
            <a:solidFill xmlns:a="http://schemas.openxmlformats.org/drawingml/2006/main">
              <a:srgbClr val="1B4332"/>
            </a:solidFill>
            <a:ln xmlns:a="http://schemas.openxmlformats.org/drawingml/2006/main" w="25400">
              <a:solidFill>
                <a:srgbClr val="1B4332"/>
              </a:solidFill>
              <a:prstDash val="solid"/>
            </a:ln>
          </c:spPr>
          <c:dLbls>
            <c:numFmt formatCode="#,##0" sourceLinked="0"/>
            <c:spPr>
              <a:noFill xmlns:a="http://schemas.openxmlformats.org/drawingml/2006/main"/>
              <a:ln xmlns:a="http://schemas.openxmlformats.org/drawingml/2006/main">
                <a:noFill/>
              </a:ln>
            </c:spPr>
            <c:txPr>
              <a:bodyPr xmlns:a="http://schemas.openxmlformats.org/drawingml/2006/main" anchorCtr="1"/>
              <a:lstStyle xmlns:a="http://schemas.openxmlformats.org/drawingml/2006/main"/>
              <a:p xmlns:a="http://schemas.openxmlformats.org/drawingml/2006/main">
                <a:pPr>
                  <a:defRPr sz="900" b="0" i="0" u="none">
                    <a:solidFill>
                      <a:schemeClr val="tx1">
                        <a:lumMod val="75000"/>
                        <a:lumOff val="25000"/>
                      </a:schemeClr>
                    </a:solidFill>
                    <a:latin typeface="+mn-lt"/>
                    <a:ea typeface="+mn-lt"/>
                    <a:cs typeface="+mn-lt"/>
                  </a:defRPr>
                </a:pPr>
              </a:p>
            </c:txPr>
            <c:showLegendKey val="0"/>
            <c:showVal val="1"/>
            <c:showCatName val="0"/>
            <c:showSerName val="0"/>
            <c:showPercent val="0"/>
            <c:showBubbleSize val="0"/>
            <c:showLeaderLines val="0"/>
          </c:dLbls>
          <c:cat>
            <c:strRef>
              <c:f>'Executive Dashboard'!$J$5:$J$11</c:f>
              <c:strCache>
                <c:ptCount val="7"/>
                <c:pt idx="0">
                  <c:v>Active</c:v>
                </c:pt>
                <c:pt idx="1">
                  <c:v>Promoted</c:v>
                </c:pt>
                <c:pt idx="2">
                  <c:v>Complete</c:v>
                </c:pt>
                <c:pt idx="3">
                  <c:v>Voluntary Exit</c:v>
                </c:pt>
                <c:pt idx="4">
                  <c:v>Terminated</c:v>
                </c:pt>
                <c:pt idx="5">
                  <c:v>Leave of Absence</c:v>
                </c:pt>
                <c:pt idx="6">
                  <c:v>DNP</c:v>
                </c:pt>
              </c:strCache>
            </c:strRef>
          </c:cat>
          <c:val>
            <c:numRef>
              <c:f>'Executive Dashboard'!$K$5:$K$11</c:f>
              <c:numCache>
                <c:formatCode>#,##0</c:formatCode>
                <c:ptCount val="7"/>
                <c:pt idx="0">
                  <c:v>456</c:v>
                </c:pt>
                <c:pt idx="1">
                  <c:v>195</c:v>
                </c:pt>
                <c:pt idx="2">
                  <c:v>80</c:v>
                </c:pt>
                <c:pt idx="3">
                  <c:v>226</c:v>
                </c:pt>
                <c:pt idx="4">
                  <c:v>85</c:v>
                </c:pt>
                <c:pt idx="5">
                  <c:v>8</c:v>
                </c:pt>
                <c:pt idx="6">
                  <c:v>0</c:v>
                </c:pt>
              </c:numCache>
            </c:numRef>
          </c:val>
        </c:ser>
        <c:dLbls>
          <c:showLegendKey val="0"/>
          <c:showVal val="0"/>
          <c:showCatName val="0"/>
          <c:showSerName val="0"/>
          <c:showPercent val="0"/>
          <c:showBubbleSize val="0"/>
        </c:dLbls>
        <c:gapWidth val="182"/>
        <c:axId val="1385683408"/>
        <c:axId val="1389083184"/>
      </c:barChart>
      <c:catAx>
        <c:axId val="1385683408"/>
        <c:scaling>
          <c:orientation val="minMax"/>
        </c:scaling>
        <c:delete val="0"/>
        <c:axPos val="l"/>
        <c:numFmt formatCode="General" sourceLinked="1"/>
        <c:majorTickMark val="none"/>
        <c:minorTickMark val="none"/>
        <c:tickLblPos val="nextTo"/>
        <c:spPr>
          <a:ln xmlns:a="http://schemas.openxmlformats.org/drawingml/2006/main" w="9525" cmpd="sng">
            <a:solidFill>
              <a:schemeClr val="tx1">
                <a:lumMod val="15000"/>
                <a:lumOff val="85000"/>
              </a:schemeClr>
            </a:solidFill>
          </a:ln>
        </c:spPr>
        <c:txPr>
          <a:bodyPr xmlns:a="http://schemas.openxmlformats.org/drawingml/2006/main" rot="-6000000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1389083184"/>
        <c:crosses val="autoZero"/>
        <c:lblAlgn val="ctr"/>
        <c:lblOffset val="100"/>
        <c:noMultiLvlLbl val="0"/>
      </c:catAx>
      <c:valAx>
        <c:axId val="1389083184"/>
        <c:scaling>
          <c:orientation val="minMax"/>
        </c:scaling>
        <c:delete val="0"/>
        <c:axPos val="b"/>
        <c:majorGridlines>
          <c:spPr>
            <a:ln xmlns:a="http://schemas.openxmlformats.org/drawingml/2006/main" w="9525" cmpd="sng">
              <a:solidFill>
                <a:schemeClr val="tx1">
                  <a:lumMod val="15000"/>
                  <a:lumOff val="85000"/>
                </a:schemeClr>
              </a:solidFill>
            </a:ln>
          </c:spPr>
        </c:majorGridlines>
        <c:numFmt formatCode="#,##0" sourceLinked="1"/>
        <c:majorTickMark val="none"/>
        <c:minorTickMark val="none"/>
        <c:tickLblPos val="nextTo"/>
        <c:spPr>
          <a:ln xmlns:a="http://schemas.openxmlformats.org/drawingml/2006/main">
            <a:noFill/>
          </a:ln>
        </c:spPr>
        <c:txPr>
          <a:bodyPr xmlns:a="http://schemas.openxmlformats.org/drawingml/2006/main" rot="-6000000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1385683408"/>
        <c:crosses val="autoZero"/>
        <c:crossBetween val="between"/>
      </c:valAx>
      <c:spPr>
        <a:solidFill xmlns:a="http://schemas.openxmlformats.org/drawingml/2006/main">
          <a:srgbClr val="FFFFFF"/>
        </a:solidFill>
        <a:ln xmlns:a="http://schemas.openxmlformats.org/drawingml/2006/main">
          <a:noFill/>
        </a:ln>
      </c:spPr>
    </c:plotArea>
    <c:plotVisOnly val="1"/>
  </c:chart>
  <c:spPr>
    <a:solidFill xmlns:a="http://schemas.openxmlformats.org/drawingml/2006/main">
      <a:srgbClr val="FFFFFF"/>
    </a:solidFill>
    <a:ln xmlns:a="http://schemas.openxmlformats.org/drawingml/2006/main" w="9525" cmpd="sng">
      <a:solidFill>
        <a:schemeClr val="tx1">
          <a:lumMod val="15000"/>
          <a:lumOff val="85000"/>
        </a:schemeClr>
      </a:solidFill>
    </a:ln>
  </c:spPr>
</c:chartSpace>
</file>

<file path=xl/drawings/charts/chart2.xml><?xml version="1.0" encoding="utf-8"?>
<c:chartSpace xmlns:mc="http://schemas.openxmlformats.org/markup-compatibility/2006" xmlns:c14="http://schemas.microsoft.com/office/drawing/2007/8/2/chart" xmlns:c="http://schemas.openxmlformats.org/drawingml/2006/chart" mc:Ignorable="c14">
  <c:lang val="en-US"/>
  <c:roundedCorners val="0"/>
  <mc:AlternateContent>
    <mc:Choice Requires="c14">
      <c14:style val="102"/>
    </mc:Choice>
    <mc:Fallback>
      <c:style val="2"/>
    </mc:Fallback>
  </mc:AlternateContent>
  <c:chart>
    <c:title>
      <c:tx>
        <c:rich>
          <a:bodyPr xmlns:a="http://schemas.openxmlformats.org/drawingml/2006/main"/>
          <a:lstStyle xmlns:a="http://schemas.openxmlformats.org/drawingml/2006/main"/>
          <a:p xmlns:a="http://schemas.openxmlformats.org/drawingml/2006/main">
            <a:r>
              <a:rPr sz="1200" b="1" i="0" u="none">
                <a:solidFill>
                  <a:srgbClr val="1B4332"/>
                </a:solidFill>
                <a:latin typeface="+mn-lt"/>
                <a:ea typeface="+mn-lt"/>
                <a:cs typeface="+mn-lt"/>
              </a:rPr>
              <a:t>Success Rate by Training Year</a:t>
            </a:r>
          </a:p>
        </c:rich>
      </c:tx>
      <c:txPr>
        <a:bodyPr xmlns:a="http://schemas.openxmlformats.org/drawingml/2006/main" rot="0" vert="horz" anchor="ctr" anchorCtr="1"/>
        <a:lstStyle xmlns:a="http://schemas.openxmlformats.org/drawingml/2006/main"/>
        <a:p xmlns:a="http://schemas.openxmlformats.org/drawingml/2006/main">
          <a:pPr>
            <a:defRPr sz="1200" b="1" i="0" u="none">
              <a:solidFill>
                <a:srgbClr val="1B4332"/>
              </a:solidFill>
              <a:latin typeface="+mn-lt"/>
              <a:ea typeface="+mn-lt"/>
              <a:cs typeface="+mn-lt"/>
            </a:defRPr>
          </a:pPr>
        </a:p>
      </c:txPr>
    </c:title>
    <c:autoTitleDeleted val="0"/>
    <c:plotArea>
      <c:lineChart>
        <c:grouping val="standard"/>
        <c:varyColors val="0"/>
        <c:ser>
          <c:idx val="0"/>
          <c:order val="0"/>
          <c:tx>
            <c:strRef>
              <c:f>'Executive Dashboard'!$K$14</c:f>
              <c:strCache>
                <c:ptCount val="1"/>
                <c:pt idx="0">
                  <c:v>Success Rate</c:v>
                </c:pt>
              </c:strCache>
            </c:strRef>
          </c:tx>
          <c:spPr>
            <a:ln xmlns:a="http://schemas.openxmlformats.org/drawingml/2006/main" w="25400">
              <a:solidFill>
                <a:srgbClr val="1B4332"/>
              </a:solidFill>
              <a:prstDash val="solid"/>
            </a:ln>
          </c:spPr>
          <c:marker>
            <c:symbol val="circle"/>
            <c:size val="5"/>
            <c:spPr>
              <a:solidFill xmlns:a="http://schemas.openxmlformats.org/drawingml/2006/main">
                <a:schemeClr val="accent1"/>
              </a:solidFill>
              <a:ln xmlns:a="http://schemas.openxmlformats.org/drawingml/2006/main" w="9525">
                <a:solidFill>
                  <a:schemeClr val="accent1"/>
                </a:solidFill>
              </a:ln>
            </c:spPr>
          </c:marker>
          <c:dLbls>
            <c:numFmt formatCode="0%" sourceLinked="0"/>
            <c:spPr>
              <a:noFill xmlns:a="http://schemas.openxmlformats.org/drawingml/2006/main"/>
              <a:ln xmlns:a="http://schemas.openxmlformats.org/drawingml/2006/main">
                <a:noFill/>
              </a:ln>
            </c:spPr>
            <c:txPr>
              <a:bodyPr xmlns:a="http://schemas.openxmlformats.org/drawingml/2006/main" anchorCtr="1"/>
              <a:lstStyle xmlns:a="http://schemas.openxmlformats.org/drawingml/2006/main"/>
              <a:p xmlns:a="http://schemas.openxmlformats.org/drawingml/2006/main">
                <a:pPr>
                  <a:defRPr sz="900" b="0" i="0" u="none">
                    <a:solidFill>
                      <a:schemeClr val="tx1">
                        <a:lumMod val="75000"/>
                        <a:lumOff val="25000"/>
                      </a:schemeClr>
                    </a:solidFill>
                    <a:latin typeface="+mn-lt"/>
                    <a:ea typeface="+mn-lt"/>
                    <a:cs typeface="+mn-lt"/>
                  </a:defRPr>
                </a:pPr>
              </a:p>
            </c:txPr>
            <c:showLegendKey val="0"/>
            <c:showVal val="1"/>
            <c:showCatName val="0"/>
            <c:showSerName val="0"/>
            <c:showPercent val="0"/>
            <c:showBubbleSize val="0"/>
            <c:showLeaderLines val="0"/>
          </c:dLbls>
          <c:cat>
            <c:numRef>
              <c:f>'Executive Dashboard'!$J$15:$J$18</c:f>
              <c:numCache>
                <c:formatCode>General</c:formatCode>
                <c:ptCount val="4"/>
                <c:pt idx="0">
                  <c:v>2023</c:v>
                </c:pt>
                <c:pt idx="1">
                  <c:v>2024</c:v>
                </c:pt>
                <c:pt idx="2">
                  <c:v>2025</c:v>
                </c:pt>
                <c:pt idx="3">
                  <c:v>2026</c:v>
                </c:pt>
              </c:numCache>
            </c:numRef>
          </c:cat>
          <c:val>
            <c:numRef>
              <c:f>'Executive Dashboard'!$K$15:$K$18</c:f>
              <c:numCache>
                <c:formatCode>0.0%</c:formatCode>
                <c:ptCount val="4"/>
                <c:pt idx="0">
                  <c:v>0.6815286624203821</c:v>
                </c:pt>
                <c:pt idx="1">
                  <c:v>0.7142857142857143</c:v>
                </c:pt>
                <c:pt idx="2">
                  <c:v>0.7097791798107256</c:v>
                </c:pt>
                <c:pt idx="3">
                  <c:v>0.6515151515151515</c:v>
                </c:pt>
              </c:numCache>
            </c:numRef>
          </c:val>
        </c:ser>
        <c:dLbls>
          <c:showLegendKey val="0"/>
          <c:showVal val="0"/>
          <c:showCatName val="0"/>
          <c:showSerName val="0"/>
          <c:showPercent val="0"/>
          <c:showBubbleSize val="0"/>
        </c:dLbls>
        <c:axId val="379687696"/>
        <c:axId val="381717072"/>
      </c:lineChart>
      <c:catAx>
        <c:axId val="379687696"/>
        <c:scaling>
          <c:orientation val="minMax"/>
        </c:scaling>
        <c:delete val="0"/>
        <c:axPos val="b"/>
        <c:numFmt formatCode="General" sourceLinked="1"/>
        <c:majorTickMark val="none"/>
        <c:minorTickMark val="none"/>
        <c:tickLblPos val="nextTo"/>
        <c:spPr>
          <a:ln xmlns:a="http://schemas.openxmlformats.org/drawingml/2006/main" w="9525" cmpd="sng">
            <a:solidFill>
              <a:schemeClr val="tx1">
                <a:lumMod val="15000"/>
                <a:lumOff val="85000"/>
              </a:schemeClr>
            </a:solidFill>
          </a:ln>
        </c:spPr>
        <c:txPr>
          <a:bodyPr xmlns:a="http://schemas.openxmlformats.org/drawingml/2006/main" rot="-6000000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381717072"/>
        <c:crosses val="autoZero"/>
        <c:lblAlgn val="ctr"/>
        <c:lblOffset val="100"/>
        <c:noMultiLvlLbl val="0"/>
      </c:catAx>
      <c:valAx>
        <c:axId val="381717072"/>
        <c:scaling>
          <c:orientation val="minMax"/>
        </c:scaling>
        <c:delete val="0"/>
        <c:axPos val="l"/>
        <c:majorGridlines>
          <c:spPr>
            <a:ln xmlns:a="http://schemas.openxmlformats.org/drawingml/2006/main" w="9525" cmpd="sng">
              <a:solidFill>
                <a:schemeClr val="tx1">
                  <a:lumMod val="15000"/>
                  <a:lumOff val="85000"/>
                </a:schemeClr>
              </a:solidFill>
            </a:ln>
          </c:spPr>
        </c:majorGridlines>
        <c:numFmt formatCode="0.0%" sourceLinked="1"/>
        <c:majorTickMark val="none"/>
        <c:minorTickMark val="none"/>
        <c:tickLblPos val="nextTo"/>
        <c:spPr>
          <a:ln xmlns:a="http://schemas.openxmlformats.org/drawingml/2006/main">
            <a:noFill/>
          </a:ln>
        </c:spPr>
        <c:txPr>
          <a:bodyPr xmlns:a="http://schemas.openxmlformats.org/drawingml/2006/main" rot="-6000000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379687696"/>
        <c:crosses val="autoZero"/>
        <c:crossBetween val="between"/>
      </c:valAx>
      <c:spPr>
        <a:solidFill xmlns:a="http://schemas.openxmlformats.org/drawingml/2006/main">
          <a:srgbClr val="FFFFFF"/>
        </a:solidFill>
        <a:ln xmlns:a="http://schemas.openxmlformats.org/drawingml/2006/main">
          <a:noFill/>
        </a:ln>
      </c:spPr>
    </c:plotArea>
    <c:plotVisOnly val="1"/>
  </c:chart>
  <c:spPr>
    <a:solidFill xmlns:a="http://schemas.openxmlformats.org/drawingml/2006/main">
      <a:srgbClr val="FFFFFF"/>
    </a:solidFill>
    <a:ln xmlns:a="http://schemas.openxmlformats.org/drawingml/2006/main" w="9525" cmpd="sng">
      <a:solidFill>
        <a:schemeClr val="tx1">
          <a:lumMod val="15000"/>
          <a:lumOff val="85000"/>
        </a:schemeClr>
      </a:solidFill>
    </a:ln>
  </c:spPr>
</c:chartSpace>
</file>

<file path=xl/drawings/charts/chart3.xml><?xml version="1.0" encoding="utf-8"?>
<c:chartSpace xmlns:mc="http://schemas.openxmlformats.org/markup-compatibility/2006" xmlns:c14="http://schemas.microsoft.com/office/drawing/2007/8/2/chart" xmlns:c="http://schemas.openxmlformats.org/drawingml/2006/chart" mc:Ignorable="c14">
  <c:lang val="en-US"/>
  <c:roundedCorners val="0"/>
  <mc:AlternateContent>
    <mc:Choice Requires="c14">
      <c14:style val="102"/>
    </mc:Choice>
    <mc:Fallback>
      <c:style val="2"/>
    </mc:Fallback>
  </mc:AlternateContent>
  <c:chart>
    <c:title>
      <c:tx>
        <c:rich>
          <a:bodyPr xmlns:a="http://schemas.openxmlformats.org/drawingml/2006/main"/>
          <a:lstStyle xmlns:a="http://schemas.openxmlformats.org/drawingml/2006/main"/>
          <a:p xmlns:a="http://schemas.openxmlformats.org/drawingml/2006/main">
            <a:r>
              <a:rPr sz="1200" b="1" i="0" u="none">
                <a:solidFill>
                  <a:srgbClr val="1B4332"/>
                </a:solidFill>
                <a:latin typeface="+mn-lt"/>
                <a:ea typeface="+mn-lt"/>
                <a:cs typeface="+mn-lt"/>
              </a:rPr>
              <a:t>Success Rate by Assignment Timing</a:t>
            </a:r>
          </a:p>
        </c:rich>
      </c:tx>
      <c:txPr>
        <a:bodyPr xmlns:a="http://schemas.openxmlformats.org/drawingml/2006/main" rot="0" vert="horz" anchor="ctr" anchorCtr="1"/>
        <a:lstStyle xmlns:a="http://schemas.openxmlformats.org/drawingml/2006/main"/>
        <a:p xmlns:a="http://schemas.openxmlformats.org/drawingml/2006/main">
          <a:pPr>
            <a:defRPr sz="1200" b="1" i="0" u="none">
              <a:solidFill>
                <a:srgbClr val="1B4332"/>
              </a:solidFill>
              <a:latin typeface="+mn-lt"/>
              <a:ea typeface="+mn-lt"/>
              <a:cs typeface="+mn-lt"/>
            </a:defRPr>
          </a:pPr>
        </a:p>
      </c:txPr>
    </c:title>
    <c:autoTitleDeleted val="0"/>
    <c:plotArea>
      <c:barChart>
        <c:barDir val="col"/>
        <c:grouping val="clustered"/>
        <c:varyColors val="0"/>
        <c:ser>
          <c:idx val="0"/>
          <c:order val="0"/>
          <c:tx>
            <c:strRef>
              <c:f>'Executive Dashboard'!$K$21</c:f>
              <c:strCache>
                <c:ptCount val="1"/>
                <c:pt idx="0">
                  <c:v>Success Rate</c:v>
                </c:pt>
              </c:strCache>
            </c:strRef>
          </c:tx>
          <c:spPr>
            <a:solidFill xmlns:a="http://schemas.openxmlformats.org/drawingml/2006/main">
              <a:srgbClr val="1B4332"/>
            </a:solidFill>
            <a:ln xmlns:a="http://schemas.openxmlformats.org/drawingml/2006/main" w="25400">
              <a:solidFill>
                <a:srgbClr val="1B4332"/>
              </a:solidFill>
              <a:prstDash val="solid"/>
            </a:ln>
          </c:spPr>
          <c:dLbls>
            <c:numFmt formatCode="0%" sourceLinked="0"/>
            <c:spPr>
              <a:noFill xmlns:a="http://schemas.openxmlformats.org/drawingml/2006/main"/>
              <a:ln xmlns:a="http://schemas.openxmlformats.org/drawingml/2006/main">
                <a:noFill/>
              </a:ln>
            </c:spPr>
            <c:txPr>
              <a:bodyPr xmlns:a="http://schemas.openxmlformats.org/drawingml/2006/main" anchorCtr="1"/>
              <a:lstStyle xmlns:a="http://schemas.openxmlformats.org/drawingml/2006/main"/>
              <a:p xmlns:a="http://schemas.openxmlformats.org/drawingml/2006/main">
                <a:pPr>
                  <a:defRPr sz="900" b="0" i="0" u="none">
                    <a:solidFill>
                      <a:schemeClr val="tx1">
                        <a:lumMod val="75000"/>
                        <a:lumOff val="25000"/>
                      </a:schemeClr>
                    </a:solidFill>
                    <a:latin typeface="+mn-lt"/>
                    <a:ea typeface="+mn-lt"/>
                    <a:cs typeface="+mn-lt"/>
                  </a:defRPr>
                </a:pPr>
              </a:p>
            </c:txPr>
            <c:showLegendKey val="0"/>
            <c:showVal val="1"/>
            <c:showCatName val="0"/>
            <c:showSerName val="0"/>
            <c:showPercent val="0"/>
            <c:showBubbleSize val="0"/>
            <c:showLeaderLines val="0"/>
          </c:dLbls>
          <c:cat>
            <c:strRef>
              <c:f>'Executive Dashboard'!$J$22:$J$27</c:f>
              <c:strCache>
                <c:ptCount val="6"/>
                <c:pt idx="0">
                  <c:v>Existing Employee</c:v>
                </c:pt>
                <c:pt idx="1">
                  <c:v>0 Days</c:v>
                </c:pt>
                <c:pt idx="2">
                  <c:v>1-7 Days</c:v>
                </c:pt>
                <c:pt idx="3">
                  <c:v>8-14 Days</c:v>
                </c:pt>
                <c:pt idx="4">
                  <c:v>15-21 Days</c:v>
                </c:pt>
                <c:pt idx="5">
                  <c:v>21+ Days</c:v>
                </c:pt>
              </c:strCache>
            </c:strRef>
          </c:cat>
          <c:val>
            <c:numRef>
              <c:f>'Executive Dashboard'!$K$22:$K$27</c:f>
              <c:numCache>
                <c:formatCode>0.0%</c:formatCode>
                <c:ptCount val="6"/>
                <c:pt idx="0">
                  <c:v>0.6977401129943502</c:v>
                </c:pt>
                <c:pt idx="1">
                  <c:v>0.6875</c:v>
                </c:pt>
                <c:pt idx="2">
                  <c:v>0.6917293233082706</c:v>
                </c:pt>
                <c:pt idx="3">
                  <c:v>0.64</c:v>
                </c:pt>
                <c:pt idx="4">
                  <c:v>0.625</c:v>
                </c:pt>
                <c:pt idx="5">
                  <c:v>0.8472222222222222</c:v>
                </c:pt>
              </c:numCache>
            </c:numRef>
          </c:val>
        </c:ser>
        <c:dLbls>
          <c:showLegendKey val="0"/>
          <c:showVal val="0"/>
          <c:showCatName val="0"/>
          <c:showSerName val="0"/>
          <c:showPercent val="0"/>
          <c:showBubbleSize val="0"/>
        </c:dLbls>
        <c:gapWidth val="219"/>
        <c:overlap val="-27"/>
        <c:axId val="381406096"/>
        <c:axId val="381709392"/>
      </c:barChart>
      <c:catAx>
        <c:axId val="381406096"/>
        <c:scaling>
          <c:orientation val="minMax"/>
        </c:scaling>
        <c:delete val="0"/>
        <c:axPos val="b"/>
        <c:numFmt formatCode="General" sourceLinked="1"/>
        <c:majorTickMark val="none"/>
        <c:minorTickMark val="none"/>
        <c:tickLblPos val="nextTo"/>
        <c:spPr>
          <a:ln xmlns:a="http://schemas.openxmlformats.org/drawingml/2006/main" w="9525" cmpd="sng">
            <a:solidFill>
              <a:schemeClr val="tx1">
                <a:lumMod val="15000"/>
                <a:lumOff val="85000"/>
              </a:schemeClr>
            </a:solidFill>
          </a:ln>
        </c:spPr>
        <c:txPr>
          <a:bodyPr xmlns:a="http://schemas.openxmlformats.org/drawingml/2006/main" rot="270000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381709392"/>
        <c:crosses val="autoZero"/>
        <c:lblAlgn val="ctr"/>
        <c:lblOffset val="100"/>
        <c:noMultiLvlLbl val="0"/>
      </c:catAx>
      <c:valAx>
        <c:axId val="381709392"/>
        <c:scaling>
          <c:orientation val="minMax"/>
        </c:scaling>
        <c:delete val="0"/>
        <c:axPos val="l"/>
        <c:majorGridlines>
          <c:spPr>
            <a:ln xmlns:a="http://schemas.openxmlformats.org/drawingml/2006/main" w="9525" cmpd="sng">
              <a:solidFill>
                <a:schemeClr val="tx1">
                  <a:lumMod val="15000"/>
                  <a:lumOff val="85000"/>
                </a:schemeClr>
              </a:solidFill>
            </a:ln>
          </c:spPr>
        </c:majorGridlines>
        <c:numFmt formatCode="0.0%" sourceLinked="1"/>
        <c:majorTickMark val="none"/>
        <c:minorTickMark val="none"/>
        <c:tickLblPos val="nextTo"/>
        <c:spPr>
          <a:ln xmlns:a="http://schemas.openxmlformats.org/drawingml/2006/main">
            <a:noFill/>
          </a:ln>
        </c:spPr>
        <c:txPr>
          <a:bodyPr xmlns:a="http://schemas.openxmlformats.org/drawingml/2006/main" rot="-6000000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381406096"/>
        <c:crosses val="autoZero"/>
        <c:crossBetween val="between"/>
      </c:valAx>
      <c:spPr>
        <a:solidFill xmlns:a="http://schemas.openxmlformats.org/drawingml/2006/main">
          <a:srgbClr val="FFFFFF"/>
        </a:solidFill>
        <a:ln xmlns:a="http://schemas.openxmlformats.org/drawingml/2006/main">
          <a:noFill/>
        </a:ln>
      </c:spPr>
    </c:plotArea>
    <c:plotVisOnly val="1"/>
  </c:chart>
  <c:spPr>
    <a:solidFill xmlns:a="http://schemas.openxmlformats.org/drawingml/2006/main">
      <a:srgbClr val="FFFFFF"/>
    </a:solidFill>
    <a:ln xmlns:a="http://schemas.openxmlformats.org/drawingml/2006/main" w="9525" cmpd="sng">
      <a:solidFill>
        <a:schemeClr val="tx1">
          <a:lumMod val="15000"/>
          <a:lumOff val="85000"/>
        </a:schemeClr>
      </a:solidFill>
    </a:ln>
  </c:spPr>
</c:chartSpace>
</file>

<file path=xl/drawings/charts/chart4.xml><?xml version="1.0" encoding="utf-8"?>
<c:chartSpace xmlns:mc="http://schemas.openxmlformats.org/markup-compatibility/2006" xmlns:c14="http://schemas.microsoft.com/office/drawing/2007/8/2/chart" xmlns:c="http://schemas.openxmlformats.org/drawingml/2006/chart" mc:Ignorable="c14">
  <c:lang val="en-US"/>
  <c:roundedCorners val="0"/>
  <mc:AlternateContent>
    <mc:Choice Requires="c14">
      <c14:style val="102"/>
    </mc:Choice>
    <mc:Fallback>
      <c:style val="2"/>
    </mc:Fallback>
  </mc:AlternateContent>
  <c:chart>
    <c:title>
      <c:tx>
        <c:rich>
          <a:bodyPr xmlns:a="http://schemas.openxmlformats.org/drawingml/2006/main"/>
          <a:lstStyle xmlns:a="http://schemas.openxmlformats.org/drawingml/2006/main"/>
          <a:p xmlns:a="http://schemas.openxmlformats.org/drawingml/2006/main">
            <a:r>
              <a:rPr sz="1200" b="1" i="0" u="none">
                <a:solidFill>
                  <a:srgbClr val="1B4332"/>
                </a:solidFill>
                <a:latin typeface="+mn-lt"/>
                <a:ea typeface="+mn-lt"/>
                <a:cs typeface="+mn-lt"/>
              </a:rPr>
              <a:t>Annual Success Rate</a:t>
            </a:r>
          </a:p>
        </c:rich>
      </c:tx>
      <c:txPr>
        <a:bodyPr xmlns:a="http://schemas.openxmlformats.org/drawingml/2006/main" rot="0" vert="horz" anchor="ctr" anchorCtr="1"/>
        <a:lstStyle xmlns:a="http://schemas.openxmlformats.org/drawingml/2006/main"/>
        <a:p xmlns:a="http://schemas.openxmlformats.org/drawingml/2006/main">
          <a:pPr>
            <a:defRPr sz="1200" b="1" i="0" u="none">
              <a:solidFill>
                <a:srgbClr val="1B4332"/>
              </a:solidFill>
              <a:latin typeface="+mn-lt"/>
              <a:ea typeface="+mn-lt"/>
              <a:cs typeface="+mn-lt"/>
            </a:defRPr>
          </a:pPr>
        </a:p>
      </c:txPr>
    </c:title>
    <c:autoTitleDeleted val="0"/>
    <c:plotArea>
      <c:lineChart>
        <c:grouping val="standard"/>
        <c:varyColors val="0"/>
        <c:ser>
          <c:idx val="0"/>
          <c:order val="0"/>
          <c:tx>
            <c:strRef>
              <c:f>'Training Outcomes'!$D$5</c:f>
              <c:strCache>
                <c:ptCount val="1"/>
                <c:pt idx="0">
                  <c:v>Success Rate</c:v>
                </c:pt>
              </c:strCache>
            </c:strRef>
          </c:tx>
          <c:spPr>
            <a:ln xmlns:a="http://schemas.openxmlformats.org/drawingml/2006/main" w="25400">
              <a:solidFill>
                <a:srgbClr val="1B4332"/>
              </a:solidFill>
              <a:prstDash val="solid"/>
            </a:ln>
          </c:spPr>
          <c:marker>
            <c:symbol val="circle"/>
            <c:size val="5"/>
            <c:spPr>
              <a:solidFill xmlns:a="http://schemas.openxmlformats.org/drawingml/2006/main">
                <a:schemeClr val="accent1"/>
              </a:solidFill>
              <a:ln xmlns:a="http://schemas.openxmlformats.org/drawingml/2006/main" w="9525">
                <a:solidFill>
                  <a:schemeClr val="accent1"/>
                </a:solidFill>
              </a:ln>
            </c:spPr>
          </c:marker>
          <c:dLbls>
            <c:numFmt formatCode="0%" sourceLinked="0"/>
            <c:spPr>
              <a:noFill xmlns:a="http://schemas.openxmlformats.org/drawingml/2006/main"/>
              <a:ln xmlns:a="http://schemas.openxmlformats.org/drawingml/2006/main">
                <a:noFill/>
              </a:ln>
            </c:spPr>
            <c:txPr>
              <a:bodyPr xmlns:a="http://schemas.openxmlformats.org/drawingml/2006/main" anchorCtr="1"/>
              <a:lstStyle xmlns:a="http://schemas.openxmlformats.org/drawingml/2006/main"/>
              <a:p xmlns:a="http://schemas.openxmlformats.org/drawingml/2006/main">
                <a:pPr>
                  <a:defRPr sz="900" b="0" i="0" u="none">
                    <a:solidFill>
                      <a:schemeClr val="tx1">
                        <a:lumMod val="75000"/>
                        <a:lumOff val="25000"/>
                      </a:schemeClr>
                    </a:solidFill>
                    <a:latin typeface="+mn-lt"/>
                    <a:ea typeface="+mn-lt"/>
                    <a:cs typeface="+mn-lt"/>
                  </a:defRPr>
                </a:pPr>
              </a:p>
            </c:txPr>
            <c:showLegendKey val="0"/>
            <c:showVal val="1"/>
            <c:showCatName val="0"/>
            <c:showSerName val="0"/>
            <c:showPercent val="0"/>
            <c:showBubbleSize val="0"/>
            <c:showLeaderLines val="0"/>
          </c:dLbls>
          <c:cat>
            <c:numRef>
              <c:f>'Training Outcomes'!$A$6:$A$9</c:f>
              <c:numCache>
                <c:formatCode>General</c:formatCode>
                <c:ptCount val="4"/>
                <c:pt idx="0">
                  <c:v>2023</c:v>
                </c:pt>
                <c:pt idx="1">
                  <c:v>2024</c:v>
                </c:pt>
                <c:pt idx="2">
                  <c:v>2025</c:v>
                </c:pt>
                <c:pt idx="3">
                  <c:v>2026</c:v>
                </c:pt>
              </c:numCache>
            </c:numRef>
          </c:cat>
          <c:val>
            <c:numRef>
              <c:f>'Training Outcomes'!$D$6:$D$9</c:f>
              <c:numCache>
                <c:formatCode>0.0%</c:formatCode>
                <c:ptCount val="4"/>
                <c:pt idx="0">
                  <c:v>0.6815286624203821</c:v>
                </c:pt>
                <c:pt idx="1">
                  <c:v>0.7142857142857143</c:v>
                </c:pt>
                <c:pt idx="2">
                  <c:v>0.7097791798107256</c:v>
                </c:pt>
                <c:pt idx="3">
                  <c:v>0.6515151515151515</c:v>
                </c:pt>
              </c:numCache>
            </c:numRef>
          </c:val>
        </c:ser>
        <c:dLbls>
          <c:showLegendKey val="0"/>
          <c:showVal val="0"/>
          <c:showCatName val="0"/>
          <c:showSerName val="0"/>
          <c:showPercent val="0"/>
          <c:showBubbleSize val="0"/>
        </c:dLbls>
        <c:axId val="381176880"/>
        <c:axId val="381716112"/>
      </c:lineChart>
      <c:catAx>
        <c:axId val="381176880"/>
        <c:scaling>
          <c:orientation val="minMax"/>
        </c:scaling>
        <c:delete val="0"/>
        <c:axPos val="b"/>
        <c:numFmt formatCode="General" sourceLinked="1"/>
        <c:majorTickMark val="none"/>
        <c:minorTickMark val="none"/>
        <c:tickLblPos val="nextTo"/>
        <c:spPr>
          <a:ln xmlns:a="http://schemas.openxmlformats.org/drawingml/2006/main" w="9525" cmpd="sng">
            <a:solidFill>
              <a:schemeClr val="tx1">
                <a:lumMod val="15000"/>
                <a:lumOff val="85000"/>
              </a:schemeClr>
            </a:solidFill>
          </a:ln>
        </c:spPr>
        <c:txPr>
          <a:bodyPr xmlns:a="http://schemas.openxmlformats.org/drawingml/2006/main" rot="-6000000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381716112"/>
        <c:crosses val="autoZero"/>
        <c:lblAlgn val="ctr"/>
        <c:lblOffset val="100"/>
        <c:noMultiLvlLbl val="0"/>
      </c:catAx>
      <c:valAx>
        <c:axId val="381716112"/>
        <c:scaling>
          <c:orientation val="minMax"/>
        </c:scaling>
        <c:delete val="0"/>
        <c:axPos val="l"/>
        <c:majorGridlines>
          <c:spPr>
            <a:ln xmlns:a="http://schemas.openxmlformats.org/drawingml/2006/main" w="9525" cmpd="sng">
              <a:solidFill>
                <a:schemeClr val="tx1">
                  <a:lumMod val="15000"/>
                  <a:lumOff val="85000"/>
                </a:schemeClr>
              </a:solidFill>
            </a:ln>
          </c:spPr>
        </c:majorGridlines>
        <c:numFmt formatCode="0.0%" sourceLinked="1"/>
        <c:majorTickMark val="none"/>
        <c:minorTickMark val="none"/>
        <c:tickLblPos val="nextTo"/>
        <c:spPr>
          <a:ln xmlns:a="http://schemas.openxmlformats.org/drawingml/2006/main">
            <a:noFill/>
          </a:ln>
        </c:spPr>
        <c:txPr>
          <a:bodyPr xmlns:a="http://schemas.openxmlformats.org/drawingml/2006/main" rot="-6000000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381176880"/>
        <c:crosses val="autoZero"/>
        <c:crossBetween val="between"/>
      </c:valAx>
      <c:spPr>
        <a:solidFill xmlns:a="http://schemas.openxmlformats.org/drawingml/2006/main">
          <a:srgbClr val="FFFFFF"/>
        </a:solidFill>
        <a:ln xmlns:a="http://schemas.openxmlformats.org/drawingml/2006/main">
          <a:noFill/>
        </a:ln>
      </c:spPr>
    </c:plotArea>
    <c:plotVisOnly val="1"/>
  </c:chart>
  <c:spPr>
    <a:solidFill xmlns:a="http://schemas.openxmlformats.org/drawingml/2006/main">
      <a:srgbClr val="FFFFFF"/>
    </a:solidFill>
    <a:ln xmlns:a="http://schemas.openxmlformats.org/drawingml/2006/main" w="9525" cmpd="sng">
      <a:solidFill>
        <a:schemeClr val="tx1">
          <a:lumMod val="15000"/>
          <a:lumOff val="85000"/>
        </a:schemeClr>
      </a:solidFill>
    </a:ln>
  </c:spPr>
</c:chartSpace>
</file>

<file path=xl/drawings/charts/chart5.xml><?xml version="1.0" encoding="utf-8"?>
<c:chartSpace xmlns:mc="http://schemas.openxmlformats.org/markup-compatibility/2006" xmlns:c14="http://schemas.microsoft.com/office/drawing/2007/8/2/chart" xmlns:c="http://schemas.openxmlformats.org/drawingml/2006/chart" mc:Ignorable="c14">
  <c:lang val="en-US"/>
  <c:roundedCorners val="0"/>
  <mc:AlternateContent>
    <mc:Choice Requires="c14">
      <c14:style val="102"/>
    </mc:Choice>
    <mc:Fallback>
      <c:style val="2"/>
    </mc:Fallback>
  </mc:AlternateContent>
  <c:chart>
    <c:title>
      <c:tx>
        <c:rich>
          <a:bodyPr xmlns:a="http://schemas.openxmlformats.org/drawingml/2006/main"/>
          <a:lstStyle xmlns:a="http://schemas.openxmlformats.org/drawingml/2006/main"/>
          <a:p xmlns:a="http://schemas.openxmlformats.org/drawingml/2006/main">
            <a:r>
              <a:rPr sz="1200" b="1" i="0" u="none">
                <a:solidFill>
                  <a:srgbClr val="1B4332"/>
                </a:solidFill>
                <a:latin typeface="+mn-lt"/>
                <a:ea typeface="+mn-lt"/>
                <a:cs typeface="+mn-lt"/>
              </a:rPr>
              <a:t>Exclusive Outcome Mix by Year</a:t>
            </a:r>
          </a:p>
        </c:rich>
      </c:tx>
      <c:txPr>
        <a:bodyPr xmlns:a="http://schemas.openxmlformats.org/drawingml/2006/main" rot="0" vert="horz" anchor="ctr" anchorCtr="1"/>
        <a:lstStyle xmlns:a="http://schemas.openxmlformats.org/drawingml/2006/main"/>
        <a:p xmlns:a="http://schemas.openxmlformats.org/drawingml/2006/main">
          <a:pPr>
            <a:defRPr sz="1200" b="1" i="0" u="none">
              <a:solidFill>
                <a:srgbClr val="1B4332"/>
              </a:solidFill>
              <a:latin typeface="+mn-lt"/>
              <a:ea typeface="+mn-lt"/>
              <a:cs typeface="+mn-lt"/>
            </a:defRPr>
          </a:pPr>
        </a:p>
      </c:txPr>
    </c:title>
    <c:autoTitleDeleted val="0"/>
    <c:plotArea>
      <c:barChart>
        <c:barDir val="col"/>
        <c:grouping val="stacked"/>
        <c:varyColors val="0"/>
        <c:ser>
          <c:idx val="0"/>
          <c:order val="0"/>
          <c:tx>
            <c:strRef>
              <c:f>'Training Outcomes'!$E$5</c:f>
              <c:strCache>
                <c:ptCount val="1"/>
                <c:pt idx="0">
                  <c:v>Active</c:v>
                </c:pt>
              </c:strCache>
            </c:strRef>
          </c:tx>
          <c:spPr>
            <a:solidFill xmlns:a="http://schemas.openxmlformats.org/drawingml/2006/main">
              <a:srgbClr val="1B4332"/>
            </a:solidFill>
            <a:ln xmlns:a="http://schemas.openxmlformats.org/drawingml/2006/main" w="25400">
              <a:solidFill>
                <a:srgbClr val="1B4332"/>
              </a:solidFill>
              <a:prstDash val="solid"/>
            </a:ln>
          </c:spPr>
          <c:cat>
            <c:numRef>
              <c:f>'Training Outcomes'!$A$6:$A$9</c:f>
              <c:numCache>
                <c:formatCode>General</c:formatCode>
                <c:ptCount val="4"/>
                <c:pt idx="0">
                  <c:v>2023</c:v>
                </c:pt>
                <c:pt idx="1">
                  <c:v>2024</c:v>
                </c:pt>
                <c:pt idx="2">
                  <c:v>2025</c:v>
                </c:pt>
                <c:pt idx="3">
                  <c:v>2026</c:v>
                </c:pt>
              </c:numCache>
            </c:numRef>
          </c:cat>
          <c:val>
            <c:numRef>
              <c:f>'Training Outcomes'!$E$6:$E$9</c:f>
              <c:numCache>
                <c:formatCode>#,##0</c:formatCode>
                <c:ptCount val="4"/>
                <c:pt idx="0">
                  <c:v>53</c:v>
                </c:pt>
                <c:pt idx="1">
                  <c:v>154</c:v>
                </c:pt>
                <c:pt idx="2">
                  <c:v>147</c:v>
                </c:pt>
                <c:pt idx="3">
                  <c:v>102</c:v>
                </c:pt>
              </c:numCache>
            </c:numRef>
          </c:val>
        </c:ser>
        <c:ser>
          <c:idx val="1"/>
          <c:order val="1"/>
          <c:tx>
            <c:strRef>
              <c:f>'Training Outcomes'!$F$5</c:f>
              <c:strCache>
                <c:ptCount val="1"/>
                <c:pt idx="0">
                  <c:v>Promoted</c:v>
                </c:pt>
              </c:strCache>
            </c:strRef>
          </c:tx>
          <c:spPr>
            <a:solidFill xmlns:a="http://schemas.openxmlformats.org/drawingml/2006/main">
              <a:srgbClr val="C9A227"/>
            </a:solidFill>
            <a:ln xmlns:a="http://schemas.openxmlformats.org/drawingml/2006/main" w="25400">
              <a:solidFill>
                <a:srgbClr val="C9A227"/>
              </a:solidFill>
              <a:prstDash val="solid"/>
            </a:ln>
          </c:spPr>
          <c:cat>
            <c:numRef>
              <c:f>'Training Outcomes'!$A$6:$A$9</c:f>
              <c:numCache>
                <c:formatCode>General</c:formatCode>
                <c:ptCount val="4"/>
                <c:pt idx="0">
                  <c:v>2023</c:v>
                </c:pt>
                <c:pt idx="1">
                  <c:v>2024</c:v>
                </c:pt>
                <c:pt idx="2">
                  <c:v>2025</c:v>
                </c:pt>
                <c:pt idx="3">
                  <c:v>2026</c:v>
                </c:pt>
              </c:numCache>
            </c:numRef>
          </c:cat>
          <c:val>
            <c:numRef>
              <c:f>'Training Outcomes'!$F$6:$F$9</c:f>
              <c:numCache>
                <c:formatCode>#,##0</c:formatCode>
                <c:ptCount val="4"/>
                <c:pt idx="0">
                  <c:v>40</c:v>
                </c:pt>
                <c:pt idx="1">
                  <c:v>89</c:v>
                </c:pt>
                <c:pt idx="2">
                  <c:v>58</c:v>
                </c:pt>
                <c:pt idx="3">
                  <c:v>8</c:v>
                </c:pt>
              </c:numCache>
            </c:numRef>
          </c:val>
        </c:ser>
        <c:ser>
          <c:idx val="2"/>
          <c:order val="2"/>
          <c:tx>
            <c:strRef>
              <c:f>'Training Outcomes'!$G$5</c:f>
              <c:strCache>
                <c:ptCount val="1"/>
                <c:pt idx="0">
                  <c:v>Complete</c:v>
                </c:pt>
              </c:strCache>
            </c:strRef>
          </c:tx>
          <c:spPr>
            <a:solidFill xmlns:a="http://schemas.openxmlformats.org/drawingml/2006/main">
              <a:srgbClr val="2D6A4F"/>
            </a:solidFill>
            <a:ln xmlns:a="http://schemas.openxmlformats.org/drawingml/2006/main" w="25400">
              <a:solidFill>
                <a:srgbClr val="2D6A4F"/>
              </a:solidFill>
              <a:prstDash val="solid"/>
            </a:ln>
          </c:spPr>
          <c:cat>
            <c:numRef>
              <c:f>'Training Outcomes'!$A$6:$A$9</c:f>
              <c:numCache>
                <c:formatCode>General</c:formatCode>
                <c:ptCount val="4"/>
                <c:pt idx="0">
                  <c:v>2023</c:v>
                </c:pt>
                <c:pt idx="1">
                  <c:v>2024</c:v>
                </c:pt>
                <c:pt idx="2">
                  <c:v>2025</c:v>
                </c:pt>
                <c:pt idx="3">
                  <c:v>2026</c:v>
                </c:pt>
              </c:numCache>
            </c:numRef>
          </c:cat>
          <c:val>
            <c:numRef>
              <c:f>'Training Outcomes'!$G$6:$G$9</c:f>
              <c:numCache>
                <c:formatCode>#,##0</c:formatCode>
                <c:ptCount val="4"/>
                <c:pt idx="0">
                  <c:v>14</c:v>
                </c:pt>
                <c:pt idx="1">
                  <c:v>27</c:v>
                </c:pt>
                <c:pt idx="2">
                  <c:v>20</c:v>
                </c:pt>
                <c:pt idx="3">
                  <c:v>19</c:v>
                </c:pt>
              </c:numCache>
            </c:numRef>
          </c:val>
        </c:ser>
        <c:ser>
          <c:idx val="3"/>
          <c:order val="3"/>
          <c:tx>
            <c:strRef>
              <c:f>'Training Outcomes'!$H$5</c:f>
              <c:strCache>
                <c:ptCount val="1"/>
                <c:pt idx="0">
                  <c:v>Voluntary Exit</c:v>
                </c:pt>
              </c:strCache>
            </c:strRef>
          </c:tx>
          <c:spPr>
            <a:solidFill xmlns:a="http://schemas.openxmlformats.org/drawingml/2006/main">
              <a:srgbClr val="B8860B"/>
            </a:solidFill>
            <a:ln xmlns:a="http://schemas.openxmlformats.org/drawingml/2006/main" w="25400">
              <a:solidFill>
                <a:srgbClr val="B8860B"/>
              </a:solidFill>
              <a:prstDash val="solid"/>
            </a:ln>
          </c:spPr>
          <c:cat>
            <c:numRef>
              <c:f>'Training Outcomes'!$A$6:$A$9</c:f>
              <c:numCache>
                <c:formatCode>General</c:formatCode>
                <c:ptCount val="4"/>
                <c:pt idx="0">
                  <c:v>2023</c:v>
                </c:pt>
                <c:pt idx="1">
                  <c:v>2024</c:v>
                </c:pt>
                <c:pt idx="2">
                  <c:v>2025</c:v>
                </c:pt>
                <c:pt idx="3">
                  <c:v>2026</c:v>
                </c:pt>
              </c:numCache>
            </c:numRef>
          </c:cat>
          <c:val>
            <c:numRef>
              <c:f>'Training Outcomes'!$H$6:$H$9</c:f>
              <c:numCache>
                <c:formatCode>#,##0</c:formatCode>
                <c:ptCount val="4"/>
                <c:pt idx="0">
                  <c:v>35</c:v>
                </c:pt>
                <c:pt idx="1">
                  <c:v>84</c:v>
                </c:pt>
                <c:pt idx="2">
                  <c:v>67</c:v>
                </c:pt>
                <c:pt idx="3">
                  <c:v>40</c:v>
                </c:pt>
              </c:numCache>
            </c:numRef>
          </c:val>
        </c:ser>
        <c:ser>
          <c:idx val="4"/>
          <c:order val="4"/>
          <c:tx>
            <c:strRef>
              <c:f>'Training Outcomes'!$I$5</c:f>
              <c:strCache>
                <c:ptCount val="1"/>
                <c:pt idx="0">
                  <c:v>Terminated</c:v>
                </c:pt>
              </c:strCache>
            </c:strRef>
          </c:tx>
          <c:spPr>
            <a:solidFill xmlns:a="http://schemas.openxmlformats.org/drawingml/2006/main">
              <a:srgbClr val="95A78D"/>
            </a:solidFill>
            <a:ln xmlns:a="http://schemas.openxmlformats.org/drawingml/2006/main" w="25400">
              <a:solidFill>
                <a:srgbClr val="95A78D"/>
              </a:solidFill>
              <a:prstDash val="solid"/>
            </a:ln>
          </c:spPr>
          <c:cat>
            <c:numRef>
              <c:f>'Training Outcomes'!$A$6:$A$9</c:f>
              <c:numCache>
                <c:formatCode>General</c:formatCode>
                <c:ptCount val="4"/>
                <c:pt idx="0">
                  <c:v>2023</c:v>
                </c:pt>
                <c:pt idx="1">
                  <c:v>2024</c:v>
                </c:pt>
                <c:pt idx="2">
                  <c:v>2025</c:v>
                </c:pt>
                <c:pt idx="3">
                  <c:v>2026</c:v>
                </c:pt>
              </c:numCache>
            </c:numRef>
          </c:cat>
          <c:val>
            <c:numRef>
              <c:f>'Training Outcomes'!$I$6:$I$9</c:f>
              <c:numCache>
                <c:formatCode>#,##0</c:formatCode>
                <c:ptCount val="4"/>
                <c:pt idx="0">
                  <c:v>15</c:v>
                </c:pt>
                <c:pt idx="1">
                  <c:v>24</c:v>
                </c:pt>
                <c:pt idx="2">
                  <c:v>25</c:v>
                </c:pt>
                <c:pt idx="3">
                  <c:v>21</c:v>
                </c:pt>
              </c:numCache>
            </c:numRef>
          </c:val>
        </c:ser>
        <c:dLbls>
          <c:showLegendKey val="0"/>
          <c:showVal val="0"/>
          <c:showCatName val="0"/>
          <c:showSerName val="0"/>
          <c:showPercent val="0"/>
          <c:showBubbleSize val="0"/>
        </c:dLbls>
        <c:gapWidth val="150"/>
        <c:overlap val="100"/>
        <c:axId val="379721104"/>
        <c:axId val="381718032"/>
      </c:barChart>
      <c:catAx>
        <c:axId val="379721104"/>
        <c:scaling>
          <c:orientation val="minMax"/>
        </c:scaling>
        <c:delete val="0"/>
        <c:axPos val="b"/>
        <c:numFmt formatCode="General" sourceLinked="1"/>
        <c:majorTickMark val="none"/>
        <c:minorTickMark val="none"/>
        <c:tickLblPos val="nextTo"/>
        <c:spPr>
          <a:ln xmlns:a="http://schemas.openxmlformats.org/drawingml/2006/main" w="9525" cmpd="sng">
            <a:solidFill>
              <a:schemeClr val="tx1">
                <a:lumMod val="15000"/>
                <a:lumOff val="85000"/>
              </a:schemeClr>
            </a:solidFill>
          </a:ln>
        </c:spPr>
        <c:txPr>
          <a:bodyPr xmlns:a="http://schemas.openxmlformats.org/drawingml/2006/main" rot="-6000000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381718032"/>
        <c:crosses val="autoZero"/>
        <c:lblAlgn val="ctr"/>
        <c:lblOffset val="100"/>
        <c:noMultiLvlLbl val="0"/>
      </c:catAx>
      <c:valAx>
        <c:axId val="381718032"/>
        <c:scaling>
          <c:orientation val="minMax"/>
        </c:scaling>
        <c:delete val="0"/>
        <c:axPos val="l"/>
        <c:majorGridlines>
          <c:spPr>
            <a:ln xmlns:a="http://schemas.openxmlformats.org/drawingml/2006/main" w="9525" cmpd="sng">
              <a:solidFill>
                <a:schemeClr val="tx1">
                  <a:lumMod val="15000"/>
                  <a:lumOff val="85000"/>
                </a:schemeClr>
              </a:solidFill>
            </a:ln>
          </c:spPr>
        </c:majorGridlines>
        <c:numFmt formatCode="#,##0" sourceLinked="1"/>
        <c:majorTickMark val="none"/>
        <c:minorTickMark val="none"/>
        <c:tickLblPos val="nextTo"/>
        <c:spPr>
          <a:ln xmlns:a="http://schemas.openxmlformats.org/drawingml/2006/main">
            <a:noFill/>
          </a:ln>
        </c:spPr>
        <c:txPr>
          <a:bodyPr xmlns:a="http://schemas.openxmlformats.org/drawingml/2006/main" rot="-6000000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379721104"/>
        <c:crosses val="autoZero"/>
        <c:crossBetween val="between"/>
      </c:valAx>
      <c:spPr>
        <a:solidFill xmlns:a="http://schemas.openxmlformats.org/drawingml/2006/main">
          <a:srgbClr val="FFFFFF"/>
        </a:solidFill>
        <a:ln xmlns:a="http://schemas.openxmlformats.org/drawingml/2006/main">
          <a:noFill/>
        </a:ln>
      </c:spPr>
    </c:plotArea>
    <c:legend>
      <c:legendPos val="b"/>
      <c:overlay val="0"/>
      <c:spPr>
        <a:noFill xmlns:a="http://schemas.openxmlformats.org/drawingml/2006/main"/>
      </c:spPr>
      <c:txPr>
        <a:bodyPr xmlns:a="http://schemas.openxmlformats.org/drawingml/2006/main" rot="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legend>
    <c:plotVisOnly val="1"/>
  </c:chart>
  <c:spPr>
    <a:solidFill xmlns:a="http://schemas.openxmlformats.org/drawingml/2006/main">
      <a:srgbClr val="FFFFFF"/>
    </a:solidFill>
    <a:ln xmlns:a="http://schemas.openxmlformats.org/drawingml/2006/main" w="9525" cmpd="sng">
      <a:solidFill>
        <a:schemeClr val="tx1">
          <a:lumMod val="15000"/>
          <a:lumOff val="85000"/>
        </a:schemeClr>
      </a:solidFill>
    </a:ln>
  </c:spPr>
</c:chartSpace>
</file>

<file path=xl/drawings/charts/chart6.xml><?xml version="1.0" encoding="utf-8"?>
<c:chartSpace xmlns:mc="http://schemas.openxmlformats.org/markup-compatibility/2006" xmlns:c14="http://schemas.microsoft.com/office/drawing/2007/8/2/chart" xmlns:c="http://schemas.openxmlformats.org/drawingml/2006/chart" mc:Ignorable="c14">
  <c:lang val="en-US"/>
  <c:roundedCorners val="0"/>
  <mc:AlternateContent>
    <mc:Choice Requires="c14">
      <c14:style val="102"/>
    </mc:Choice>
    <mc:Fallback>
      <c:style val="2"/>
    </mc:Fallback>
  </mc:AlternateContent>
  <c:chart>
    <c:title>
      <c:tx>
        <c:rich>
          <a:bodyPr xmlns:a="http://schemas.openxmlformats.org/drawingml/2006/main"/>
          <a:lstStyle xmlns:a="http://schemas.openxmlformats.org/drawingml/2006/main"/>
          <a:p xmlns:a="http://schemas.openxmlformats.org/drawingml/2006/main">
            <a:r>
              <a:rPr sz="1200" b="1" i="0" u="none">
                <a:solidFill>
                  <a:srgbClr val="1B4332"/>
                </a:solidFill>
                <a:latin typeface="+mn-lt"/>
                <a:ea typeface="+mn-lt"/>
                <a:cs typeface="+mn-lt"/>
              </a:rPr>
              <a:t>Trainees by Retention Band</a:t>
            </a:r>
          </a:p>
        </c:rich>
      </c:tx>
      <c:txPr>
        <a:bodyPr xmlns:a="http://schemas.openxmlformats.org/drawingml/2006/main" rot="0" vert="horz" anchor="ctr" anchorCtr="1"/>
        <a:lstStyle xmlns:a="http://schemas.openxmlformats.org/drawingml/2006/main"/>
        <a:p xmlns:a="http://schemas.openxmlformats.org/drawingml/2006/main">
          <a:pPr>
            <a:defRPr sz="1200" b="1" i="0" u="none">
              <a:solidFill>
                <a:srgbClr val="1B4332"/>
              </a:solidFill>
              <a:latin typeface="+mn-lt"/>
              <a:ea typeface="+mn-lt"/>
              <a:cs typeface="+mn-lt"/>
            </a:defRPr>
          </a:pPr>
        </a:p>
      </c:txPr>
    </c:title>
    <c:autoTitleDeleted val="0"/>
    <c:plotArea>
      <c:barChart>
        <c:barDir val="bar"/>
        <c:grouping val="clustered"/>
        <c:varyColors val="0"/>
        <c:ser>
          <c:idx val="0"/>
          <c:order val="0"/>
          <c:tx>
            <c:strRef>
              <c:f>'Retention Analysis'!$B$5</c:f>
              <c:strCache>
                <c:ptCount val="1"/>
                <c:pt idx="0">
                  <c:v>Trainees</c:v>
                </c:pt>
              </c:strCache>
            </c:strRef>
          </c:tx>
          <c:spPr>
            <a:solidFill xmlns:a="http://schemas.openxmlformats.org/drawingml/2006/main">
              <a:srgbClr val="1B4332"/>
            </a:solidFill>
            <a:ln xmlns:a="http://schemas.openxmlformats.org/drawingml/2006/main" w="25400">
              <a:solidFill>
                <a:srgbClr val="1B4332"/>
              </a:solidFill>
              <a:prstDash val="solid"/>
            </a:ln>
          </c:spPr>
          <c:dLbls>
            <c:numFmt formatCode="#,##0" sourceLinked="0"/>
            <c:spPr>
              <a:noFill xmlns:a="http://schemas.openxmlformats.org/drawingml/2006/main"/>
              <a:ln xmlns:a="http://schemas.openxmlformats.org/drawingml/2006/main">
                <a:noFill/>
              </a:ln>
            </c:spPr>
            <c:txPr>
              <a:bodyPr xmlns:a="http://schemas.openxmlformats.org/drawingml/2006/main" anchorCtr="1"/>
              <a:lstStyle xmlns:a="http://schemas.openxmlformats.org/drawingml/2006/main"/>
              <a:p xmlns:a="http://schemas.openxmlformats.org/drawingml/2006/main">
                <a:pPr>
                  <a:defRPr sz="900" b="0" i="0" u="none">
                    <a:solidFill>
                      <a:schemeClr val="tx1">
                        <a:lumMod val="75000"/>
                        <a:lumOff val="25000"/>
                      </a:schemeClr>
                    </a:solidFill>
                    <a:latin typeface="+mn-lt"/>
                    <a:ea typeface="+mn-lt"/>
                    <a:cs typeface="+mn-lt"/>
                  </a:defRPr>
                </a:pPr>
              </a:p>
            </c:txPr>
            <c:showLegendKey val="0"/>
            <c:showVal val="1"/>
            <c:showCatName val="0"/>
            <c:showSerName val="0"/>
            <c:showPercent val="0"/>
            <c:showBubbleSize val="0"/>
            <c:showLeaderLines val="0"/>
          </c:dLbls>
          <c:cat>
            <c:strRef>
              <c:f>'Retention Analysis'!$A$6:$A$12</c:f>
              <c:strCache>
                <c:ptCount val="7"/>
                <c:pt idx="0">
                  <c:v>0 Days</c:v>
                </c:pt>
                <c:pt idx="1">
                  <c:v>1-7 Days</c:v>
                </c:pt>
                <c:pt idx="2">
                  <c:v>8-30 Days</c:v>
                </c:pt>
                <c:pt idx="3">
                  <c:v>31-60 Days</c:v>
                </c:pt>
                <c:pt idx="4">
                  <c:v>61-90 Days</c:v>
                </c:pt>
                <c:pt idx="5">
                  <c:v>91-120 Days</c:v>
                </c:pt>
                <c:pt idx="6">
                  <c:v>121+ Days</c:v>
                </c:pt>
              </c:strCache>
            </c:strRef>
          </c:cat>
          <c:val>
            <c:numRef>
              <c:f>'Retention Analysis'!$B$6:$B$12</c:f>
              <c:numCache>
                <c:formatCode>#,##0</c:formatCode>
                <c:ptCount val="7"/>
                <c:pt idx="0">
                  <c:v>0</c:v>
                </c:pt>
                <c:pt idx="1">
                  <c:v>49</c:v>
                </c:pt>
                <c:pt idx="2">
                  <c:v>98</c:v>
                </c:pt>
                <c:pt idx="3">
                  <c:v>98</c:v>
                </c:pt>
                <c:pt idx="4">
                  <c:v>54</c:v>
                </c:pt>
                <c:pt idx="5">
                  <c:v>67</c:v>
                </c:pt>
                <c:pt idx="6">
                  <c:v>684</c:v>
                </c:pt>
              </c:numCache>
            </c:numRef>
          </c:val>
        </c:ser>
        <c:dLbls>
          <c:showLegendKey val="0"/>
          <c:showVal val="0"/>
          <c:showCatName val="0"/>
          <c:showSerName val="0"/>
          <c:showPercent val="0"/>
          <c:showBubbleSize val="0"/>
        </c:dLbls>
        <c:gapWidth val="182"/>
        <c:axId val="381337424"/>
        <c:axId val="381709872"/>
      </c:barChart>
      <c:catAx>
        <c:axId val="381337424"/>
        <c:scaling>
          <c:orientation val="minMax"/>
        </c:scaling>
        <c:delete val="0"/>
        <c:axPos val="l"/>
        <c:numFmt formatCode="General" sourceLinked="1"/>
        <c:majorTickMark val="none"/>
        <c:minorTickMark val="none"/>
        <c:tickLblPos val="nextTo"/>
        <c:spPr>
          <a:ln xmlns:a="http://schemas.openxmlformats.org/drawingml/2006/main" w="9525" cmpd="sng">
            <a:solidFill>
              <a:schemeClr val="tx1">
                <a:lumMod val="15000"/>
                <a:lumOff val="85000"/>
              </a:schemeClr>
            </a:solidFill>
          </a:ln>
        </c:spPr>
        <c:txPr>
          <a:bodyPr xmlns:a="http://schemas.openxmlformats.org/drawingml/2006/main" rot="-6000000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381709872"/>
        <c:crosses val="autoZero"/>
        <c:lblAlgn val="ctr"/>
        <c:lblOffset val="100"/>
        <c:noMultiLvlLbl val="0"/>
      </c:catAx>
      <c:valAx>
        <c:axId val="381709872"/>
        <c:scaling>
          <c:orientation val="minMax"/>
        </c:scaling>
        <c:delete val="0"/>
        <c:axPos val="b"/>
        <c:majorGridlines>
          <c:spPr>
            <a:ln xmlns:a="http://schemas.openxmlformats.org/drawingml/2006/main" w="9525" cmpd="sng">
              <a:solidFill>
                <a:schemeClr val="tx1">
                  <a:lumMod val="15000"/>
                  <a:lumOff val="85000"/>
                </a:schemeClr>
              </a:solidFill>
            </a:ln>
          </c:spPr>
        </c:majorGridlines>
        <c:numFmt formatCode="#,##0" sourceLinked="1"/>
        <c:majorTickMark val="none"/>
        <c:minorTickMark val="none"/>
        <c:tickLblPos val="nextTo"/>
        <c:spPr>
          <a:ln xmlns:a="http://schemas.openxmlformats.org/drawingml/2006/main">
            <a:noFill/>
          </a:ln>
        </c:spPr>
        <c:txPr>
          <a:bodyPr xmlns:a="http://schemas.openxmlformats.org/drawingml/2006/main" rot="-6000000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381337424"/>
        <c:crosses val="autoZero"/>
        <c:crossBetween val="between"/>
      </c:valAx>
      <c:spPr>
        <a:solidFill xmlns:a="http://schemas.openxmlformats.org/drawingml/2006/main">
          <a:srgbClr val="FFFFFF"/>
        </a:solidFill>
        <a:ln xmlns:a="http://schemas.openxmlformats.org/drawingml/2006/main">
          <a:noFill/>
        </a:ln>
      </c:spPr>
    </c:plotArea>
    <c:plotVisOnly val="1"/>
  </c:chart>
  <c:spPr>
    <a:solidFill xmlns:a="http://schemas.openxmlformats.org/drawingml/2006/main">
      <a:srgbClr val="FFFFFF"/>
    </a:solidFill>
    <a:ln xmlns:a="http://schemas.openxmlformats.org/drawingml/2006/main" w="9525" cmpd="sng">
      <a:solidFill>
        <a:schemeClr val="tx1">
          <a:lumMod val="15000"/>
          <a:lumOff val="85000"/>
        </a:schemeClr>
      </a:solidFill>
    </a:ln>
  </c:spPr>
</c:chartSpace>
</file>

<file path=xl/drawings/charts/chart7.xml><?xml version="1.0" encoding="utf-8"?>
<c:chartSpace xmlns:mc="http://schemas.openxmlformats.org/markup-compatibility/2006" xmlns:c14="http://schemas.microsoft.com/office/drawing/2007/8/2/chart" xmlns:c="http://schemas.openxmlformats.org/drawingml/2006/chart" mc:Ignorable="c14">
  <c:lang val="en-US"/>
  <c:roundedCorners val="0"/>
  <mc:AlternateContent>
    <mc:Choice Requires="c14">
      <c14:style val="102"/>
    </mc:Choice>
    <mc:Fallback>
      <c:style val="2"/>
    </mc:Fallback>
  </mc:AlternateContent>
  <c:chart>
    <c:title>
      <c:tx>
        <c:rich>
          <a:bodyPr xmlns:a="http://schemas.openxmlformats.org/drawingml/2006/main"/>
          <a:lstStyle xmlns:a="http://schemas.openxmlformats.org/drawingml/2006/main"/>
          <a:p xmlns:a="http://schemas.openxmlformats.org/drawingml/2006/main">
            <a:r>
              <a:rPr sz="1200" b="1" i="0" u="none">
                <a:solidFill>
                  <a:srgbClr val="1B4332"/>
                </a:solidFill>
                <a:latin typeface="+mn-lt"/>
                <a:ea typeface="+mn-lt"/>
                <a:cs typeface="+mn-lt"/>
              </a:rPr>
              <a:t>Success Rate by Assignment Timing</a:t>
            </a:r>
          </a:p>
        </c:rich>
      </c:tx>
      <c:txPr>
        <a:bodyPr xmlns:a="http://schemas.openxmlformats.org/drawingml/2006/main" rot="0" vert="horz" anchor="ctr" anchorCtr="1"/>
        <a:lstStyle xmlns:a="http://schemas.openxmlformats.org/drawingml/2006/main"/>
        <a:p xmlns:a="http://schemas.openxmlformats.org/drawingml/2006/main">
          <a:pPr>
            <a:defRPr sz="1200" b="1" i="0" u="none">
              <a:solidFill>
                <a:srgbClr val="1B4332"/>
              </a:solidFill>
              <a:latin typeface="+mn-lt"/>
              <a:ea typeface="+mn-lt"/>
              <a:cs typeface="+mn-lt"/>
            </a:defRPr>
          </a:pPr>
        </a:p>
      </c:txPr>
    </c:title>
    <c:autoTitleDeleted val="0"/>
    <c:plotArea>
      <c:barChart>
        <c:barDir val="col"/>
        <c:grouping val="clustered"/>
        <c:varyColors val="0"/>
        <c:ser>
          <c:idx val="0"/>
          <c:order val="0"/>
          <c:tx>
            <c:strRef>
              <c:f>'Assignment Impact'!$D$5</c:f>
              <c:strCache>
                <c:ptCount val="1"/>
                <c:pt idx="0">
                  <c:v>Success Rate</c:v>
                </c:pt>
              </c:strCache>
            </c:strRef>
          </c:tx>
          <c:spPr>
            <a:solidFill xmlns:a="http://schemas.openxmlformats.org/drawingml/2006/main">
              <a:srgbClr val="1B4332"/>
            </a:solidFill>
            <a:ln xmlns:a="http://schemas.openxmlformats.org/drawingml/2006/main" w="25400">
              <a:solidFill>
                <a:srgbClr val="1B4332"/>
              </a:solidFill>
              <a:prstDash val="solid"/>
            </a:ln>
          </c:spPr>
          <c:dLbls>
            <c:numFmt formatCode="0%" sourceLinked="0"/>
            <c:spPr>
              <a:noFill xmlns:a="http://schemas.openxmlformats.org/drawingml/2006/main"/>
              <a:ln xmlns:a="http://schemas.openxmlformats.org/drawingml/2006/main">
                <a:noFill/>
              </a:ln>
            </c:spPr>
            <c:txPr>
              <a:bodyPr xmlns:a="http://schemas.openxmlformats.org/drawingml/2006/main" anchorCtr="1"/>
              <a:lstStyle xmlns:a="http://schemas.openxmlformats.org/drawingml/2006/main"/>
              <a:p xmlns:a="http://schemas.openxmlformats.org/drawingml/2006/main">
                <a:pPr>
                  <a:defRPr sz="900" b="0" i="0" u="none">
                    <a:solidFill>
                      <a:schemeClr val="tx1">
                        <a:lumMod val="75000"/>
                        <a:lumOff val="25000"/>
                      </a:schemeClr>
                    </a:solidFill>
                    <a:latin typeface="+mn-lt"/>
                    <a:ea typeface="+mn-lt"/>
                    <a:cs typeface="+mn-lt"/>
                  </a:defRPr>
                </a:pPr>
              </a:p>
            </c:txPr>
            <c:showLegendKey val="0"/>
            <c:showVal val="1"/>
            <c:showCatName val="0"/>
            <c:showSerName val="0"/>
            <c:showPercent val="0"/>
            <c:showBubbleSize val="0"/>
            <c:showLeaderLines val="0"/>
          </c:dLbls>
          <c:cat>
            <c:strRef>
              <c:f>'Assignment Impact'!$A$6:$A$12</c:f>
              <c:strCache>
                <c:ptCount val="7"/>
                <c:pt idx="0">
                  <c:v>Existing Employee</c:v>
                </c:pt>
                <c:pt idx="1">
                  <c:v>0 Days</c:v>
                </c:pt>
                <c:pt idx="2">
                  <c:v>1-7 Days</c:v>
                </c:pt>
                <c:pt idx="3">
                  <c:v>8-14 Days</c:v>
                </c:pt>
                <c:pt idx="4">
                  <c:v>15-21 Days</c:v>
                </c:pt>
                <c:pt idx="5">
                  <c:v>21+ Days</c:v>
                </c:pt>
                <c:pt idx="6">
                  <c:v>No Assignment</c:v>
                </c:pt>
              </c:strCache>
            </c:strRef>
          </c:cat>
          <c:val>
            <c:numRef>
              <c:f>'Assignment Impact'!$D$6:$D$12</c:f>
              <c:numCache>
                <c:formatCode>0.0%</c:formatCode>
                <c:ptCount val="7"/>
                <c:pt idx="0">
                  <c:v>0.6977401129943502</c:v>
                </c:pt>
                <c:pt idx="1">
                  <c:v>0.6875</c:v>
                </c:pt>
                <c:pt idx="2">
                  <c:v>0.6917293233082706</c:v>
                </c:pt>
                <c:pt idx="3">
                  <c:v>0.64</c:v>
                </c:pt>
                <c:pt idx="4">
                  <c:v>0.625</c:v>
                </c:pt>
                <c:pt idx="5">
                  <c:v>0.8472222222222222</c:v>
                </c:pt>
                <c:pt idx="6">
                  <c:v>0.45454545454545453</c:v>
                </c:pt>
              </c:numCache>
            </c:numRef>
          </c:val>
        </c:ser>
        <c:dLbls>
          <c:showLegendKey val="0"/>
          <c:showVal val="0"/>
          <c:showCatName val="0"/>
          <c:showSerName val="0"/>
          <c:showPercent val="0"/>
          <c:showBubbleSize val="0"/>
        </c:dLbls>
        <c:gapWidth val="219"/>
        <c:overlap val="-27"/>
        <c:axId val="379771216"/>
        <c:axId val="381719472"/>
      </c:barChart>
      <c:catAx>
        <c:axId val="379771216"/>
        <c:scaling>
          <c:orientation val="minMax"/>
        </c:scaling>
        <c:delete val="0"/>
        <c:axPos val="b"/>
        <c:numFmt formatCode="General" sourceLinked="1"/>
        <c:majorTickMark val="none"/>
        <c:minorTickMark val="none"/>
        <c:tickLblPos val="nextTo"/>
        <c:spPr>
          <a:ln xmlns:a="http://schemas.openxmlformats.org/drawingml/2006/main" w="9525" cmpd="sng">
            <a:solidFill>
              <a:schemeClr val="tx1">
                <a:lumMod val="15000"/>
                <a:lumOff val="85000"/>
              </a:schemeClr>
            </a:solidFill>
          </a:ln>
        </c:spPr>
        <c:txPr>
          <a:bodyPr xmlns:a="http://schemas.openxmlformats.org/drawingml/2006/main" rot="270000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381719472"/>
        <c:crosses val="autoZero"/>
        <c:lblAlgn val="ctr"/>
        <c:lblOffset val="100"/>
        <c:noMultiLvlLbl val="0"/>
      </c:catAx>
      <c:valAx>
        <c:axId val="381719472"/>
        <c:scaling>
          <c:orientation val="minMax"/>
        </c:scaling>
        <c:delete val="0"/>
        <c:axPos val="l"/>
        <c:majorGridlines>
          <c:spPr>
            <a:ln xmlns:a="http://schemas.openxmlformats.org/drawingml/2006/main" w="9525" cmpd="sng">
              <a:solidFill>
                <a:schemeClr val="tx1">
                  <a:lumMod val="15000"/>
                  <a:lumOff val="85000"/>
                </a:schemeClr>
              </a:solidFill>
            </a:ln>
          </c:spPr>
        </c:majorGridlines>
        <c:numFmt formatCode="0.0%" sourceLinked="1"/>
        <c:majorTickMark val="none"/>
        <c:minorTickMark val="none"/>
        <c:tickLblPos val="nextTo"/>
        <c:spPr>
          <a:ln xmlns:a="http://schemas.openxmlformats.org/drawingml/2006/main">
            <a:noFill/>
          </a:ln>
        </c:spPr>
        <c:txPr>
          <a:bodyPr xmlns:a="http://schemas.openxmlformats.org/drawingml/2006/main" rot="-6000000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379771216"/>
        <c:crosses val="autoZero"/>
        <c:crossBetween val="between"/>
      </c:valAx>
      <c:spPr>
        <a:solidFill xmlns:a="http://schemas.openxmlformats.org/drawingml/2006/main">
          <a:srgbClr val="FFFFFF"/>
        </a:solidFill>
        <a:ln xmlns:a="http://schemas.openxmlformats.org/drawingml/2006/main">
          <a:noFill/>
        </a:ln>
      </c:spPr>
    </c:plotArea>
    <c:plotVisOnly val="1"/>
  </c:chart>
  <c:spPr>
    <a:solidFill xmlns:a="http://schemas.openxmlformats.org/drawingml/2006/main">
      <a:srgbClr val="FFFFFF"/>
    </a:solidFill>
    <a:ln xmlns:a="http://schemas.openxmlformats.org/drawingml/2006/main" w="9525" cmpd="sng">
      <a:solidFill>
        <a:schemeClr val="tx1">
          <a:lumMod val="15000"/>
          <a:lumOff val="85000"/>
        </a:schemeClr>
      </a:solidFill>
    </a:ln>
  </c:spPr>
</c:chartSpace>
</file>

<file path=xl/drawings/charts/chart8.xml><?xml version="1.0" encoding="utf-8"?>
<c:chartSpace xmlns:mc="http://schemas.openxmlformats.org/markup-compatibility/2006" xmlns:c14="http://schemas.microsoft.com/office/drawing/2007/8/2/chart" xmlns:c="http://schemas.openxmlformats.org/drawingml/2006/chart" mc:Ignorable="c14">
  <c:lang val="en-US"/>
  <c:roundedCorners val="0"/>
  <mc:AlternateContent>
    <mc:Choice Requires="c14">
      <c14:style val="102"/>
    </mc:Choice>
    <mc:Fallback>
      <c:style val="2"/>
    </mc:Fallback>
  </mc:AlternateContent>
  <c:chart>
    <c:title>
      <c:tx>
        <c:rich>
          <a:bodyPr xmlns:a="http://schemas.openxmlformats.org/drawingml/2006/main"/>
          <a:lstStyle xmlns:a="http://schemas.openxmlformats.org/drawingml/2006/main"/>
          <a:p xmlns:a="http://schemas.openxmlformats.org/drawingml/2006/main">
            <a:r>
              <a:rPr sz="1200" b="1" i="0" u="none">
                <a:solidFill>
                  <a:srgbClr val="1B4332"/>
                </a:solidFill>
                <a:latin typeface="+mn-lt"/>
                <a:ea typeface="+mn-lt"/>
                <a:cs typeface="+mn-lt"/>
              </a:rPr>
              <a:t>Recruiter Success Rate</a:t>
            </a:r>
          </a:p>
        </c:rich>
      </c:tx>
      <c:txPr>
        <a:bodyPr xmlns:a="http://schemas.openxmlformats.org/drawingml/2006/main" rot="0" vert="horz" anchor="ctr" anchorCtr="1"/>
        <a:lstStyle xmlns:a="http://schemas.openxmlformats.org/drawingml/2006/main"/>
        <a:p xmlns:a="http://schemas.openxmlformats.org/drawingml/2006/main">
          <a:pPr>
            <a:defRPr sz="1200" b="1" i="0" u="none">
              <a:solidFill>
                <a:srgbClr val="1B4332"/>
              </a:solidFill>
              <a:latin typeface="+mn-lt"/>
              <a:ea typeface="+mn-lt"/>
              <a:cs typeface="+mn-lt"/>
            </a:defRPr>
          </a:pPr>
        </a:p>
      </c:txPr>
    </c:title>
    <c:autoTitleDeleted val="0"/>
    <c:plotArea>
      <c:barChart>
        <c:barDir val="bar"/>
        <c:grouping val="clustered"/>
        <c:varyColors val="0"/>
        <c:ser>
          <c:idx val="0"/>
          <c:order val="0"/>
          <c:tx>
            <c:strRef>
              <c:f>'Recruiter Analysis'!$D$5</c:f>
              <c:strCache>
                <c:ptCount val="1"/>
                <c:pt idx="0">
                  <c:v>Success Rate</c:v>
                </c:pt>
              </c:strCache>
            </c:strRef>
          </c:tx>
          <c:spPr>
            <a:solidFill xmlns:a="http://schemas.openxmlformats.org/drawingml/2006/main">
              <a:srgbClr val="1B4332"/>
            </a:solidFill>
            <a:ln xmlns:a="http://schemas.openxmlformats.org/drawingml/2006/main" w="25400">
              <a:solidFill>
                <a:srgbClr val="1B4332"/>
              </a:solidFill>
              <a:prstDash val="solid"/>
            </a:ln>
          </c:spPr>
          <c:dLbls>
            <c:numFmt formatCode="0%" sourceLinked="0"/>
            <c:spPr>
              <a:noFill xmlns:a="http://schemas.openxmlformats.org/drawingml/2006/main"/>
              <a:ln xmlns:a="http://schemas.openxmlformats.org/drawingml/2006/main">
                <a:noFill/>
              </a:ln>
            </c:spPr>
            <c:txPr>
              <a:bodyPr xmlns:a="http://schemas.openxmlformats.org/drawingml/2006/main" anchorCtr="1"/>
              <a:lstStyle xmlns:a="http://schemas.openxmlformats.org/drawingml/2006/main"/>
              <a:p xmlns:a="http://schemas.openxmlformats.org/drawingml/2006/main">
                <a:pPr>
                  <a:defRPr sz="900" b="0" i="0" u="none">
                    <a:solidFill>
                      <a:schemeClr val="tx1">
                        <a:lumMod val="75000"/>
                        <a:lumOff val="25000"/>
                      </a:schemeClr>
                    </a:solidFill>
                    <a:latin typeface="+mn-lt"/>
                    <a:ea typeface="+mn-lt"/>
                    <a:cs typeface="+mn-lt"/>
                  </a:defRPr>
                </a:pPr>
              </a:p>
            </c:txPr>
            <c:showLegendKey val="0"/>
            <c:showVal val="1"/>
            <c:showCatName val="0"/>
            <c:showSerName val="0"/>
            <c:showPercent val="0"/>
            <c:showBubbleSize val="0"/>
            <c:showLeaderLines val="0"/>
          </c:dLbls>
          <c:cat>
            <c:strRef>
              <c:f>'Recruiter Analysis'!$A$6:$A$13</c:f>
              <c:strCache>
                <c:ptCount val="8"/>
                <c:pt idx="0">
                  <c:v>A. Simmons</c:v>
                </c:pt>
                <c:pt idx="1">
                  <c:v>B. Kowalski</c:v>
                </c:pt>
                <c:pt idx="2">
                  <c:v>C. Nguyen</c:v>
                </c:pt>
                <c:pt idx="3">
                  <c:v>D. Foster</c:v>
                </c:pt>
                <c:pt idx="4">
                  <c:v>E. Ramirez</c:v>
                </c:pt>
                <c:pt idx="5">
                  <c:v>F. Whitfield</c:v>
                </c:pt>
                <c:pt idx="6">
                  <c:v>G. Patel</c:v>
                </c:pt>
                <c:pt idx="7">
                  <c:v>H. Delacroix</c:v>
                </c:pt>
              </c:strCache>
            </c:strRef>
          </c:cat>
          <c:val>
            <c:numRef>
              <c:f>'Recruiter Analysis'!$D$6:$D$13</c:f>
              <c:numCache>
                <c:formatCode>0.0%</c:formatCode>
                <c:ptCount val="8"/>
                <c:pt idx="0">
                  <c:v>0.6884057971014492</c:v>
                </c:pt>
                <c:pt idx="1">
                  <c:v>0.7426470588235294</c:v>
                </c:pt>
                <c:pt idx="2">
                  <c:v>0.7016129032258065</c:v>
                </c:pt>
                <c:pt idx="3">
                  <c:v>0.6721311475409836</c:v>
                </c:pt>
                <c:pt idx="4">
                  <c:v>0.711864406779661</c:v>
                </c:pt>
                <c:pt idx="5">
                  <c:v>0.6884057971014492</c:v>
                </c:pt>
                <c:pt idx="6">
                  <c:v>0.6845637583892618</c:v>
                </c:pt>
                <c:pt idx="7">
                  <c:v>0.68</c:v>
                </c:pt>
              </c:numCache>
            </c:numRef>
          </c:val>
        </c:ser>
        <c:dLbls>
          <c:showLegendKey val="0"/>
          <c:showVal val="0"/>
          <c:showCatName val="0"/>
          <c:showSerName val="0"/>
          <c:showPercent val="0"/>
          <c:showBubbleSize val="0"/>
        </c:dLbls>
        <c:gapWidth val="182"/>
        <c:axId val="379727600"/>
        <c:axId val="381718992"/>
      </c:barChart>
      <c:catAx>
        <c:axId val="379727600"/>
        <c:scaling>
          <c:orientation val="minMax"/>
        </c:scaling>
        <c:delete val="0"/>
        <c:axPos val="l"/>
        <c:numFmt formatCode="General" sourceLinked="1"/>
        <c:majorTickMark val="none"/>
        <c:minorTickMark val="none"/>
        <c:tickLblPos val="nextTo"/>
        <c:spPr>
          <a:ln xmlns:a="http://schemas.openxmlformats.org/drawingml/2006/main" w="9525" cmpd="sng">
            <a:solidFill>
              <a:schemeClr val="tx1">
                <a:lumMod val="15000"/>
                <a:lumOff val="85000"/>
              </a:schemeClr>
            </a:solidFill>
          </a:ln>
        </c:spPr>
        <c:txPr>
          <a:bodyPr xmlns:a="http://schemas.openxmlformats.org/drawingml/2006/main" rot="-6000000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381718992"/>
        <c:crosses val="autoZero"/>
        <c:lblAlgn val="ctr"/>
        <c:lblOffset val="100"/>
        <c:noMultiLvlLbl val="0"/>
      </c:catAx>
      <c:valAx>
        <c:axId val="381718992"/>
        <c:scaling>
          <c:orientation val="minMax"/>
        </c:scaling>
        <c:delete val="0"/>
        <c:axPos val="b"/>
        <c:majorGridlines>
          <c:spPr>
            <a:ln xmlns:a="http://schemas.openxmlformats.org/drawingml/2006/main" w="9525" cmpd="sng">
              <a:solidFill>
                <a:schemeClr val="tx1">
                  <a:lumMod val="15000"/>
                  <a:lumOff val="85000"/>
                </a:schemeClr>
              </a:solidFill>
            </a:ln>
          </c:spPr>
        </c:majorGridlines>
        <c:numFmt formatCode="0.0%" sourceLinked="1"/>
        <c:majorTickMark val="none"/>
        <c:minorTickMark val="none"/>
        <c:tickLblPos val="nextTo"/>
        <c:spPr>
          <a:ln xmlns:a="http://schemas.openxmlformats.org/drawingml/2006/main">
            <a:noFill/>
          </a:ln>
        </c:spPr>
        <c:txPr>
          <a:bodyPr xmlns:a="http://schemas.openxmlformats.org/drawingml/2006/main" rot="-6000000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379727600"/>
        <c:crosses val="autoZero"/>
        <c:crossBetween val="between"/>
      </c:valAx>
      <c:spPr>
        <a:solidFill xmlns:a="http://schemas.openxmlformats.org/drawingml/2006/main">
          <a:srgbClr val="FFFFFF"/>
        </a:solidFill>
        <a:ln xmlns:a="http://schemas.openxmlformats.org/drawingml/2006/main">
          <a:noFill/>
        </a:ln>
      </c:spPr>
    </c:plotArea>
    <c:plotVisOnly val="1"/>
  </c:chart>
  <c:spPr>
    <a:solidFill xmlns:a="http://schemas.openxmlformats.org/drawingml/2006/main">
      <a:srgbClr val="FFFFFF"/>
    </a:solidFill>
    <a:ln xmlns:a="http://schemas.openxmlformats.org/drawingml/2006/main" w="9525" cmpd="sng">
      <a:solidFill>
        <a:schemeClr val="tx1">
          <a:lumMod val="15000"/>
          <a:lumOff val="85000"/>
        </a:schemeClr>
      </a:solidFill>
    </a:ln>
  </c:spPr>
</c:chartSpace>
</file>

<file path=xl/drawings/charts/chart9.xml><?xml version="1.0" encoding="utf-8"?>
<c:chartSpace xmlns:mc="http://schemas.openxmlformats.org/markup-compatibility/2006" xmlns:c14="http://schemas.microsoft.com/office/drawing/2007/8/2/chart" xmlns:c="http://schemas.openxmlformats.org/drawingml/2006/chart" mc:Ignorable="c14">
  <c:lang val="en-US"/>
  <c:roundedCorners val="0"/>
  <mc:AlternateContent>
    <mc:Choice Requires="c14">
      <c14:style val="102"/>
    </mc:Choice>
    <mc:Fallback>
      <c:style val="2"/>
    </mc:Fallback>
  </mc:AlternateContent>
  <c:chart>
    <c:title>
      <c:tx>
        <c:rich>
          <a:bodyPr xmlns:a="http://schemas.openxmlformats.org/drawingml/2006/main"/>
          <a:lstStyle xmlns:a="http://schemas.openxmlformats.org/drawingml/2006/main"/>
          <a:p xmlns:a="http://schemas.openxmlformats.org/drawingml/2006/main">
            <a:r>
              <a:rPr sz="1200" b="1" i="0" u="none">
                <a:solidFill>
                  <a:srgbClr val="1B4332"/>
                </a:solidFill>
                <a:latin typeface="+mn-lt"/>
                <a:ea typeface="+mn-lt"/>
                <a:cs typeface="+mn-lt"/>
              </a:rPr>
              <a:t>Destination Success Rate</a:t>
            </a:r>
          </a:p>
        </c:rich>
      </c:tx>
      <c:txPr>
        <a:bodyPr xmlns:a="http://schemas.openxmlformats.org/drawingml/2006/main" rot="0" vert="horz" anchor="ctr" anchorCtr="1"/>
        <a:lstStyle xmlns:a="http://schemas.openxmlformats.org/drawingml/2006/main"/>
        <a:p xmlns:a="http://schemas.openxmlformats.org/drawingml/2006/main">
          <a:pPr>
            <a:defRPr sz="1200" b="1" i="0" u="none">
              <a:solidFill>
                <a:srgbClr val="1B4332"/>
              </a:solidFill>
              <a:latin typeface="+mn-lt"/>
              <a:ea typeface="+mn-lt"/>
              <a:cs typeface="+mn-lt"/>
            </a:defRPr>
          </a:pPr>
        </a:p>
      </c:txPr>
    </c:title>
    <c:autoTitleDeleted val="0"/>
    <c:plotArea>
      <c:barChart>
        <c:barDir val="col"/>
        <c:grouping val="clustered"/>
        <c:varyColors val="0"/>
        <c:ser>
          <c:idx val="0"/>
          <c:order val="0"/>
          <c:tx>
            <c:strRef>
              <c:f>'Destination Analysis'!$D$5</c:f>
              <c:strCache>
                <c:ptCount val="1"/>
                <c:pt idx="0">
                  <c:v>Success Rate</c:v>
                </c:pt>
              </c:strCache>
            </c:strRef>
          </c:tx>
          <c:spPr>
            <a:solidFill xmlns:a="http://schemas.openxmlformats.org/drawingml/2006/main">
              <a:srgbClr val="1B4332"/>
            </a:solidFill>
            <a:ln xmlns:a="http://schemas.openxmlformats.org/drawingml/2006/main" w="25400">
              <a:solidFill>
                <a:srgbClr val="1B4332"/>
              </a:solidFill>
              <a:prstDash val="solid"/>
            </a:ln>
          </c:spPr>
          <c:dLbls>
            <c:numFmt formatCode="0%" sourceLinked="0"/>
            <c:spPr>
              <a:noFill xmlns:a="http://schemas.openxmlformats.org/drawingml/2006/main"/>
              <a:ln xmlns:a="http://schemas.openxmlformats.org/drawingml/2006/main">
                <a:noFill/>
              </a:ln>
            </c:spPr>
            <c:txPr>
              <a:bodyPr xmlns:a="http://schemas.openxmlformats.org/drawingml/2006/main" anchorCtr="1"/>
              <a:lstStyle xmlns:a="http://schemas.openxmlformats.org/drawingml/2006/main"/>
              <a:p xmlns:a="http://schemas.openxmlformats.org/drawingml/2006/main">
                <a:pPr>
                  <a:defRPr sz="900" b="0" i="0" u="none">
                    <a:solidFill>
                      <a:schemeClr val="tx1">
                        <a:lumMod val="75000"/>
                        <a:lumOff val="25000"/>
                      </a:schemeClr>
                    </a:solidFill>
                    <a:latin typeface="+mn-lt"/>
                    <a:ea typeface="+mn-lt"/>
                    <a:cs typeface="+mn-lt"/>
                  </a:defRPr>
                </a:pPr>
              </a:p>
            </c:txPr>
            <c:showLegendKey val="0"/>
            <c:showVal val="1"/>
            <c:showCatName val="0"/>
            <c:showSerName val="0"/>
            <c:showPercent val="0"/>
            <c:showBubbleSize val="0"/>
            <c:showLeaderLines val="0"/>
          </c:dLbls>
          <c:cat>
            <c:strRef>
              <c:f>'Destination Analysis'!$A$6:$A$10</c:f>
              <c:strCache>
                <c:ptCount val="5"/>
                <c:pt idx="0">
                  <c:v>California</c:v>
                </c:pt>
                <c:pt idx="1">
                  <c:v>Florida</c:v>
                </c:pt>
                <c:pt idx="2">
                  <c:v>New York</c:v>
                </c:pt>
                <c:pt idx="3">
                  <c:v>Texas</c:v>
                </c:pt>
                <c:pt idx="4">
                  <c:v>Washington</c:v>
                </c:pt>
              </c:strCache>
            </c:strRef>
          </c:cat>
          <c:val>
            <c:numRef>
              <c:f>'Destination Analysis'!$D$6:$D$10</c:f>
              <c:numCache>
                <c:formatCode>0.0%</c:formatCode>
                <c:ptCount val="5"/>
                <c:pt idx="0">
                  <c:v>0.68</c:v>
                </c:pt>
                <c:pt idx="1">
                  <c:v>0.7552447552447552</c:v>
                </c:pt>
                <c:pt idx="2">
                  <c:v>0.7278911564625851</c:v>
                </c:pt>
                <c:pt idx="3">
                  <c:v>0.7096774193548387</c:v>
                </c:pt>
                <c:pt idx="4">
                  <c:v>0.686046511627907</c:v>
                </c:pt>
              </c:numCache>
            </c:numRef>
          </c:val>
        </c:ser>
        <c:dLbls>
          <c:showLegendKey val="0"/>
          <c:showVal val="0"/>
          <c:showCatName val="0"/>
          <c:showSerName val="0"/>
          <c:showPercent val="0"/>
          <c:showBubbleSize val="0"/>
        </c:dLbls>
        <c:gapWidth val="219"/>
        <c:overlap val="-27"/>
        <c:axId val="379613456"/>
        <c:axId val="381705552"/>
      </c:barChart>
      <c:catAx>
        <c:axId val="379613456"/>
        <c:scaling>
          <c:orientation val="minMax"/>
        </c:scaling>
        <c:delete val="0"/>
        <c:axPos val="b"/>
        <c:numFmt formatCode="General" sourceLinked="1"/>
        <c:majorTickMark val="none"/>
        <c:minorTickMark val="none"/>
        <c:tickLblPos val="nextTo"/>
        <c:spPr>
          <a:ln xmlns:a="http://schemas.openxmlformats.org/drawingml/2006/main" w="9525" cmpd="sng">
            <a:solidFill>
              <a:schemeClr val="tx1">
                <a:lumMod val="15000"/>
                <a:lumOff val="85000"/>
              </a:schemeClr>
            </a:solidFill>
          </a:ln>
        </c:spPr>
        <c:txPr>
          <a:bodyPr xmlns:a="http://schemas.openxmlformats.org/drawingml/2006/main" rot="270000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381705552"/>
        <c:crosses val="autoZero"/>
        <c:lblAlgn val="ctr"/>
        <c:lblOffset val="100"/>
        <c:noMultiLvlLbl val="0"/>
      </c:catAx>
      <c:valAx>
        <c:axId val="381705552"/>
        <c:scaling>
          <c:orientation val="minMax"/>
        </c:scaling>
        <c:delete val="0"/>
        <c:axPos val="l"/>
        <c:majorGridlines>
          <c:spPr>
            <a:ln xmlns:a="http://schemas.openxmlformats.org/drawingml/2006/main" w="9525" cmpd="sng">
              <a:solidFill>
                <a:schemeClr val="tx1">
                  <a:lumMod val="15000"/>
                  <a:lumOff val="85000"/>
                </a:schemeClr>
              </a:solidFill>
            </a:ln>
          </c:spPr>
        </c:majorGridlines>
        <c:numFmt formatCode="0.0%" sourceLinked="1"/>
        <c:majorTickMark val="none"/>
        <c:minorTickMark val="none"/>
        <c:tickLblPos val="nextTo"/>
        <c:spPr>
          <a:ln xmlns:a="http://schemas.openxmlformats.org/drawingml/2006/main">
            <a:noFill/>
          </a:ln>
        </c:spPr>
        <c:txPr>
          <a:bodyPr xmlns:a="http://schemas.openxmlformats.org/drawingml/2006/main" rot="-6000000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379613456"/>
        <c:crosses val="autoZero"/>
        <c:crossBetween val="between"/>
      </c:valAx>
      <c:spPr>
        <a:solidFill xmlns:a="http://schemas.openxmlformats.org/drawingml/2006/main">
          <a:srgbClr val="FFFFFF"/>
        </a:solidFill>
        <a:ln xmlns:a="http://schemas.openxmlformats.org/drawingml/2006/main">
          <a:noFill/>
        </a:ln>
      </c:spPr>
    </c:plotArea>
    <c:plotVisOnly val="1"/>
  </c:chart>
  <c:spPr>
    <a:solidFill xmlns:a="http://schemas.openxmlformats.org/drawingml/2006/main">
      <a:srgbClr val="FFFFFF"/>
    </a:solidFill>
    <a:ln xmlns:a="http://schemas.openxmlformats.org/drawingml/2006/main" w="9525" cmpd="sng">
      <a:solidFill>
        <a:schemeClr val="tx1">
          <a:lumMod val="15000"/>
          <a:lumOff val="85000"/>
        </a:schemeClr>
      </a:solidFill>
    </a:ln>
  </c:spPr>
</c:chartSpace>
</file>

<file path=xl/drawings/charts/chart10.xml><?xml version="1.0" encoding="utf-8"?>
<c:chartSpace xmlns:mc="http://schemas.openxmlformats.org/markup-compatibility/2006" xmlns:c14="http://schemas.microsoft.com/office/drawing/2007/8/2/chart" xmlns:c="http://schemas.openxmlformats.org/drawingml/2006/chart" mc:Ignorable="c14">
  <c:lang val="en-US"/>
  <c:roundedCorners val="0"/>
  <mc:AlternateContent>
    <mc:Choice Requires="c14">
      <c14:style val="102"/>
    </mc:Choice>
    <mc:Fallback>
      <c:style val="2"/>
    </mc:Fallback>
  </mc:AlternateContent>
  <c:chart>
    <c:title>
      <c:tx>
        <c:rich>
          <a:bodyPr xmlns:a="http://schemas.openxmlformats.org/drawingml/2006/main"/>
          <a:lstStyle xmlns:a="http://schemas.openxmlformats.org/drawingml/2006/main"/>
          <a:p xmlns:a="http://schemas.openxmlformats.org/drawingml/2006/main">
            <a:r>
              <a:rPr sz="1400" b="0" i="0" u="none">
                <a:solidFill>
                  <a:srgbClr val="1B4332"/>
                </a:solidFill>
                <a:latin typeface="+mn-lt"/>
                <a:ea typeface="+mn-lt"/>
                <a:cs typeface="+mn-lt"/>
              </a:rPr>
              <a:t>Kaplan–Meier Retention by Milestone</a:t>
            </a:r>
          </a:p>
        </c:rich>
      </c:tx>
      <c:txPr>
        <a:bodyPr xmlns:a="http://schemas.openxmlformats.org/drawingml/2006/main" rot="0" vert="horz" anchor="ctr" anchorCtr="1"/>
        <a:lstStyle xmlns:a="http://schemas.openxmlformats.org/drawingml/2006/main"/>
        <a:p xmlns:a="http://schemas.openxmlformats.org/drawingml/2006/main">
          <a:pPr>
            <a:defRPr sz="1400" b="0" i="0" u="none">
              <a:solidFill>
                <a:srgbClr val="1B4332"/>
              </a:solidFill>
              <a:latin typeface="+mn-lt"/>
              <a:ea typeface="+mn-lt"/>
              <a:cs typeface="+mn-lt"/>
            </a:defRPr>
          </a:pPr>
        </a:p>
      </c:txPr>
    </c:title>
    <c:autoTitleDeleted val="0"/>
    <c:plotArea>
      <c:lineChart>
        <c:grouping val="standard"/>
        <c:varyColors val="0"/>
        <c:ser>
          <c:idx val="0"/>
          <c:order val="0"/>
          <c:tx>
            <c:strRef>
              <c:f>'Survival Analysis'!$G$5</c:f>
              <c:strCache>
                <c:ptCount val="1"/>
                <c:pt idx="0">
                  <c:v>Survival</c:v>
                </c:pt>
              </c:strCache>
            </c:strRef>
          </c:tx>
          <c:spPr>
            <a:ln xmlns:a="http://schemas.openxmlformats.org/drawingml/2006/main" w="28575">
              <a:solidFill>
                <a:schemeClr val="accent1"/>
              </a:solidFill>
            </a:ln>
          </c:spPr>
          <c:marker>
            <c:symbol val="circle"/>
            <c:size val="5"/>
            <c:spPr>
              <a:solidFill xmlns:a="http://schemas.openxmlformats.org/drawingml/2006/main">
                <a:schemeClr val="accent1"/>
              </a:solidFill>
              <a:ln xmlns:a="http://schemas.openxmlformats.org/drawingml/2006/main" w="9525">
                <a:solidFill>
                  <a:schemeClr val="accent1"/>
                </a:solidFill>
              </a:ln>
            </c:spPr>
          </c:marker>
          <c:dLbls>
            <c:numFmt formatCode="0%" sourceLinked="0"/>
            <c:spPr>
              <a:noFill xmlns:a="http://schemas.openxmlformats.org/drawingml/2006/main"/>
              <a:ln xmlns:a="http://schemas.openxmlformats.org/drawingml/2006/main">
                <a:noFill/>
              </a:ln>
            </c:spPr>
            <c:txPr>
              <a:bodyPr xmlns:a="http://schemas.openxmlformats.org/drawingml/2006/main" anchorCtr="1"/>
              <a:lstStyle xmlns:a="http://schemas.openxmlformats.org/drawingml/2006/main"/>
              <a:p xmlns:a="http://schemas.openxmlformats.org/drawingml/2006/main">
                <a:pPr>
                  <a:defRPr sz="900" b="0" i="0" u="none">
                    <a:solidFill>
                      <a:schemeClr val="tx1">
                        <a:lumMod val="75000"/>
                        <a:lumOff val="25000"/>
                      </a:schemeClr>
                    </a:solidFill>
                    <a:latin typeface="+mn-lt"/>
                    <a:ea typeface="+mn-lt"/>
                    <a:cs typeface="+mn-lt"/>
                  </a:defRPr>
                </a:pPr>
              </a:p>
            </c:txPr>
            <c:showLegendKey val="0"/>
            <c:showVal val="1"/>
            <c:showCatName val="0"/>
            <c:showSerName val="0"/>
            <c:showPercent val="0"/>
            <c:showBubbleSize val="0"/>
            <c:showLeaderLines val="0"/>
          </c:dLbls>
          <c:cat>
            <c:strRef>
              <c:f>'Survival Analysis'!$F$6:$F$13</c:f>
              <c:strCache>
                <c:ptCount val="8"/>
                <c:pt idx="0">
                  <c:v>0 Days</c:v>
                </c:pt>
                <c:pt idx="1">
                  <c:v>30 Days</c:v>
                </c:pt>
                <c:pt idx="2">
                  <c:v>60 Days</c:v>
                </c:pt>
                <c:pt idx="3">
                  <c:v>90 Days</c:v>
                </c:pt>
                <c:pt idx="4">
                  <c:v>121 Days</c:v>
                </c:pt>
                <c:pt idx="5">
                  <c:v>180 Days</c:v>
                </c:pt>
                <c:pt idx="6">
                  <c:v>365 Days</c:v>
                </c:pt>
                <c:pt idx="7">
                  <c:v>730 Days</c:v>
                </c:pt>
              </c:strCache>
            </c:strRef>
          </c:cat>
          <c:val>
            <c:numRef>
              <c:f>'Survival Analysis'!$G$6:$G$13</c:f>
              <c:numCache>
                <c:formatCode>0.0%</c:formatCode>
                <c:ptCount val="8"/>
                <c:pt idx="0">
                  <c:v>1</c:v>
                </c:pt>
                <c:pt idx="1">
                  <c:v>0.8646328543749617</c:v>
                </c:pt>
                <c:pt idx="2">
                  <c:v>0.7920736825398857</c:v>
                </c:pt>
                <c:pt idx="3">
                  <c:v>0.7446813889043001</c:v>
                </c:pt>
                <c:pt idx="4">
                  <c:v>0.6987196583741143</c:v>
                </c:pt>
                <c:pt idx="5">
                  <c:v>0.6361858186523993</c:v>
                </c:pt>
                <c:pt idx="6">
                  <c:v>0.5446686301133001</c:v>
                </c:pt>
                <c:pt idx="7">
                  <c:v>0.4697814265676579</c:v>
                </c:pt>
              </c:numCache>
            </c:numRef>
          </c:val>
        </c:ser>
        <c:dLbls>
          <c:showLegendKey val="0"/>
          <c:showVal val="0"/>
          <c:showCatName val="0"/>
          <c:showSerName val="0"/>
          <c:showPercent val="0"/>
          <c:showBubbleSize val="0"/>
        </c:dLbls>
        <c:axId val="1341776608"/>
        <c:axId val="381705072"/>
      </c:lineChart>
      <c:catAx>
        <c:axId val="1341776608"/>
        <c:scaling>
          <c:orientation val="minMax"/>
        </c:scaling>
        <c:delete val="0"/>
        <c:axPos val="b"/>
        <c:title>
          <c:tx>
            <c:rich>
              <a:bodyPr xmlns:a="http://schemas.openxmlformats.org/drawingml/2006/main"/>
              <a:lstStyle xmlns:a="http://schemas.openxmlformats.org/drawingml/2006/main"/>
              <a:p xmlns:a="http://schemas.openxmlformats.org/drawingml/2006/main">
                <a:r>
                  <a:rPr sz="1000" b="0" i="0" u="none">
                    <a:solidFill>
                      <a:schemeClr val="tx1">
                        <a:lumMod val="65000"/>
                        <a:lumOff val="35000"/>
                      </a:schemeClr>
                    </a:solidFill>
                    <a:latin typeface="+mn-lt"/>
                    <a:ea typeface="+mn-lt"/>
                    <a:cs typeface="+mn-lt"/>
                  </a:rPr>
                  <a:t>Days Worked</a:t>
                </a:r>
              </a:p>
            </c:rich>
          </c:tx>
          <c:txPr>
            <a:bodyPr xmlns:a="http://schemas.openxmlformats.org/drawingml/2006/main" rot="0" vert="horz" anchor="ctr" anchorCtr="1"/>
            <a:lstStyle xmlns:a="http://schemas.openxmlformats.org/drawingml/2006/main"/>
            <a:p xmlns:a="http://schemas.openxmlformats.org/drawingml/2006/main">
              <a:pPr>
                <a:defRPr sz="1000" b="0" i="0" u="none">
                  <a:solidFill>
                    <a:schemeClr val="tx1">
                      <a:lumMod val="65000"/>
                      <a:lumOff val="35000"/>
                    </a:schemeClr>
                  </a:solidFill>
                  <a:latin typeface="+mn-lt"/>
                  <a:ea typeface="+mn-lt"/>
                  <a:cs typeface="+mn-lt"/>
                </a:defRPr>
              </a:pPr>
            </a:p>
          </c:txPr>
        </c:title>
        <c:numFmt formatCode="General" sourceLinked="1"/>
        <c:majorTickMark val="none"/>
        <c:minorTickMark val="none"/>
        <c:tickLblPos val="nextTo"/>
        <c:spPr>
          <a:ln xmlns:a="http://schemas.openxmlformats.org/drawingml/2006/main" w="9525" cmpd="sng">
            <a:solidFill>
              <a:schemeClr val="tx1">
                <a:lumMod val="15000"/>
                <a:lumOff val="85000"/>
              </a:schemeClr>
            </a:solidFill>
          </a:ln>
        </c:spPr>
        <c:txPr>
          <a:bodyPr xmlns:a="http://schemas.openxmlformats.org/drawingml/2006/main" rot="-6000000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381705072"/>
        <c:crosses val="autoZero"/>
        <c:lblAlgn val="ctr"/>
        <c:lblOffset val="100"/>
        <c:noMultiLvlLbl val="0"/>
      </c:catAx>
      <c:valAx>
        <c:axId val="381705072"/>
        <c:scaling>
          <c:orientation val="minMax"/>
        </c:scaling>
        <c:delete val="0"/>
        <c:axPos val="l"/>
        <c:majorGridlines>
          <c:spPr>
            <a:ln xmlns:a="http://schemas.openxmlformats.org/drawingml/2006/main" w="9525" cmpd="sng">
              <a:solidFill>
                <a:schemeClr val="tx1">
                  <a:lumMod val="15000"/>
                  <a:lumOff val="85000"/>
                </a:schemeClr>
              </a:solidFill>
            </a:ln>
          </c:spPr>
        </c:majorGridlines>
        <c:title>
          <c:tx>
            <c:rich>
              <a:bodyPr xmlns:a="http://schemas.openxmlformats.org/drawingml/2006/main"/>
              <a:lstStyle xmlns:a="http://schemas.openxmlformats.org/drawingml/2006/main"/>
              <a:p xmlns:a="http://schemas.openxmlformats.org/drawingml/2006/main">
                <a:r>
                  <a:rPr sz="1000" b="0" i="0" u="none">
                    <a:solidFill>
                      <a:schemeClr val="tx1">
                        <a:lumMod val="65000"/>
                        <a:lumOff val="35000"/>
                      </a:schemeClr>
                    </a:solidFill>
                    <a:latin typeface="+mn-lt"/>
                    <a:ea typeface="+mn-lt"/>
                    <a:cs typeface="+mn-lt"/>
                  </a:rPr>
                  <a:t>Survival Probability</a:t>
                </a:r>
              </a:p>
            </c:rich>
          </c:tx>
          <c:txPr>
            <a:bodyPr xmlns:a="http://schemas.openxmlformats.org/drawingml/2006/main" rot="-5400000" vert="horz" anchor="ctr" anchorCtr="1"/>
            <a:lstStyle xmlns:a="http://schemas.openxmlformats.org/drawingml/2006/main"/>
            <a:p xmlns:a="http://schemas.openxmlformats.org/drawingml/2006/main">
              <a:pPr>
                <a:defRPr sz="1000" b="0" i="0" u="none">
                  <a:solidFill>
                    <a:schemeClr val="tx1">
                      <a:lumMod val="65000"/>
                      <a:lumOff val="35000"/>
                    </a:schemeClr>
                  </a:solidFill>
                  <a:latin typeface="+mn-lt"/>
                  <a:ea typeface="+mn-lt"/>
                  <a:cs typeface="+mn-lt"/>
                </a:defRPr>
              </a:pPr>
            </a:p>
          </c:txPr>
        </c:title>
        <c:numFmt formatCode="0.0%" sourceLinked="1"/>
        <c:majorTickMark val="none"/>
        <c:minorTickMark val="none"/>
        <c:tickLblPos val="nextTo"/>
        <c:spPr>
          <a:ln xmlns:a="http://schemas.openxmlformats.org/drawingml/2006/main">
            <a:noFill/>
          </a:ln>
        </c:spPr>
        <c:txPr>
          <a:bodyPr xmlns:a="http://schemas.openxmlformats.org/drawingml/2006/main" rot="-6000000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1341776608"/>
        <c:crosses val="autoZero"/>
        <c:crossBetween val="between"/>
      </c:valAx>
      <c:spPr>
        <a:noFill xmlns:a="http://schemas.openxmlformats.org/drawingml/2006/main"/>
        <a:ln xmlns:a="http://schemas.openxmlformats.org/drawingml/2006/main">
          <a:noFill/>
        </a:ln>
      </c:spPr>
    </c:plotArea>
    <c:plotVisOnly val="1"/>
  </c:chart>
  <c:spPr>
    <a:solidFill xmlns:a="http://schemas.openxmlformats.org/drawingml/2006/main">
      <a:schemeClr val="bg1"/>
    </a:solidFill>
    <a:ln xmlns:a="http://schemas.openxmlformats.org/drawingml/2006/main" w="9525" cmpd="sng">
      <a:solidFill>
        <a:schemeClr val="tx1">
          <a:lumMod val="15000"/>
          <a:lumOff val="85000"/>
        </a:schemeClr>
      </a:solidFill>
    </a:ln>
  </c:spPr>
</c:chartSpace>
</file>

<file path=xl/drawings/charts/chart11.xml><?xml version="1.0" encoding="utf-8"?>
<c:chartSpace xmlns:mc="http://schemas.openxmlformats.org/markup-compatibility/2006" xmlns:c14="http://schemas.microsoft.com/office/drawing/2007/8/2/chart" xmlns:c="http://schemas.openxmlformats.org/drawingml/2006/chart" mc:Ignorable="c14">
  <c:lang val="en-US"/>
  <c:roundedCorners val="0"/>
  <mc:AlternateContent>
    <mc:Choice Requires="c14">
      <c14:style val="102"/>
    </mc:Choice>
    <mc:Fallback>
      <c:style val="2"/>
    </mc:Fallback>
  </mc:AlternateContent>
  <c:chart>
    <c:title>
      <c:tx>
        <c:rich>
          <a:bodyPr xmlns:a="http://schemas.openxmlformats.org/drawingml/2006/main"/>
          <a:lstStyle xmlns:a="http://schemas.openxmlformats.org/drawingml/2006/main"/>
          <a:p xmlns:a="http://schemas.openxmlformats.org/drawingml/2006/main">
            <a:r>
              <a:rPr sz="1400" b="0" i="0" u="none">
                <a:solidFill>
                  <a:srgbClr val="1B4332"/>
                </a:solidFill>
                <a:latin typeface="+mn-lt"/>
                <a:ea typeface="+mn-lt"/>
                <a:cs typeface="+mn-lt"/>
              </a:rPr>
              <a:t>Recruiter Success vs 95% Limits</a:t>
            </a:r>
          </a:p>
        </c:rich>
      </c:tx>
      <c:txPr>
        <a:bodyPr xmlns:a="http://schemas.openxmlformats.org/drawingml/2006/main" rot="0" vert="horz" anchor="ctr" anchorCtr="1"/>
        <a:lstStyle xmlns:a="http://schemas.openxmlformats.org/drawingml/2006/main"/>
        <a:p xmlns:a="http://schemas.openxmlformats.org/drawingml/2006/main">
          <a:pPr>
            <a:defRPr sz="1400" b="0" i="0" u="none">
              <a:solidFill>
                <a:srgbClr val="1B4332"/>
              </a:solidFill>
              <a:latin typeface="+mn-lt"/>
              <a:ea typeface="+mn-lt"/>
              <a:cs typeface="+mn-lt"/>
            </a:defRPr>
          </a:pPr>
        </a:p>
      </c:txPr>
    </c:title>
    <c:autoTitleDeleted val="0"/>
    <c:plotArea>
      <c:lineChart>
        <c:grouping val="standard"/>
        <c:varyColors val="0"/>
        <c:ser>
          <c:idx val="0"/>
          <c:order val="0"/>
          <c:tx>
            <c:strRef>
              <c:f>'Performance Controls'!$D$5</c:f>
              <c:strCache>
                <c:ptCount val="1"/>
                <c:pt idx="0">
                  <c:v>Success Rate</c:v>
                </c:pt>
              </c:strCache>
            </c:strRef>
          </c:tx>
          <c:spPr>
            <a:ln xmlns:a="http://schemas.openxmlformats.org/drawingml/2006/main" w="31750">
              <a:solidFill>
                <a:srgbClr val="1B4332"/>
              </a:solidFill>
              <a:prstDash val="solid"/>
            </a:ln>
          </c:spPr>
          <c:marker>
            <c:symbol val="circle"/>
            <c:size val="5"/>
            <c:spPr>
              <a:solidFill xmlns:a="http://schemas.openxmlformats.org/drawingml/2006/main">
                <a:schemeClr val="accent1"/>
              </a:solidFill>
              <a:ln xmlns:a="http://schemas.openxmlformats.org/drawingml/2006/main" w="9525">
                <a:solidFill>
                  <a:schemeClr val="accent1"/>
                </a:solidFill>
              </a:ln>
            </c:spPr>
          </c:marker>
          <c:cat>
            <c:strRef>
              <c:f>'Performance Controls'!$A$6:$A$13</c:f>
              <c:strCache>
                <c:ptCount val="8"/>
                <c:pt idx="0">
                  <c:v>A. Simmons</c:v>
                </c:pt>
                <c:pt idx="1">
                  <c:v>B. Kowalski</c:v>
                </c:pt>
                <c:pt idx="2">
                  <c:v>C. Nguyen</c:v>
                </c:pt>
                <c:pt idx="3">
                  <c:v>D. Foster</c:v>
                </c:pt>
                <c:pt idx="4">
                  <c:v>E. Ramirez</c:v>
                </c:pt>
                <c:pt idx="5">
                  <c:v>F. Whitfield</c:v>
                </c:pt>
                <c:pt idx="6">
                  <c:v>G. Patel</c:v>
                </c:pt>
                <c:pt idx="7">
                  <c:v>H. Delacroix</c:v>
                </c:pt>
              </c:strCache>
            </c:strRef>
          </c:cat>
          <c:val>
            <c:numRef>
              <c:f>'Performance Controls'!$D$6:$D$13</c:f>
              <c:numCache>
                <c:formatCode>0.0%</c:formatCode>
                <c:ptCount val="8"/>
                <c:pt idx="0">
                  <c:v>0.6884057971014492</c:v>
                </c:pt>
                <c:pt idx="1">
                  <c:v>0.7426470588235294</c:v>
                </c:pt>
                <c:pt idx="2">
                  <c:v>0.7016129032258065</c:v>
                </c:pt>
                <c:pt idx="3">
                  <c:v>0.6721311475409836</c:v>
                </c:pt>
                <c:pt idx="4">
                  <c:v>0.711864406779661</c:v>
                </c:pt>
                <c:pt idx="5">
                  <c:v>0.6884057971014492</c:v>
                </c:pt>
                <c:pt idx="6">
                  <c:v>0.6845637583892618</c:v>
                </c:pt>
                <c:pt idx="7">
                  <c:v>0.68</c:v>
                </c:pt>
              </c:numCache>
            </c:numRef>
          </c:val>
        </c:ser>
        <c:ser>
          <c:idx val="1"/>
          <c:order val="1"/>
          <c:tx>
            <c:strRef>
              <c:f>'Performance Controls'!$E$5</c:f>
              <c:strCache>
                <c:ptCount val="1"/>
                <c:pt idx="0">
                  <c:v>Pooled Rate</c:v>
                </c:pt>
              </c:strCache>
            </c:strRef>
          </c:tx>
          <c:spPr>
            <a:ln xmlns:a="http://schemas.openxmlformats.org/drawingml/2006/main" w="19050">
              <a:solidFill>
                <a:srgbClr val="C9A227"/>
              </a:solidFill>
              <a:prstDash val="solid"/>
            </a:ln>
          </c:spPr>
          <c:marker>
            <c:symbol val="circle"/>
            <c:size val="5"/>
            <c:spPr>
              <a:solidFill xmlns:a="http://schemas.openxmlformats.org/drawingml/2006/main">
                <a:schemeClr val="accent2"/>
              </a:solidFill>
              <a:ln xmlns:a="http://schemas.openxmlformats.org/drawingml/2006/main" w="9525">
                <a:solidFill>
                  <a:schemeClr val="accent2"/>
                </a:solidFill>
              </a:ln>
            </c:spPr>
          </c:marker>
          <c:cat>
            <c:strRef>
              <c:f>'Performance Controls'!$A$6:$A$13</c:f>
              <c:strCache>
                <c:ptCount val="8"/>
                <c:pt idx="0">
                  <c:v>A. Simmons</c:v>
                </c:pt>
                <c:pt idx="1">
                  <c:v>B. Kowalski</c:v>
                </c:pt>
                <c:pt idx="2">
                  <c:v>C. Nguyen</c:v>
                </c:pt>
                <c:pt idx="3">
                  <c:v>D. Foster</c:v>
                </c:pt>
                <c:pt idx="4">
                  <c:v>E. Ramirez</c:v>
                </c:pt>
                <c:pt idx="5">
                  <c:v>F. Whitfield</c:v>
                </c:pt>
                <c:pt idx="6">
                  <c:v>G. Patel</c:v>
                </c:pt>
                <c:pt idx="7">
                  <c:v>H. Delacroix</c:v>
                </c:pt>
              </c:strCache>
            </c:strRef>
          </c:cat>
          <c:val>
            <c:numRef>
              <c:f>'Performance Controls'!$E$6:$E$13</c:f>
              <c:numCache>
                <c:formatCode>0.0%</c:formatCode>
                <c:ptCount val="8"/>
                <c:pt idx="0">
                  <c:v>0.6961904761904761</c:v>
                </c:pt>
                <c:pt idx="1">
                  <c:v>0.6961904761904761</c:v>
                </c:pt>
                <c:pt idx="2">
                  <c:v>0.6961904761904761</c:v>
                </c:pt>
                <c:pt idx="3">
                  <c:v>0.6961904761904761</c:v>
                </c:pt>
                <c:pt idx="4">
                  <c:v>0.6961904761904761</c:v>
                </c:pt>
                <c:pt idx="5">
                  <c:v>0.6961904761904761</c:v>
                </c:pt>
                <c:pt idx="6">
                  <c:v>0.6961904761904761</c:v>
                </c:pt>
                <c:pt idx="7">
                  <c:v>0.6961904761904761</c:v>
                </c:pt>
              </c:numCache>
            </c:numRef>
          </c:val>
        </c:ser>
        <c:ser>
          <c:idx val="2"/>
          <c:order val="2"/>
          <c:tx>
            <c:strRef>
              <c:f>'Performance Controls'!$F$5</c:f>
              <c:strCache>
                <c:ptCount val="1"/>
                <c:pt idx="0">
                  <c:v>Lower 95%</c:v>
                </c:pt>
              </c:strCache>
            </c:strRef>
          </c:tx>
          <c:spPr>
            <a:ln xmlns:a="http://schemas.openxmlformats.org/drawingml/2006/main" w="19050">
              <a:solidFill>
                <a:srgbClr val="2D6A4F"/>
              </a:solidFill>
              <a:prstDash val="solid"/>
            </a:ln>
          </c:spPr>
          <c:marker>
            <c:symbol val="circle"/>
            <c:size val="5"/>
            <c:spPr>
              <a:solidFill xmlns:a="http://schemas.openxmlformats.org/drawingml/2006/main">
                <a:schemeClr val="accent3"/>
              </a:solidFill>
              <a:ln xmlns:a="http://schemas.openxmlformats.org/drawingml/2006/main" w="9525">
                <a:solidFill>
                  <a:schemeClr val="accent3"/>
                </a:solidFill>
              </a:ln>
            </c:spPr>
          </c:marker>
          <c:cat>
            <c:strRef>
              <c:f>'Performance Controls'!$A$6:$A$13</c:f>
              <c:strCache>
                <c:ptCount val="8"/>
                <c:pt idx="0">
                  <c:v>A. Simmons</c:v>
                </c:pt>
                <c:pt idx="1">
                  <c:v>B. Kowalski</c:v>
                </c:pt>
                <c:pt idx="2">
                  <c:v>C. Nguyen</c:v>
                </c:pt>
                <c:pt idx="3">
                  <c:v>D. Foster</c:v>
                </c:pt>
                <c:pt idx="4">
                  <c:v>E. Ramirez</c:v>
                </c:pt>
                <c:pt idx="5">
                  <c:v>F. Whitfield</c:v>
                </c:pt>
                <c:pt idx="6">
                  <c:v>G. Patel</c:v>
                </c:pt>
                <c:pt idx="7">
                  <c:v>H. Delacroix</c:v>
                </c:pt>
              </c:strCache>
            </c:strRef>
          </c:cat>
          <c:val>
            <c:numRef>
              <c:f>'Performance Controls'!$F$6:$F$13</c:f>
              <c:numCache>
                <c:formatCode>0.0%</c:formatCode>
                <c:ptCount val="8"/>
                <c:pt idx="0">
                  <c:v>0.6194576385419767</c:v>
                </c:pt>
                <c:pt idx="1">
                  <c:v>0.6188954856959068</c:v>
                </c:pt>
                <c:pt idx="2">
                  <c:v>0.6152417610661041</c:v>
                </c:pt>
                <c:pt idx="3">
                  <c:v>0.6145809442638988</c:v>
                </c:pt>
                <c:pt idx="4">
                  <c:v>0.6132092594289911</c:v>
                </c:pt>
                <c:pt idx="5">
                  <c:v>0.6194576385419767</c:v>
                </c:pt>
                <c:pt idx="6">
                  <c:v>0.6223443585018102</c:v>
                </c:pt>
                <c:pt idx="7">
                  <c:v>0.6155662061197062</c:v>
                </c:pt>
              </c:numCache>
            </c:numRef>
          </c:val>
        </c:ser>
        <c:ser>
          <c:idx val="3"/>
          <c:order val="3"/>
          <c:tx>
            <c:strRef>
              <c:f>'Performance Controls'!$G$5</c:f>
              <c:strCache>
                <c:ptCount val="1"/>
                <c:pt idx="0">
                  <c:v>Upper 95%</c:v>
                </c:pt>
              </c:strCache>
            </c:strRef>
          </c:tx>
          <c:spPr>
            <a:ln xmlns:a="http://schemas.openxmlformats.org/drawingml/2006/main" w="19050">
              <a:solidFill>
                <a:srgbClr val="B8860B"/>
              </a:solidFill>
              <a:prstDash val="solid"/>
            </a:ln>
          </c:spPr>
          <c:marker>
            <c:symbol val="circle"/>
            <c:size val="5"/>
            <c:spPr>
              <a:solidFill xmlns:a="http://schemas.openxmlformats.org/drawingml/2006/main">
                <a:schemeClr val="accent4"/>
              </a:solidFill>
              <a:ln xmlns:a="http://schemas.openxmlformats.org/drawingml/2006/main" w="9525">
                <a:solidFill>
                  <a:schemeClr val="accent4"/>
                </a:solidFill>
              </a:ln>
            </c:spPr>
          </c:marker>
          <c:cat>
            <c:strRef>
              <c:f>'Performance Controls'!$A$6:$A$13</c:f>
              <c:strCache>
                <c:ptCount val="8"/>
                <c:pt idx="0">
                  <c:v>A. Simmons</c:v>
                </c:pt>
                <c:pt idx="1">
                  <c:v>B. Kowalski</c:v>
                </c:pt>
                <c:pt idx="2">
                  <c:v>C. Nguyen</c:v>
                </c:pt>
                <c:pt idx="3">
                  <c:v>D. Foster</c:v>
                </c:pt>
                <c:pt idx="4">
                  <c:v>E. Ramirez</c:v>
                </c:pt>
                <c:pt idx="5">
                  <c:v>F. Whitfield</c:v>
                </c:pt>
                <c:pt idx="6">
                  <c:v>G. Patel</c:v>
                </c:pt>
                <c:pt idx="7">
                  <c:v>H. Delacroix</c:v>
                </c:pt>
              </c:strCache>
            </c:strRef>
          </c:cat>
          <c:val>
            <c:numRef>
              <c:f>'Performance Controls'!$G$6:$G$13</c:f>
              <c:numCache>
                <c:formatCode>0.0%</c:formatCode>
                <c:ptCount val="8"/>
                <c:pt idx="0">
                  <c:v>0.7729233138389756</c:v>
                </c:pt>
                <c:pt idx="1">
                  <c:v>0.7734854666850455</c:v>
                </c:pt>
                <c:pt idx="2">
                  <c:v>0.7771391913148482</c:v>
                </c:pt>
                <c:pt idx="3">
                  <c:v>0.7778000081170535</c:v>
                </c:pt>
                <c:pt idx="4">
                  <c:v>0.7791716929519612</c:v>
                </c:pt>
                <c:pt idx="5">
                  <c:v>0.7729233138389756</c:v>
                </c:pt>
                <c:pt idx="6">
                  <c:v>0.770036593879142</c:v>
                </c:pt>
                <c:pt idx="7">
                  <c:v>0.776814746261246</c:v>
                </c:pt>
              </c:numCache>
            </c:numRef>
          </c:val>
        </c:ser>
        <c:dLbls>
          <c:showLegendKey val="0"/>
          <c:showVal val="0"/>
          <c:showCatName val="0"/>
          <c:showSerName val="0"/>
          <c:showPercent val="0"/>
          <c:showBubbleSize val="0"/>
        </c:dLbls>
        <c:axId val="1385715424"/>
        <c:axId val="381698352"/>
      </c:lineChart>
      <c:catAx>
        <c:axId val="1385715424"/>
        <c:scaling>
          <c:orientation val="minMax"/>
        </c:scaling>
        <c:delete val="0"/>
        <c:axPos val="b"/>
        <c:numFmt formatCode="General" sourceLinked="1"/>
        <c:majorTickMark val="none"/>
        <c:minorTickMark val="none"/>
        <c:tickLblPos val="nextTo"/>
        <c:spPr>
          <a:ln xmlns:a="http://schemas.openxmlformats.org/drawingml/2006/main" w="9525" cmpd="sng">
            <a:solidFill>
              <a:schemeClr val="tx1">
                <a:lumMod val="15000"/>
                <a:lumOff val="85000"/>
              </a:schemeClr>
            </a:solidFill>
          </a:ln>
        </c:spPr>
        <c:txPr>
          <a:bodyPr xmlns:a="http://schemas.openxmlformats.org/drawingml/2006/main" rot="-6000000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381698352"/>
        <c:crosses val="autoZero"/>
        <c:lblAlgn val="ctr"/>
        <c:lblOffset val="100"/>
        <c:noMultiLvlLbl val="0"/>
      </c:catAx>
      <c:valAx>
        <c:axId val="381698352"/>
        <c:scaling>
          <c:orientation val="minMax"/>
        </c:scaling>
        <c:delete val="0"/>
        <c:axPos val="l"/>
        <c:majorGridlines>
          <c:spPr>
            <a:ln xmlns:a="http://schemas.openxmlformats.org/drawingml/2006/main" w="9525" cmpd="sng">
              <a:solidFill>
                <a:schemeClr val="tx1">
                  <a:lumMod val="15000"/>
                  <a:lumOff val="85000"/>
                </a:schemeClr>
              </a:solidFill>
            </a:ln>
          </c:spPr>
        </c:majorGridlines>
        <c:title>
          <c:tx>
            <c:rich>
              <a:bodyPr xmlns:a="http://schemas.openxmlformats.org/drawingml/2006/main"/>
              <a:lstStyle xmlns:a="http://schemas.openxmlformats.org/drawingml/2006/main"/>
              <a:p xmlns:a="http://schemas.openxmlformats.org/drawingml/2006/main">
                <a:r>
                  <a:rPr sz="1000" b="0" i="0" u="none">
                    <a:solidFill>
                      <a:schemeClr val="tx1">
                        <a:lumMod val="65000"/>
                        <a:lumOff val="35000"/>
                      </a:schemeClr>
                    </a:solidFill>
                    <a:latin typeface="+mn-lt"/>
                    <a:ea typeface="+mn-lt"/>
                    <a:cs typeface="+mn-lt"/>
                  </a:rPr>
                  <a:t>Success Rate</a:t>
                </a:r>
              </a:p>
            </c:rich>
          </c:tx>
          <c:txPr>
            <a:bodyPr xmlns:a="http://schemas.openxmlformats.org/drawingml/2006/main" rot="-5400000" vert="horz" anchor="ctr" anchorCtr="1"/>
            <a:lstStyle xmlns:a="http://schemas.openxmlformats.org/drawingml/2006/main"/>
            <a:p xmlns:a="http://schemas.openxmlformats.org/drawingml/2006/main">
              <a:pPr>
                <a:defRPr sz="1000" b="0" i="0" u="none">
                  <a:solidFill>
                    <a:schemeClr val="tx1">
                      <a:lumMod val="65000"/>
                      <a:lumOff val="35000"/>
                    </a:schemeClr>
                  </a:solidFill>
                  <a:latin typeface="+mn-lt"/>
                  <a:ea typeface="+mn-lt"/>
                  <a:cs typeface="+mn-lt"/>
                </a:defRPr>
              </a:pPr>
            </a:p>
          </c:txPr>
        </c:title>
        <c:numFmt formatCode="0.0%" sourceLinked="1"/>
        <c:majorTickMark val="none"/>
        <c:minorTickMark val="none"/>
        <c:tickLblPos val="nextTo"/>
        <c:spPr>
          <a:ln xmlns:a="http://schemas.openxmlformats.org/drawingml/2006/main">
            <a:noFill/>
          </a:ln>
        </c:spPr>
        <c:txPr>
          <a:bodyPr xmlns:a="http://schemas.openxmlformats.org/drawingml/2006/main" rot="-6000000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1385715424"/>
        <c:crosses val="autoZero"/>
        <c:crossBetween val="between"/>
      </c:valAx>
      <c:spPr>
        <a:noFill xmlns:a="http://schemas.openxmlformats.org/drawingml/2006/main"/>
        <a:ln xmlns:a="http://schemas.openxmlformats.org/drawingml/2006/main">
          <a:noFill/>
        </a:ln>
      </c:spPr>
    </c:plotArea>
    <c:legend>
      <c:legendPos val="b"/>
      <c:overlay val="0"/>
      <c:spPr>
        <a:noFill xmlns:a="http://schemas.openxmlformats.org/drawingml/2006/main"/>
      </c:spPr>
      <c:txPr>
        <a:bodyPr xmlns:a="http://schemas.openxmlformats.org/drawingml/2006/main" rot="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legend>
    <c:plotVisOnly val="1"/>
  </c:chart>
  <c:spPr>
    <a:solidFill xmlns:a="http://schemas.openxmlformats.org/drawingml/2006/main">
      <a:schemeClr val="bg1"/>
    </a:solidFill>
    <a:ln xmlns:a="http://schemas.openxmlformats.org/drawingml/2006/main" w="9525" cmpd="sng">
      <a:solidFill>
        <a:schemeClr val="tx1">
          <a:lumMod val="15000"/>
          <a:lumOff val="85000"/>
        </a:schemeClr>
      </a:solidFill>
    </a:ln>
  </c:spPr>
</c:chartSpace>
</file>

<file path=xl/drawings/charts/chart12.xml><?xml version="1.0" encoding="utf-8"?>
<c:chartSpace xmlns:mc="http://schemas.openxmlformats.org/markup-compatibility/2006" xmlns:c14="http://schemas.microsoft.com/office/drawing/2007/8/2/chart" xmlns:c="http://schemas.openxmlformats.org/drawingml/2006/chart" mc:Ignorable="c14">
  <c:lang val="en-US"/>
  <c:roundedCorners val="0"/>
  <mc:AlternateContent>
    <mc:Choice Requires="c14">
      <c14:style val="102"/>
    </mc:Choice>
    <mc:Fallback>
      <c:style val="2"/>
    </mc:Fallback>
  </mc:AlternateContent>
  <c:chart>
    <c:title>
      <c:tx>
        <c:rich>
          <a:bodyPr xmlns:a="http://schemas.openxmlformats.org/drawingml/2006/main"/>
          <a:lstStyle xmlns:a="http://schemas.openxmlformats.org/drawingml/2006/main"/>
          <a:p xmlns:a="http://schemas.openxmlformats.org/drawingml/2006/main">
            <a:r>
              <a:rPr sz="1400" b="0" i="0" u="none">
                <a:solidFill>
                  <a:srgbClr val="1B4332"/>
                </a:solidFill>
                <a:latin typeface="+mn-lt"/>
                <a:ea typeface="+mn-lt"/>
                <a:cs typeface="+mn-lt"/>
              </a:rPr>
              <a:t>Destination Success vs 95% Limits</a:t>
            </a:r>
          </a:p>
        </c:rich>
      </c:tx>
      <c:txPr>
        <a:bodyPr xmlns:a="http://schemas.openxmlformats.org/drawingml/2006/main" rot="0" vert="horz" anchor="ctr" anchorCtr="1"/>
        <a:lstStyle xmlns:a="http://schemas.openxmlformats.org/drawingml/2006/main"/>
        <a:p xmlns:a="http://schemas.openxmlformats.org/drawingml/2006/main">
          <a:pPr>
            <a:defRPr sz="1400" b="0" i="0" u="none">
              <a:solidFill>
                <a:srgbClr val="1B4332"/>
              </a:solidFill>
              <a:latin typeface="+mn-lt"/>
              <a:ea typeface="+mn-lt"/>
              <a:cs typeface="+mn-lt"/>
            </a:defRPr>
          </a:pPr>
        </a:p>
      </c:txPr>
    </c:title>
    <c:autoTitleDeleted val="0"/>
    <c:plotArea>
      <c:lineChart>
        <c:grouping val="standard"/>
        <c:varyColors val="0"/>
        <c:ser>
          <c:idx val="0"/>
          <c:order val="0"/>
          <c:tx>
            <c:strRef>
              <c:f>'Performance Controls'!$D$16</c:f>
              <c:strCache>
                <c:ptCount val="1"/>
                <c:pt idx="0">
                  <c:v>Success Rate</c:v>
                </c:pt>
              </c:strCache>
            </c:strRef>
          </c:tx>
          <c:spPr>
            <a:ln xmlns:a="http://schemas.openxmlformats.org/drawingml/2006/main" w="31750">
              <a:solidFill>
                <a:srgbClr val="1B4332"/>
              </a:solidFill>
              <a:prstDash val="solid"/>
            </a:ln>
          </c:spPr>
          <c:marker>
            <c:symbol val="circle"/>
            <c:size val="5"/>
            <c:spPr>
              <a:solidFill xmlns:a="http://schemas.openxmlformats.org/drawingml/2006/main">
                <a:schemeClr val="accent1"/>
              </a:solidFill>
              <a:ln xmlns:a="http://schemas.openxmlformats.org/drawingml/2006/main" w="9525">
                <a:solidFill>
                  <a:schemeClr val="accent1"/>
                </a:solidFill>
              </a:ln>
            </c:spPr>
          </c:marker>
          <c:cat>
            <c:strRef>
              <c:f>'Performance Controls'!$A$17:$A$21</c:f>
              <c:strCache>
                <c:ptCount val="5"/>
                <c:pt idx="0">
                  <c:v>California</c:v>
                </c:pt>
                <c:pt idx="1">
                  <c:v>Florida</c:v>
                </c:pt>
                <c:pt idx="2">
                  <c:v>New York</c:v>
                </c:pt>
                <c:pt idx="3">
                  <c:v>Texas</c:v>
                </c:pt>
                <c:pt idx="4">
                  <c:v>Washington</c:v>
                </c:pt>
              </c:strCache>
            </c:strRef>
          </c:cat>
          <c:val>
            <c:numRef>
              <c:f>'Performance Controls'!$D$17:$D$21</c:f>
              <c:numCache>
                <c:formatCode>0.0%</c:formatCode>
                <c:ptCount val="5"/>
                <c:pt idx="0">
                  <c:v>0.68</c:v>
                </c:pt>
                <c:pt idx="1">
                  <c:v>0.7552447552447552</c:v>
                </c:pt>
                <c:pt idx="2">
                  <c:v>0.7278911564625851</c:v>
                </c:pt>
                <c:pt idx="3">
                  <c:v>0.7096774193548387</c:v>
                </c:pt>
                <c:pt idx="4">
                  <c:v>0.686046511627907</c:v>
                </c:pt>
              </c:numCache>
            </c:numRef>
          </c:val>
        </c:ser>
        <c:ser>
          <c:idx val="1"/>
          <c:order val="1"/>
          <c:tx>
            <c:strRef>
              <c:f>'Performance Controls'!$E$16</c:f>
              <c:strCache>
                <c:ptCount val="1"/>
                <c:pt idx="0">
                  <c:v>Pooled Rate</c:v>
                </c:pt>
              </c:strCache>
            </c:strRef>
          </c:tx>
          <c:spPr>
            <a:ln xmlns:a="http://schemas.openxmlformats.org/drawingml/2006/main" w="19050">
              <a:solidFill>
                <a:srgbClr val="C9A227"/>
              </a:solidFill>
              <a:prstDash val="solid"/>
            </a:ln>
          </c:spPr>
          <c:marker>
            <c:symbol val="circle"/>
            <c:size val="5"/>
            <c:spPr>
              <a:solidFill xmlns:a="http://schemas.openxmlformats.org/drawingml/2006/main">
                <a:schemeClr val="accent2"/>
              </a:solidFill>
              <a:ln xmlns:a="http://schemas.openxmlformats.org/drawingml/2006/main" w="9525">
                <a:solidFill>
                  <a:schemeClr val="accent2"/>
                </a:solidFill>
              </a:ln>
            </c:spPr>
          </c:marker>
          <c:cat>
            <c:strRef>
              <c:f>'Performance Controls'!$A$17:$A$21</c:f>
              <c:strCache>
                <c:ptCount val="5"/>
                <c:pt idx="0">
                  <c:v>California</c:v>
                </c:pt>
                <c:pt idx="1">
                  <c:v>Florida</c:v>
                </c:pt>
                <c:pt idx="2">
                  <c:v>New York</c:v>
                </c:pt>
                <c:pt idx="3">
                  <c:v>Texas</c:v>
                </c:pt>
                <c:pt idx="4">
                  <c:v>Washington</c:v>
                </c:pt>
              </c:strCache>
            </c:strRef>
          </c:cat>
          <c:val>
            <c:numRef>
              <c:f>'Performance Controls'!$E$17:$E$21</c:f>
              <c:numCache>
                <c:formatCode>0.0%</c:formatCode>
                <c:ptCount val="5"/>
                <c:pt idx="0">
                  <c:v>0.717683557394002</c:v>
                </c:pt>
                <c:pt idx="1">
                  <c:v>0.717683557394002</c:v>
                </c:pt>
                <c:pt idx="2">
                  <c:v>0.717683557394002</c:v>
                </c:pt>
                <c:pt idx="3">
                  <c:v>0.717683557394002</c:v>
                </c:pt>
                <c:pt idx="4">
                  <c:v>0.717683557394002</c:v>
                </c:pt>
              </c:numCache>
            </c:numRef>
          </c:val>
        </c:ser>
        <c:ser>
          <c:idx val="2"/>
          <c:order val="2"/>
          <c:tx>
            <c:strRef>
              <c:f>'Performance Controls'!$F$16</c:f>
              <c:strCache>
                <c:ptCount val="1"/>
                <c:pt idx="0">
                  <c:v>Lower 95%</c:v>
                </c:pt>
              </c:strCache>
            </c:strRef>
          </c:tx>
          <c:spPr>
            <a:ln xmlns:a="http://schemas.openxmlformats.org/drawingml/2006/main" w="19050">
              <a:solidFill>
                <a:srgbClr val="2D6A4F"/>
              </a:solidFill>
              <a:prstDash val="solid"/>
            </a:ln>
          </c:spPr>
          <c:marker>
            <c:symbol val="circle"/>
            <c:size val="5"/>
            <c:spPr>
              <a:solidFill xmlns:a="http://schemas.openxmlformats.org/drawingml/2006/main">
                <a:schemeClr val="accent3"/>
              </a:solidFill>
              <a:ln xmlns:a="http://schemas.openxmlformats.org/drawingml/2006/main" w="9525">
                <a:solidFill>
                  <a:schemeClr val="accent3"/>
                </a:solidFill>
              </a:ln>
            </c:spPr>
          </c:marker>
          <c:cat>
            <c:strRef>
              <c:f>'Performance Controls'!$A$17:$A$21</c:f>
              <c:strCache>
                <c:ptCount val="5"/>
                <c:pt idx="0">
                  <c:v>California</c:v>
                </c:pt>
                <c:pt idx="1">
                  <c:v>Florida</c:v>
                </c:pt>
                <c:pt idx="2">
                  <c:v>New York</c:v>
                </c:pt>
                <c:pt idx="3">
                  <c:v>Texas</c:v>
                </c:pt>
                <c:pt idx="4">
                  <c:v>Washington</c:v>
                </c:pt>
              </c:strCache>
            </c:strRef>
          </c:cat>
          <c:val>
            <c:numRef>
              <c:f>'Performance Controls'!$F$17:$F$21</c:f>
              <c:numCache>
                <c:formatCode>0.0%</c:formatCode>
                <c:ptCount val="5"/>
                <c:pt idx="0">
                  <c:v>0.6552992068509024</c:v>
                </c:pt>
                <c:pt idx="1">
                  <c:v>0.6655151427028535</c:v>
                </c:pt>
                <c:pt idx="2">
                  <c:v>0.6449169732199483</c:v>
                </c:pt>
                <c:pt idx="3">
                  <c:v>0.661660756788814</c:v>
                </c:pt>
                <c:pt idx="4">
                  <c:v>0.6225483147044946</c:v>
                </c:pt>
              </c:numCache>
            </c:numRef>
          </c:val>
        </c:ser>
        <c:ser>
          <c:idx val="3"/>
          <c:order val="3"/>
          <c:tx>
            <c:strRef>
              <c:f>'Performance Controls'!$G$16</c:f>
              <c:strCache>
                <c:ptCount val="1"/>
                <c:pt idx="0">
                  <c:v>Upper 95%</c:v>
                </c:pt>
              </c:strCache>
            </c:strRef>
          </c:tx>
          <c:spPr>
            <a:ln xmlns:a="http://schemas.openxmlformats.org/drawingml/2006/main" w="19050">
              <a:solidFill>
                <a:srgbClr val="B8860B"/>
              </a:solidFill>
              <a:prstDash val="solid"/>
            </a:ln>
          </c:spPr>
          <c:marker>
            <c:symbol val="circle"/>
            <c:size val="5"/>
            <c:spPr>
              <a:solidFill xmlns:a="http://schemas.openxmlformats.org/drawingml/2006/main">
                <a:schemeClr val="accent4"/>
              </a:solidFill>
              <a:ln xmlns:a="http://schemas.openxmlformats.org/drawingml/2006/main" w="9525">
                <a:solidFill>
                  <a:schemeClr val="accent4"/>
                </a:solidFill>
              </a:ln>
            </c:spPr>
          </c:marker>
          <c:cat>
            <c:strRef>
              <c:f>'Performance Controls'!$A$17:$A$21</c:f>
              <c:strCache>
                <c:ptCount val="5"/>
                <c:pt idx="0">
                  <c:v>California</c:v>
                </c:pt>
                <c:pt idx="1">
                  <c:v>Florida</c:v>
                </c:pt>
                <c:pt idx="2">
                  <c:v>New York</c:v>
                </c:pt>
                <c:pt idx="3">
                  <c:v>Texas</c:v>
                </c:pt>
                <c:pt idx="4">
                  <c:v>Washington</c:v>
                </c:pt>
              </c:strCache>
            </c:strRef>
          </c:cat>
          <c:val>
            <c:numRef>
              <c:f>'Performance Controls'!$G$17:$G$21</c:f>
              <c:numCache>
                <c:formatCode>0.0%</c:formatCode>
                <c:ptCount val="5"/>
                <c:pt idx="0">
                  <c:v>0.7800679079371017</c:v>
                </c:pt>
                <c:pt idx="1">
                  <c:v>0.7698519720851505</c:v>
                </c:pt>
                <c:pt idx="2">
                  <c:v>0.7904501415680557</c:v>
                </c:pt>
                <c:pt idx="3">
                  <c:v>0.7737063579991901</c:v>
                </c:pt>
                <c:pt idx="4">
                  <c:v>0.8128188000835095</c:v>
                </c:pt>
              </c:numCache>
            </c:numRef>
          </c:val>
        </c:ser>
        <c:dLbls>
          <c:showLegendKey val="0"/>
          <c:showVal val="0"/>
          <c:showCatName val="0"/>
          <c:showSerName val="0"/>
          <c:showPercent val="0"/>
          <c:showBubbleSize val="0"/>
        </c:dLbls>
        <c:axId val="1314025984"/>
        <c:axId val="381699792"/>
      </c:lineChart>
      <c:catAx>
        <c:axId val="1314025984"/>
        <c:scaling>
          <c:orientation val="minMax"/>
        </c:scaling>
        <c:delete val="0"/>
        <c:axPos val="b"/>
        <c:numFmt formatCode="General" sourceLinked="1"/>
        <c:majorTickMark val="none"/>
        <c:minorTickMark val="none"/>
        <c:tickLblPos val="nextTo"/>
        <c:spPr>
          <a:ln xmlns:a="http://schemas.openxmlformats.org/drawingml/2006/main" w="9525" cmpd="sng">
            <a:solidFill>
              <a:schemeClr val="tx1">
                <a:lumMod val="15000"/>
                <a:lumOff val="85000"/>
              </a:schemeClr>
            </a:solidFill>
          </a:ln>
        </c:spPr>
        <c:txPr>
          <a:bodyPr xmlns:a="http://schemas.openxmlformats.org/drawingml/2006/main" rot="-6000000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381699792"/>
        <c:crosses val="autoZero"/>
        <c:lblAlgn val="ctr"/>
        <c:lblOffset val="100"/>
        <c:noMultiLvlLbl val="0"/>
      </c:catAx>
      <c:valAx>
        <c:axId val="381699792"/>
        <c:scaling>
          <c:orientation val="minMax"/>
        </c:scaling>
        <c:delete val="0"/>
        <c:axPos val="l"/>
        <c:majorGridlines>
          <c:spPr>
            <a:ln xmlns:a="http://schemas.openxmlformats.org/drawingml/2006/main" w="9525" cmpd="sng">
              <a:solidFill>
                <a:schemeClr val="tx1">
                  <a:lumMod val="15000"/>
                  <a:lumOff val="85000"/>
                </a:schemeClr>
              </a:solidFill>
            </a:ln>
          </c:spPr>
        </c:majorGridlines>
        <c:title>
          <c:tx>
            <c:rich>
              <a:bodyPr xmlns:a="http://schemas.openxmlformats.org/drawingml/2006/main"/>
              <a:lstStyle xmlns:a="http://schemas.openxmlformats.org/drawingml/2006/main"/>
              <a:p xmlns:a="http://schemas.openxmlformats.org/drawingml/2006/main">
                <a:r>
                  <a:rPr sz="1000" b="0" i="0" u="none">
                    <a:solidFill>
                      <a:schemeClr val="tx1">
                        <a:lumMod val="65000"/>
                        <a:lumOff val="35000"/>
                      </a:schemeClr>
                    </a:solidFill>
                    <a:latin typeface="+mn-lt"/>
                    <a:ea typeface="+mn-lt"/>
                    <a:cs typeface="+mn-lt"/>
                  </a:rPr>
                  <a:t>Success Rate</a:t>
                </a:r>
              </a:p>
            </c:rich>
          </c:tx>
          <c:txPr>
            <a:bodyPr xmlns:a="http://schemas.openxmlformats.org/drawingml/2006/main" rot="-5400000" vert="horz" anchor="ctr" anchorCtr="1"/>
            <a:lstStyle xmlns:a="http://schemas.openxmlformats.org/drawingml/2006/main"/>
            <a:p xmlns:a="http://schemas.openxmlformats.org/drawingml/2006/main">
              <a:pPr>
                <a:defRPr sz="1000" b="0" i="0" u="none">
                  <a:solidFill>
                    <a:schemeClr val="tx1">
                      <a:lumMod val="65000"/>
                      <a:lumOff val="35000"/>
                    </a:schemeClr>
                  </a:solidFill>
                  <a:latin typeface="+mn-lt"/>
                  <a:ea typeface="+mn-lt"/>
                  <a:cs typeface="+mn-lt"/>
                </a:defRPr>
              </a:pPr>
            </a:p>
          </c:txPr>
        </c:title>
        <c:numFmt formatCode="0.0%" sourceLinked="1"/>
        <c:majorTickMark val="none"/>
        <c:minorTickMark val="none"/>
        <c:tickLblPos val="nextTo"/>
        <c:spPr>
          <a:ln xmlns:a="http://schemas.openxmlformats.org/drawingml/2006/main">
            <a:noFill/>
          </a:ln>
        </c:spPr>
        <c:txPr>
          <a:bodyPr xmlns:a="http://schemas.openxmlformats.org/drawingml/2006/main" rot="-6000000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1314025984"/>
        <c:crosses val="autoZero"/>
        <c:crossBetween val="between"/>
      </c:valAx>
      <c:spPr>
        <a:noFill xmlns:a="http://schemas.openxmlformats.org/drawingml/2006/main"/>
        <a:ln xmlns:a="http://schemas.openxmlformats.org/drawingml/2006/main">
          <a:noFill/>
        </a:ln>
      </c:spPr>
    </c:plotArea>
    <c:legend>
      <c:legendPos val="b"/>
      <c:overlay val="0"/>
      <c:spPr>
        <a:noFill xmlns:a="http://schemas.openxmlformats.org/drawingml/2006/main"/>
      </c:spPr>
      <c:txPr>
        <a:bodyPr xmlns:a="http://schemas.openxmlformats.org/drawingml/2006/main" rot="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legend>
    <c:plotVisOnly val="1"/>
  </c:chart>
  <c:spPr>
    <a:solidFill xmlns:a="http://schemas.openxmlformats.org/drawingml/2006/main">
      <a:schemeClr val="bg1"/>
    </a:solidFill>
    <a:ln xmlns:a="http://schemas.openxmlformats.org/drawingml/2006/main" w="9525" cmpd="sng">
      <a:solidFill>
        <a:schemeClr val="tx1">
          <a:lumMod val="15000"/>
          <a:lumOff val="85000"/>
        </a:schemeClr>
      </a:solidFill>
    </a:ln>
  </c:spPr>
</c:chartSpace>
</file>

<file path=xl/drawings/charts/chart13.xml><?xml version="1.0" encoding="utf-8"?>
<c:chartSpace xmlns:mc="http://schemas.openxmlformats.org/markup-compatibility/2006" xmlns:c14="http://schemas.microsoft.com/office/drawing/2007/8/2/chart" xmlns:c="http://schemas.openxmlformats.org/drawingml/2006/chart" mc:Ignorable="c14">
  <c:lang val="en-US"/>
  <c:roundedCorners val="0"/>
  <mc:AlternateContent>
    <mc:Choice Requires="c14">
      <c14:style val="102"/>
    </mc:Choice>
    <mc:Fallback>
      <c:style val="2"/>
    </mc:Fallback>
  </mc:AlternateContent>
  <c:chart>
    <c:title>
      <c:tx>
        <c:rich>
          <a:bodyPr xmlns:a="http://schemas.openxmlformats.org/drawingml/2006/main"/>
          <a:lstStyle xmlns:a="http://schemas.openxmlformats.org/drawingml/2006/main"/>
          <a:p xmlns:a="http://schemas.openxmlformats.org/drawingml/2006/main">
            <a:r>
              <a:rPr sz="1400" b="0" i="0" u="none">
                <a:solidFill>
                  <a:srgbClr val="1B4332"/>
                </a:solidFill>
                <a:latin typeface="+mn-lt"/>
                <a:ea typeface="+mn-lt"/>
                <a:cs typeface="+mn-lt"/>
              </a:rPr>
              <a:t>Success Components by Assignment Timing</a:t>
            </a:r>
          </a:p>
        </c:rich>
      </c:tx>
      <c:txPr>
        <a:bodyPr xmlns:a="http://schemas.openxmlformats.org/drawingml/2006/main" rot="0" vert="horz" anchor="ctr" anchorCtr="1"/>
        <a:lstStyle xmlns:a="http://schemas.openxmlformats.org/drawingml/2006/main"/>
        <a:p xmlns:a="http://schemas.openxmlformats.org/drawingml/2006/main">
          <a:pPr>
            <a:defRPr sz="1400" b="0" i="0" u="none">
              <a:solidFill>
                <a:srgbClr val="1B4332"/>
              </a:solidFill>
              <a:latin typeface="+mn-lt"/>
              <a:ea typeface="+mn-lt"/>
              <a:cs typeface="+mn-lt"/>
            </a:defRPr>
          </a:pPr>
        </a:p>
      </c:txPr>
    </c:title>
    <c:autoTitleDeleted val="0"/>
    <c:plotArea>
      <c:barChart>
        <c:barDir val="col"/>
        <c:grouping val="clustered"/>
        <c:varyColors val="0"/>
        <c:ser>
          <c:idx val="0"/>
          <c:order val="0"/>
          <c:tx>
            <c:strRef>
              <c:f>'Outcome Components'!$C$5</c:f>
              <c:strCache>
                <c:ptCount val="1"/>
                <c:pt idx="0">
                  <c:v>Active Rate</c:v>
                </c:pt>
              </c:strCache>
            </c:strRef>
          </c:tx>
          <c:spPr>
            <a:solidFill xmlns:a="http://schemas.openxmlformats.org/drawingml/2006/main">
              <a:srgbClr val="1B4332"/>
            </a:solidFill>
            <a:ln xmlns:a="http://schemas.openxmlformats.org/drawingml/2006/main">
              <a:solidFill>
                <a:srgbClr val="1B4332"/>
              </a:solidFill>
              <a:prstDash val="solid"/>
            </a:ln>
          </c:spPr>
          <c:cat>
            <c:strRef>
              <c:f>'Outcome Components'!$A$6:$A$12</c:f>
              <c:strCache>
                <c:ptCount val="7"/>
                <c:pt idx="0">
                  <c:v>Existing Employee</c:v>
                </c:pt>
                <c:pt idx="1">
                  <c:v>0 Days</c:v>
                </c:pt>
                <c:pt idx="2">
                  <c:v>1-7 Days</c:v>
                </c:pt>
                <c:pt idx="3">
                  <c:v>8-14 Days</c:v>
                </c:pt>
                <c:pt idx="4">
                  <c:v>15-21 Days</c:v>
                </c:pt>
                <c:pt idx="5">
                  <c:v>21+ Days</c:v>
                </c:pt>
                <c:pt idx="6">
                  <c:v>No Assignment</c:v>
                </c:pt>
              </c:strCache>
            </c:strRef>
          </c:cat>
          <c:val>
            <c:numRef>
              <c:f>'Outcome Components'!$C$6:$C$12</c:f>
              <c:numCache>
                <c:formatCode>0.0%</c:formatCode>
                <c:ptCount val="7"/>
                <c:pt idx="0">
                  <c:v>0.4350282485875706</c:v>
                </c:pt>
                <c:pt idx="1">
                  <c:v>0.5</c:v>
                </c:pt>
                <c:pt idx="2">
                  <c:v>0.47368421052631576</c:v>
                </c:pt>
                <c:pt idx="3">
                  <c:v>0.3333333333333333</c:v>
                </c:pt>
                <c:pt idx="4">
                  <c:v>0.375</c:v>
                </c:pt>
                <c:pt idx="5">
                  <c:v>0.5416666666666666</c:v>
                </c:pt>
                <c:pt idx="6">
                  <c:v>0.18181818181818182</c:v>
                </c:pt>
              </c:numCache>
            </c:numRef>
          </c:val>
        </c:ser>
        <c:ser>
          <c:idx val="1"/>
          <c:order val="1"/>
          <c:tx>
            <c:strRef>
              <c:f>'Outcome Components'!$D$5</c:f>
              <c:strCache>
                <c:ptCount val="1"/>
                <c:pt idx="0">
                  <c:v>Promotion Rate</c:v>
                </c:pt>
              </c:strCache>
            </c:strRef>
          </c:tx>
          <c:spPr>
            <a:solidFill xmlns:a="http://schemas.openxmlformats.org/drawingml/2006/main">
              <a:srgbClr val="C9A227"/>
            </a:solidFill>
            <a:ln xmlns:a="http://schemas.openxmlformats.org/drawingml/2006/main">
              <a:solidFill>
                <a:srgbClr val="C9A227"/>
              </a:solidFill>
              <a:prstDash val="solid"/>
            </a:ln>
          </c:spPr>
          <c:cat>
            <c:strRef>
              <c:f>'Outcome Components'!$A$6:$A$12</c:f>
              <c:strCache>
                <c:ptCount val="7"/>
                <c:pt idx="0">
                  <c:v>Existing Employee</c:v>
                </c:pt>
                <c:pt idx="1">
                  <c:v>0 Days</c:v>
                </c:pt>
                <c:pt idx="2">
                  <c:v>1-7 Days</c:v>
                </c:pt>
                <c:pt idx="3">
                  <c:v>8-14 Days</c:v>
                </c:pt>
                <c:pt idx="4">
                  <c:v>15-21 Days</c:v>
                </c:pt>
                <c:pt idx="5">
                  <c:v>21+ Days</c:v>
                </c:pt>
                <c:pt idx="6">
                  <c:v>No Assignment</c:v>
                </c:pt>
              </c:strCache>
            </c:strRef>
          </c:cat>
          <c:val>
            <c:numRef>
              <c:f>'Outcome Components'!$D$6:$D$12</c:f>
              <c:numCache>
                <c:formatCode>0.0%</c:formatCode>
                <c:ptCount val="7"/>
                <c:pt idx="0">
                  <c:v>0.5282485875706214</c:v>
                </c:pt>
                <c:pt idx="1">
                  <c:v>0.5625</c:v>
                </c:pt>
                <c:pt idx="2">
                  <c:v>0.5488721804511278</c:v>
                </c:pt>
                <c:pt idx="3">
                  <c:v>0.49333333333333335</c:v>
                </c:pt>
                <c:pt idx="4">
                  <c:v>0.5416666666666666</c:v>
                </c:pt>
                <c:pt idx="5">
                  <c:v>0.5972222222222222</c:v>
                </c:pt>
                <c:pt idx="6">
                  <c:v>0</c:v>
                </c:pt>
              </c:numCache>
            </c:numRef>
          </c:val>
        </c:ser>
        <c:ser>
          <c:idx val="2"/>
          <c:order val="2"/>
          <c:tx>
            <c:strRef>
              <c:f>'Outcome Components'!$E$5</c:f>
              <c:strCache>
                <c:ptCount val="1"/>
                <c:pt idx="0">
                  <c:v>121+ Retention</c:v>
                </c:pt>
              </c:strCache>
            </c:strRef>
          </c:tx>
          <c:spPr>
            <a:solidFill xmlns:a="http://schemas.openxmlformats.org/drawingml/2006/main">
              <a:srgbClr val="2D6A4F"/>
            </a:solidFill>
            <a:ln xmlns:a="http://schemas.openxmlformats.org/drawingml/2006/main">
              <a:solidFill>
                <a:srgbClr val="2D6A4F"/>
              </a:solidFill>
              <a:prstDash val="solid"/>
            </a:ln>
          </c:spPr>
          <c:cat>
            <c:strRef>
              <c:f>'Outcome Components'!$A$6:$A$12</c:f>
              <c:strCache>
                <c:ptCount val="7"/>
                <c:pt idx="0">
                  <c:v>Existing Employee</c:v>
                </c:pt>
                <c:pt idx="1">
                  <c:v>0 Days</c:v>
                </c:pt>
                <c:pt idx="2">
                  <c:v>1-7 Days</c:v>
                </c:pt>
                <c:pt idx="3">
                  <c:v>8-14 Days</c:v>
                </c:pt>
                <c:pt idx="4">
                  <c:v>15-21 Days</c:v>
                </c:pt>
                <c:pt idx="5">
                  <c:v>21+ Days</c:v>
                </c:pt>
                <c:pt idx="6">
                  <c:v>No Assignment</c:v>
                </c:pt>
              </c:strCache>
            </c:strRef>
          </c:cat>
          <c:val>
            <c:numRef>
              <c:f>'Outcome Components'!$E$6:$E$12</c:f>
              <c:numCache>
                <c:formatCode>0.0%</c:formatCode>
                <c:ptCount val="7"/>
                <c:pt idx="0">
                  <c:v>0.653954802259887</c:v>
                </c:pt>
                <c:pt idx="1">
                  <c:v>0.625</c:v>
                </c:pt>
                <c:pt idx="2">
                  <c:v>0.6541353383458647</c:v>
                </c:pt>
                <c:pt idx="3">
                  <c:v>0.56</c:v>
                </c:pt>
                <c:pt idx="4">
                  <c:v>0.5833333333333334</c:v>
                </c:pt>
                <c:pt idx="5">
                  <c:v>0.8055555555555556</c:v>
                </c:pt>
                <c:pt idx="6">
                  <c:v>0.45454545454545453</c:v>
                </c:pt>
              </c:numCache>
            </c:numRef>
          </c:val>
        </c:ser>
        <c:dLbls>
          <c:showLegendKey val="0"/>
          <c:showVal val="0"/>
          <c:showCatName val="0"/>
          <c:showSerName val="0"/>
          <c:showPercent val="0"/>
          <c:showBubbleSize val="0"/>
        </c:dLbls>
        <c:gapWidth val="219"/>
        <c:overlap val="-27"/>
        <c:axId val="244888032"/>
        <c:axId val="381942672"/>
      </c:barChart>
      <c:catAx>
        <c:axId val="244888032"/>
        <c:scaling>
          <c:orientation val="minMax"/>
        </c:scaling>
        <c:delete val="0"/>
        <c:axPos val="b"/>
        <c:numFmt formatCode="General" sourceLinked="1"/>
        <c:majorTickMark val="none"/>
        <c:minorTickMark val="none"/>
        <c:tickLblPos val="nextTo"/>
        <c:spPr>
          <a:ln xmlns:a="http://schemas.openxmlformats.org/drawingml/2006/main" w="9525" cmpd="sng">
            <a:solidFill>
              <a:schemeClr val="tx1">
                <a:lumMod val="15000"/>
                <a:lumOff val="85000"/>
              </a:schemeClr>
            </a:solidFill>
          </a:ln>
        </c:spPr>
        <c:txPr>
          <a:bodyPr xmlns:a="http://schemas.openxmlformats.org/drawingml/2006/main" rot="270000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381942672"/>
        <c:crosses val="autoZero"/>
        <c:lblAlgn val="ctr"/>
        <c:lblOffset val="100"/>
        <c:noMultiLvlLbl val="0"/>
      </c:catAx>
      <c:valAx>
        <c:axId val="381942672"/>
        <c:scaling>
          <c:orientation val="minMax"/>
        </c:scaling>
        <c:delete val="0"/>
        <c:axPos val="l"/>
        <c:majorGridlines>
          <c:spPr>
            <a:ln xmlns:a="http://schemas.openxmlformats.org/drawingml/2006/main" w="9525" cmpd="sng">
              <a:solidFill>
                <a:schemeClr val="tx1">
                  <a:lumMod val="15000"/>
                  <a:lumOff val="85000"/>
                </a:schemeClr>
              </a:solidFill>
            </a:ln>
          </c:spPr>
        </c:majorGridlines>
        <c:title>
          <c:tx>
            <c:rich>
              <a:bodyPr xmlns:a="http://schemas.openxmlformats.org/drawingml/2006/main"/>
              <a:lstStyle xmlns:a="http://schemas.openxmlformats.org/drawingml/2006/main"/>
              <a:p xmlns:a="http://schemas.openxmlformats.org/drawingml/2006/main">
                <a:r>
                  <a:rPr sz="1000" b="0" i="0" u="none">
                    <a:solidFill>
                      <a:schemeClr val="tx1">
                        <a:lumMod val="65000"/>
                        <a:lumOff val="35000"/>
                      </a:schemeClr>
                    </a:solidFill>
                    <a:latin typeface="+mn-lt"/>
                    <a:ea typeface="+mn-lt"/>
                    <a:cs typeface="+mn-lt"/>
                  </a:rPr>
                  <a:t>Rate</a:t>
                </a:r>
              </a:p>
            </c:rich>
          </c:tx>
          <c:txPr>
            <a:bodyPr xmlns:a="http://schemas.openxmlformats.org/drawingml/2006/main" rot="-5400000" vert="horz" anchor="ctr" anchorCtr="1"/>
            <a:lstStyle xmlns:a="http://schemas.openxmlformats.org/drawingml/2006/main"/>
            <a:p xmlns:a="http://schemas.openxmlformats.org/drawingml/2006/main">
              <a:pPr>
                <a:defRPr sz="1000" b="0" i="0" u="none">
                  <a:solidFill>
                    <a:schemeClr val="tx1">
                      <a:lumMod val="65000"/>
                      <a:lumOff val="35000"/>
                    </a:schemeClr>
                  </a:solidFill>
                  <a:latin typeface="+mn-lt"/>
                  <a:ea typeface="+mn-lt"/>
                  <a:cs typeface="+mn-lt"/>
                </a:defRPr>
              </a:pPr>
            </a:p>
          </c:txPr>
        </c:title>
        <c:numFmt formatCode="0.0%" sourceLinked="1"/>
        <c:majorTickMark val="none"/>
        <c:minorTickMark val="none"/>
        <c:tickLblPos val="nextTo"/>
        <c:spPr>
          <a:ln xmlns:a="http://schemas.openxmlformats.org/drawingml/2006/main">
            <a:noFill/>
          </a:ln>
        </c:spPr>
        <c:txPr>
          <a:bodyPr xmlns:a="http://schemas.openxmlformats.org/drawingml/2006/main" rot="-6000000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244888032"/>
        <c:crosses val="autoZero"/>
        <c:crossBetween val="between"/>
      </c:valAx>
      <c:spPr>
        <a:noFill xmlns:a="http://schemas.openxmlformats.org/drawingml/2006/main"/>
        <a:ln xmlns:a="http://schemas.openxmlformats.org/drawingml/2006/main">
          <a:noFill/>
        </a:ln>
      </c:spPr>
    </c:plotArea>
    <c:legend>
      <c:legendPos val="b"/>
      <c:overlay val="0"/>
      <c:spPr>
        <a:noFill xmlns:a="http://schemas.openxmlformats.org/drawingml/2006/main"/>
      </c:spPr>
      <c:txPr>
        <a:bodyPr xmlns:a="http://schemas.openxmlformats.org/drawingml/2006/main" rot="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legend>
    <c:plotVisOnly val="1"/>
  </c:chart>
  <c:spPr>
    <a:solidFill xmlns:a="http://schemas.openxmlformats.org/drawingml/2006/main">
      <a:schemeClr val="bg1"/>
    </a:solidFill>
    <a:ln xmlns:a="http://schemas.openxmlformats.org/drawingml/2006/main" w="9525" cmpd="sng">
      <a:solidFill>
        <a:schemeClr val="tx1">
          <a:lumMod val="15000"/>
          <a:lumOff val="85000"/>
        </a:schemeClr>
      </a:solidFill>
    </a:ln>
  </c:spPr>
</c:chartSpace>
</file>

<file path=xl/drawings/drawing1.xml><?xml version="1.0" encoding="utf-8"?>
<xdr:wsDr xmlns:xdr="http://schemas.openxmlformats.org/drawingml/2006/spreadsheetDrawing">
  <xdr:twoCellAnchor>
    <xdr:from>
      <xdr:col>0</xdr:col>
      <xdr:colOff>0</xdr:colOff>
      <xdr:row>12</xdr:row>
      <xdr:rowOff>0</xdr:rowOff>
    </xdr:from>
    <xdr:to>
      <xdr:col>4</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dd1810e35734777"/>
        </a:graphicData>
      </a:graphic>
    </xdr:graphicFrame>
    <xdr:clientData/>
  </xdr:twoCellAnchor>
  <xdr:twoCellAnchor>
    <xdr:from>
      <xdr:col>5</xdr:col>
      <xdr:colOff>0</xdr:colOff>
      <xdr:row>12</xdr:row>
      <xdr:rowOff>0</xdr:rowOff>
    </xdr:from>
    <xdr:to>
      <xdr:col>9</xdr:col>
      <xdr:colOff>0</xdr:colOff>
      <xdr:row>27</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79e4489a0ac47e5"/>
        </a:graphicData>
      </a:graphic>
    </xdr:graphicFrame>
    <xdr:clientData/>
  </xdr:twoCellAnchor>
  <xdr:twoCellAnchor>
    <xdr:from>
      <xdr:col>0</xdr:col>
      <xdr:colOff>0</xdr:colOff>
      <xdr:row>29</xdr:row>
      <xdr:rowOff>0</xdr:rowOff>
    </xdr:from>
    <xdr:to>
      <xdr:col>9</xdr:col>
      <xdr:colOff>0</xdr:colOff>
      <xdr:row>45</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7ccad7a46e54a82"/>
        </a:graphicData>
      </a:graphic>
    </xdr:graphicFrame>
    <xdr:clientData/>
  </xdr:twoCellAnchor>
</xdr:wsDr>
</file>

<file path=xl/drawings/drawing2.xml><?xml version="1.0" encoding="utf-8"?>
<xdr:wsDr xmlns:xdr="http://schemas.openxmlformats.org/drawingml/2006/spreadsheetDrawing">
  <xdr:twoCellAnchor>
    <xdr:from>
      <xdr:col>0</xdr:col>
      <xdr:colOff>0</xdr:colOff>
      <xdr:row>12</xdr:row>
      <xdr:rowOff>0</xdr:rowOff>
    </xdr:from>
    <xdr:to>
      <xdr:col>4</xdr:col>
      <xdr:colOff>0</xdr:colOff>
      <xdr:row>29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89d5244765349b0"/>
        </a:graphicData>
      </a:graphic>
    </xdr:graphicFrame>
    <xdr:clientData/>
  </xdr:twoCellAnchor>
  <xdr:twoCellAnchor>
    <xdr:from>
      <xdr:col>5</xdr:col>
      <xdr:colOff>0</xdr:colOff>
      <xdr:row>12</xdr:row>
      <xdr:rowOff>0</xdr:rowOff>
    </xdr:from>
    <xdr:to>
      <xdr:col>9</xdr:col>
      <xdr:colOff>0</xdr:colOff>
      <xdr:row>29</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596933036ed42db"/>
        </a:graphicData>
      </a:graphic>
    </xdr:graphicFrame>
    <xdr:clientData/>
  </xdr:twoCellAnchor>
</xdr:wsDr>
</file>

<file path=xl/drawings/drawing3.xml><?xml version="1.0" encoding="utf-8"?>
<xdr:wsDr xmlns:xdr="http://schemas.openxmlformats.org/drawingml/2006/spreadsheetDrawing">
  <xdr:twoCellAnchor>
    <xdr:from>
      <xdr:col>0</xdr:col>
      <xdr:colOff>0</xdr:colOff>
      <xdr:row>15</xdr:row>
      <xdr:rowOff>0</xdr:rowOff>
    </xdr:from>
    <xdr:to>
      <xdr:col>9</xdr:col>
      <xdr:colOff>0</xdr:colOff>
      <xdr:row>31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fdbb7b5bd9d4a1a"/>
        </a:graphicData>
      </a:graphic>
    </xdr:graphicFrame>
    <xdr:clientData/>
  </xdr:twoCellAnchor>
</xdr:wsDr>
</file>

<file path=xl/drawings/drawing4.xml><?xml version="1.0" encoding="utf-8"?>
<xdr:wsDr xmlns:xdr="http://schemas.openxmlformats.org/drawingml/2006/spreadsheetDrawing">
  <xdr:twoCellAnchor>
    <xdr:from>
      <xdr:col>0</xdr:col>
      <xdr:colOff>0</xdr:colOff>
      <xdr:row>15</xdr:row>
      <xdr:rowOff>0</xdr:rowOff>
    </xdr:from>
    <xdr:to>
      <xdr:col>9</xdr:col>
      <xdr:colOff>0</xdr:colOff>
      <xdr:row>31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147f545c1a6466c"/>
        </a:graphicData>
      </a:graphic>
    </xdr:graphicFrame>
    <xdr:clientData/>
  </xdr:twoCellAnchor>
</xdr:wsDr>
</file>

<file path=xl/drawings/drawing5.xml><?xml version="1.0" encoding="utf-8"?>
<xdr:wsDr xmlns:xdr="http://schemas.openxmlformats.org/drawingml/2006/spreadsheetDrawing">
  <xdr:twoCellAnchor>
    <xdr:from>
      <xdr:col>0</xdr:col>
      <xdr:colOff>0</xdr:colOff>
      <xdr:row>16</xdr:row>
      <xdr:rowOff>0</xdr:rowOff>
    </xdr:from>
    <xdr:to>
      <xdr:col>9</xdr:col>
      <xdr:colOff>0</xdr:colOff>
      <xdr:row>34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188bc1ffad841d9"/>
        </a:graphicData>
      </a:graphic>
    </xdr:graphicFrame>
    <xdr:clientData/>
  </xdr:twoCellAnchor>
</xdr:wsDr>
</file>

<file path=xl/drawings/drawing6.xml><?xml version="1.0" encoding="utf-8"?>
<xdr:wsDr xmlns:xdr="http://schemas.openxmlformats.org/drawingml/2006/spreadsheetDrawing">
  <xdr:twoCellAnchor>
    <xdr:from>
      <xdr:col>0</xdr:col>
      <xdr:colOff>0</xdr:colOff>
      <xdr:row>13</xdr:row>
      <xdr:rowOff>0</xdr:rowOff>
    </xdr:from>
    <xdr:to>
      <xdr:col>9</xdr:col>
      <xdr:colOff>0</xdr:colOff>
      <xdr:row>31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748bebb9dc94a2e"/>
        </a:graphicData>
      </a:graphic>
    </xdr:graphicFrame>
    <xdr:clientData/>
  </xdr:twoCellAnchor>
</xdr:wsDr>
</file>

<file path=xl/drawings/drawing7.xml><?xml version="1.0" encoding="utf-8"?>
<xdr:wsDr xmlns:xdr="http://schemas.openxmlformats.org/drawingml/2006/spreadsheetDrawing">
  <xdr:twoCellAnchor>
    <xdr:from>
      <xdr:col>5</xdr:col>
      <xdr:colOff>15875</xdr:colOff>
      <xdr:row>14</xdr:row>
      <xdr:rowOff>34925</xdr:rowOff>
    </xdr:from>
    <xdr:to>
      <xdr:col>8</xdr:col>
      <xdr:colOff>25400</xdr:colOff>
      <xdr:row>31</xdr:row>
      <xdr:rowOff>85725</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bb66991c5c648ad"/>
        </a:graphicData>
      </a:graphic>
    </xdr:graphicFrame>
    <xdr:clientData/>
  </xdr:twoCellAnchor>
</xdr:wsDr>
</file>

<file path=xl/drawings/drawing8.xml><?xml version="1.0" encoding="utf-8"?>
<xdr:wsDr xmlns:xdr="http://schemas.openxmlformats.org/drawingml/2006/spreadsheetDrawing">
  <xdr:twoCellAnchor>
    <xdr:from>
      <xdr:col>0</xdr:col>
      <xdr:colOff>0</xdr:colOff>
      <xdr:row>23</xdr:row>
      <xdr:rowOff>66675</xdr:rowOff>
    </xdr:from>
    <xdr:to>
      <xdr:col>8</xdr:col>
      <xdr:colOff>22225</xdr:colOff>
      <xdr:row>40</xdr:row>
      <xdr:rowOff>120650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814f2be971e40ec"/>
        </a:graphicData>
      </a:graphic>
    </xdr:graphicFrame>
    <xdr:clientData/>
  </xdr:twoCellAnchor>
  <xdr:twoCellAnchor>
    <xdr:from>
      <xdr:col>0</xdr:col>
      <xdr:colOff>0</xdr:colOff>
      <xdr:row>42</xdr:row>
      <xdr:rowOff>120650</xdr:rowOff>
    </xdr:from>
    <xdr:to>
      <xdr:col>8</xdr:col>
      <xdr:colOff>22225</xdr:colOff>
      <xdr:row>60</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f44643b46d14a45"/>
        </a:graphicData>
      </a:graphic>
    </xdr:graphicFrame>
    <xdr:clientData/>
  </xdr:twoCellAnchor>
</xdr:wsDr>
</file>

<file path=xl/drawings/drawing9.xml><?xml version="1.0" encoding="utf-8"?>
<xdr:wsDr xmlns:xdr="http://schemas.openxmlformats.org/drawingml/2006/spreadsheetDrawing">
  <xdr:twoCellAnchor>
    <xdr:from>
      <xdr:col>0</xdr:col>
      <xdr:colOff>0</xdr:colOff>
      <xdr:row>14</xdr:row>
      <xdr:rowOff>34925</xdr:rowOff>
    </xdr:from>
    <xdr:to>
      <xdr:col>8</xdr:col>
      <xdr:colOff>25400</xdr:colOff>
      <xdr:row>31</xdr:row>
      <xdr:rowOff>85725</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b47fc4665aa4579"/>
        </a:graphicData>
      </a:graphic>
    </xdr:graphicFrame>
    <xdr:clientData/>
  </xdr:twoCellAnchor>
</xdr:wsDr>
</file>

<file path=xl/tables/table1.xml><?xml version="1.0" encoding="utf-8"?>
<x:table xmlns:x="http://schemas.openxmlformats.org/spreadsheetml/2006/main" id="1" name="WorkforceData" displayName="WorkforceData" ref="A1:AG1051" totalsRowShown="0" dataDxfId="32" headerRowBorderDxfId="57">
  <x:autoFilter ref="A1:AG1051"/>
  <x:tableColumns count="33">
    <x:tableColumn id="1" name="Employee Number" dataDxfId="56"/>
    <x:tableColumn id="2" name="First Name" dataDxfId="55"/>
    <x:tableColumn id="3" name="Last Name" dataDxfId="54"/>
    <x:tableColumn id="4" name="Legal Gender" dataDxfId="53"/>
    <x:tableColumn id="5" name="State of Origination" dataDxfId="52"/>
    <x:tableColumn id="6" name="Recruiter" dataDxfId="51"/>
    <x:tableColumn id="7" name="Location of Training" dataDxfId="50"/>
    <x:tableColumn id="8" name="Training Date" dataDxfId="49"/>
    <x:tableColumn id="9" name="Training Year" dataDxfId="48"/>
    <x:tableColumn id="10" name="Training Month" dataDxfId="47"/>
    <x:tableColumn id="11" name="Class Size" dataDxfId="46"/>
    <x:tableColumn id="12" name="Class Size Range" dataDxfId="45"/>
    <x:tableColumn id="13" name="Employment Start Date" dataDxfId="44"/>
    <x:tableColumn id="14" name="Employment End Date" dataDxfId="43"/>
    <x:tableColumn id="15" name="Total Days Worked" dataDxfId="42"/>
    <x:tableColumn id="16" name="Tenure Group" dataDxfId="41"/>
    <x:tableColumn id="17" name="Status" dataDxfId="40"/>
    <x:tableColumn id="18" name="Termination Reason" dataDxfId="39"/>
    <x:tableColumn id="19" name="Promoted" dataDxfId="38"/>
    <x:tableColumn id="20" name="First Assignment" dataDxfId="37"/>
    <x:tableColumn id="21" name="First Assignment Date After Training" dataDxfId="36"/>
    <x:tableColumn id="22" name="Days Between Training and Assignment" dataDxfId="35"/>
    <x:tableColumn id="23" name="Days to Assignment Range" dataDxfId="34"/>
    <x:tableColumn id="24" name="Status After Training" dataDxfId="33"/>
    <x:tableColumn id="25" name="Trainee Key" dataDxfId="31">
      <x:calculatedColumnFormula>WorkforceData[[#This Row],[Employee Number]]&amp;"|"&amp;TEXT(WorkforceData[[#This Row],[Training Date]],"yyyymmdd")</x:calculatedColumnFormula>
    </x:tableColumn>
    <x:tableColumn id="26" name="Outcome Category" dataDxfId="30">
      <x:calculatedColumnFormula array="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calculatedColumnFormula>
    </x:tableColumn>
    <x:tableColumn id="27" name="Success Flag" dataDxfId="29">
      <x:calculatedColumnFormula>--OR(WorkforceData[[#This Row],[Status]]="Active",WorkforceData[[#This Row],[Promoted]]="Yes",WorkforceData[[#This Row],[Total Days Worked]]&gt;=121)</x:calculatedColumnFormula>
    </x:tableColumn>
    <x:tableColumn id="28" name="DNP Flag" dataDxfId="28">
      <x:calculatedColumnFormula>--AND(WorkforceData[[#This Row],[Status]]="Terminated",WorkforceData[[#This Row],[Termination Reason]]="",WorkforceData[[#This Row],[Total Days Worked]]=0)</x:calculatedColumnFormula>
    </x:tableColumn>
    <x:tableColumn id="29" name="Voluntary Exit Flag" dataDxfId="27">
      <x:calculatedColumnFormula>--OR(WorkforceData[[#This Row],[Status]]="Resigned",WorkforceData[[#This Row],[Status After Training]]="Withdrew")</x:calculatedColumnFormula>
    </x:tableColumn>
    <x:tableColumn id="30" name="Cohort Month" dataDxfId="26">
      <x:calculatedColumnFormula>EOMONTH(WorkforceData[[#This Row],[Training Date]],0)</x:calculatedColumnFormula>
    </x:tableColumn>
    <x:tableColumn id="31" name="Assignment Timing" dataDxfId="25">
      <x:calculatedColumnFormula>IF(WorkforceData[[#This Row],[Employment Start Date]]&lt;WorkforceData[[#This Row],[Training Date]],"Existing Employee",IF(WorkforceData[[#This Row],[First Assignment Date After Training]]="","No Assignment",IF(WorkforceData[[#This Row],[Days Between Training and Assignment]]=0,"0 Days",IF(WorkforceData[[#This Row],[Days Between Training and Assignment]]&lt;=7,"1-7 Days",IF(WorkforceData[[#This Row],[Days Between Training and Assignment]]&lt;=14,"8-14 Days",IF(WorkforceData[[#This Row],[Days Between Training and Assignment]]&lt;=21,"15-21 Days","21+ Days"))))))</x:calculatedColumnFormula>
    </x:tableColumn>
    <x:tableColumn id="32" name="Retention Band" dataDxfId="24">
      <x:calculatedColumnFormula>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calculatedColumnFormula>
    </x:tableColumn>
    <x:tableColumn id="33" name="Retained 121+ Flag" dataDxfId="23">
      <x:calculatedColumnFormula>--(WorkforceData[[#This Row],[Total Days Worked]]&gt;=121)</x:calculatedColumnFormula>
    </x:tableColumn>
  </x:tableColumns>
  <x:tableStyleInfo name="TableStyleLight1" showFirstColumn="0" showLastColumn="0" showRowStripes="1" showColumnStripes="0"/>
</x:table>
</file>

<file path=xl/theme/theme1.xml><?xml version="1.0" encoding="utf-8"?>
<a:theme xmlns:a="http://schemas.openxmlformats.org/drawingml/2006/main" name="Office Theme">
  <a:themeElements>
    <a:clrScheme name="Custom 1">
      <a:dk1>
        <a:srgbClr val="000000"/>
      </a:dk1>
      <a:lt1>
        <a:sysClr val="window" lastClr="FFFFFF"/>
      </a:lt1>
      <a:dk2>
        <a:srgbClr val="1F1F1F"/>
      </a:dk2>
      <a:lt2>
        <a:srgbClr val="F3F3F3"/>
      </a:lt2>
      <a:accent1>
        <a:srgbClr val="1B4332"/>
      </a:accent1>
      <a:accent2>
        <a:srgbClr val="C9A227"/>
      </a:accent2>
      <a:accent3>
        <a:srgbClr val="2D6A4F"/>
      </a:accent3>
      <a:accent4>
        <a:srgbClr val="B8860B"/>
      </a:accent4>
      <a:accent5>
        <a:srgbClr val="95A78D"/>
      </a:accent5>
      <a:accent6>
        <a:srgbClr val="4A4A4A"/>
      </a:accent6>
      <a:hlink>
        <a:srgbClr val="C9A227"/>
      </a:hlink>
      <a:folHlink>
        <a:srgbClr val="5C7C64"/>
      </a:folHlink>
    </a:clrScheme>
    <a:fontScheme name="Office">
      <a:majorFont>
        <a:latin typeface="Calibri Light"/>
        <a:ea typeface="Calibri Light"/>
        <a:cs typeface="Calibri Light"/>
      </a:majorFont>
      <a:minorFont>
        <a:latin typeface="Calibri"/>
        <a:ea typeface="Calibri"/>
        <a:cs typeface="Calibri"/>
      </a:minorFont>
    </a:fontScheme>
    <a:fmtScheme name="Custom 1">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a23c383ce753464a" /></Relationships>
</file>

<file path=xl/worksheets/_rels/sheet3.xml.rels>&#65279;<?xml version="1.0" encoding="utf-8"?><Relationships xmlns="http://schemas.openxmlformats.org/package/2006/relationships"><Relationship Type="http://schemas.openxmlformats.org/officeDocument/2006/relationships/drawing" Target="/xl/drawings/drawing2.xml" Id="Rade9523bd37c46e1" /></Relationships>
</file>

<file path=xl/worksheets/_rels/sheet4.xml.rels>&#65279;<?xml version="1.0" encoding="utf-8"?><Relationships xmlns="http://schemas.openxmlformats.org/package/2006/relationships"><Relationship Type="http://schemas.openxmlformats.org/officeDocument/2006/relationships/drawing" Target="/xl/drawings/drawing3.xml" Id="R9e43d0c96c3342d7" /></Relationships>
</file>

<file path=xl/worksheets/_rels/sheet5.xml.rels>&#65279;<?xml version="1.0" encoding="utf-8"?><Relationships xmlns="http://schemas.openxmlformats.org/package/2006/relationships"><Relationship Type="http://schemas.openxmlformats.org/officeDocument/2006/relationships/drawing" Target="/xl/drawings/drawing4.xml" Id="R22c98fa19d714337" /></Relationships>
</file>

<file path=xl/worksheets/_rels/sheet6.xml.rels>&#65279;<?xml version="1.0" encoding="utf-8"?><Relationships xmlns="http://schemas.openxmlformats.org/package/2006/relationships"><Relationship Type="http://schemas.openxmlformats.org/officeDocument/2006/relationships/drawing" Target="/xl/drawings/drawing5.xml" Id="R52e914cf8aa34496" /></Relationships>
</file>

<file path=xl/worksheets/_rels/sheet7.xml.rels>&#65279;<?xml version="1.0" encoding="utf-8"?><Relationships xmlns="http://schemas.openxmlformats.org/package/2006/relationships"><Relationship Type="http://schemas.openxmlformats.org/officeDocument/2006/relationships/drawing" Target="/xl/drawings/drawing6.xml" Id="R94a23fe3383b4c5c" /></Relationships>
</file>

<file path=xl/worksheets/_rels/sheet8.xml.rels>&#65279;<?xml version="1.0" encoding="utf-8"?><Relationships xmlns="http://schemas.openxmlformats.org/package/2006/relationships"><Relationship Type="http://schemas.openxmlformats.org/officeDocument/2006/relationships/table" Target="/xl/tables/table1.xml" Id="Rd64ce802961842ed" /></Relationships>
</file>

<file path=xl/worksheets/_rels/sheet9.xml.rels>&#65279;<?xml version="1.0" encoding="utf-8"?><Relationships xmlns="http://schemas.openxmlformats.org/package/2006/relationships"><Relationship Type="http://schemas.openxmlformats.org/officeDocument/2006/relationships/drawing" Target="/xl/drawings/drawing7.xml" Id="R45fcbad49e574ce1" /></Relationships>
</file>

<file path=xl/worksheets/_rels/sheet12.xml.rels>&#65279;<?xml version="1.0" encoding="utf-8"?><Relationships xmlns="http://schemas.openxmlformats.org/package/2006/relationships"><Relationship Type="http://schemas.openxmlformats.org/officeDocument/2006/relationships/drawing" Target="/xl/drawings/drawing8.xml" Id="R4905938528f64945" /></Relationships>
</file>

<file path=xl/worksheets/_rels/sheet13.xml.rels>&#65279;<?xml version="1.0" encoding="utf-8"?><Relationships xmlns="http://schemas.openxmlformats.org/package/2006/relationships"><Relationship Type="http://schemas.openxmlformats.org/officeDocument/2006/relationships/drawing" Target="/xl/drawings/drawing9.xml" Id="Rf4b110d1f42d4f56" /></Relationships>
</file>

<file path=xl/worksheets/sheet1.xml><?xml version="1.0" encoding="utf-8"?>
<x:worksheet xmlns:x="http://schemas.openxmlformats.org/spreadsheetml/2006/main">
  <x:sheetFormatPr defaultRowHeight="14.5"/>
  <x:cols>
    <x:col min="1" max="1" width="28" hidden="0" customWidth="1"/>
    <x:col min="2" max="2" width="82" hidden="0" customWidth="1"/>
    <x:col min="3" max="8" width="5.453125" customWidth="1"/>
  </x:cols>
  <x:sheetData>
    <x:row r="1" ht="34" customHeight="1">
      <x:c r="A1" s="347" t="str">
        <x:v>WORKFORCE TRAINING ANALYTICS</x:v>
      </x:c>
      <x:c r="B1" s="347"/>
      <x:c r="C1" s="4"/>
      <x:c r="D1" s="4"/>
      <x:c r="E1" s="4"/>
      <x:c r="F1" s="4"/>
      <x:c r="G1" s="4"/>
      <x:c r="H1" s="4"/>
      <x:c r="I1" s="59"/>
      <x:c r="J1" s="59"/>
      <x:c r="K1" s="59"/>
      <x:c r="L1" s="59"/>
      <x:c r="M1" s="59"/>
      <x:c r="N1" s="59"/>
      <x:c r="O1" s="59"/>
      <x:c r="P1" s="59"/>
      <x:c r="Q1" s="59"/>
      <x:c r="R1" s="59"/>
      <x:c r="S1" s="59"/>
      <x:c r="T1" s="59"/>
      <x:c r="U1" s="59"/>
      <x:c r="V1" s="59"/>
    </x:row>
    <x:row r="2" ht="24" customHeight="1">
      <x:c r="A2" s="350" t="str">
        <x:v>Synthetic workforce training analytics portfolio project</x:v>
      </x:c>
      <x:c r="B2" s="350"/>
      <x:c r="C2" s="5"/>
      <x:c r="D2" s="5"/>
      <x:c r="E2" s="5"/>
      <x:c r="F2" s="5"/>
      <x:c r="G2" s="5"/>
      <x:c r="H2" s="5"/>
      <x:c r="I2" s="59"/>
      <x:c r="J2" s="59"/>
      <x:c r="K2" s="59"/>
      <x:c r="L2" s="59"/>
      <x:c r="M2" s="59"/>
      <x:c r="N2" s="59"/>
      <x:c r="O2" s="59"/>
      <x:c r="P2" s="59"/>
      <x:c r="Q2" s="59"/>
      <x:c r="R2" s="59"/>
      <x:c r="S2" s="59"/>
      <x:c r="T2" s="59"/>
      <x:c r="U2" s="59"/>
      <x:c r="V2" s="59"/>
    </x:row>
    <x:row r="3" ht="46" customHeight="1">
      <x:c r="A3" s="353" t="str">
        <x:v>All people, identifiers, organizations, locations, outcomes, and business data in this workbook are fictional. Analytical methods reflect professional learning-and-performance work; values and findings do not represent any real organization.</x:v>
      </x:c>
      <x:c r="B3" s="353"/>
      <x:c r="C3" s="3"/>
      <x:c r="D3" s="3"/>
      <x:c r="E3" s="3"/>
      <x:c r="F3" s="3"/>
      <x:c r="G3" s="3"/>
      <x:c r="H3" s="3"/>
      <x:c r="I3" s="59"/>
      <x:c r="J3" s="59"/>
      <x:c r="K3" s="59"/>
      <x:c r="L3" s="59"/>
      <x:c r="M3" s="59"/>
      <x:c r="N3" s="59"/>
      <x:c r="O3" s="59"/>
      <x:c r="P3" s="59"/>
      <x:c r="Q3" s="59"/>
      <x:c r="R3" s="59"/>
      <x:c r="S3" s="59"/>
      <x:c r="T3" s="59"/>
      <x:c r="U3" s="59"/>
      <x:c r="V3" s="59"/>
    </x:row>
    <x:row r="4" ht="24" customHeight="1">
      <x:c r="A4" s="355" t="s">
        <x:v>0</x:v>
      </x:c>
      <x:c r="B4" s="355"/>
      <x:c r="C4" s="6"/>
      <x:c r="D4" s="6"/>
      <x:c r="E4" s="6"/>
      <x:c r="F4" s="6"/>
      <x:c r="G4" s="6"/>
      <x:c r="H4" s="6"/>
      <x:c r="I4" s="59"/>
      <x:c r="J4" s="59"/>
      <x:c r="K4" s="59"/>
      <x:c r="L4" s="59"/>
      <x:c r="M4" s="59"/>
      <x:c r="N4" s="59"/>
      <x:c r="O4" s="59"/>
      <x:c r="P4" s="59"/>
      <x:c r="Q4" s="59"/>
      <x:c r="R4" s="59"/>
      <x:c r="S4" s="59"/>
      <x:c r="T4" s="59"/>
      <x:c r="U4" s="59"/>
      <x:c r="V4" s="59"/>
    </x:row>
    <x:row r="5">
      <x:c r="A5" s="3"/>
      <x:c r="B5" s="3"/>
      <x:c r="C5" s="65"/>
      <x:c r="D5" s="65"/>
      <x:c r="E5" s="65"/>
      <x:c r="F5" s="65"/>
      <x:c r="G5" s="65"/>
      <x:c r="H5" s="65"/>
      <x:c r="I5" s="59"/>
      <x:c r="J5" s="59"/>
      <x:c r="K5" s="59"/>
      <x:c r="L5" s="59"/>
      <x:c r="M5" s="59"/>
      <x:c r="N5" s="59"/>
      <x:c r="O5" s="59"/>
      <x:c r="P5" s="59"/>
      <x:c r="Q5" s="59"/>
      <x:c r="R5" s="59"/>
      <x:c r="S5" s="59"/>
      <x:c r="T5" s="59"/>
      <x:c r="U5" s="59"/>
      <x:c r="V5" s="59"/>
    </x:row>
    <x:row r="6" ht="28" customHeight="1">
      <x:c r="A6" s="437" t="s">
        <x:v>1</x:v>
      </x:c>
      <x:c r="B6" s="438" t="s">
        <x:v>2</x:v>
      </x:c>
      <x:c r="C6" s="65"/>
      <x:c r="D6" s="66"/>
      <x:c r="E6" s="67"/>
      <x:c r="F6" s="67"/>
      <x:c r="G6" s="67"/>
      <x:c r="H6" s="68"/>
      <x:c r="I6" s="59"/>
      <x:c r="J6" s="59"/>
      <x:c r="K6" s="59"/>
      <x:c r="L6" s="59"/>
      <x:c r="M6" s="59"/>
      <x:c r="N6" s="59"/>
      <x:c r="O6" s="59"/>
      <x:c r="P6" s="59"/>
      <x:c r="Q6" s="59"/>
      <x:c r="R6" s="59"/>
      <x:c r="S6" s="59"/>
      <x:c r="T6" s="59"/>
      <x:c r="U6" s="59"/>
      <x:c r="V6" s="59"/>
    </x:row>
    <x:row r="7" ht="28" customHeight="1">
      <x:c r="A7" s="440" t="s">
        <x:v>3</x:v>
      </x:c>
      <x:c r="B7" s="441" t="s">
        <x:v>4</x:v>
      </x:c>
      <x:c r="C7" s="65"/>
      <x:c r="D7" s="65"/>
      <x:c r="E7" s="65"/>
      <x:c r="F7" s="65"/>
      <x:c r="G7" s="65"/>
      <x:c r="H7" s="65"/>
      <x:c r="I7" s="59"/>
      <x:c r="J7" s="59"/>
      <x:c r="K7" s="59"/>
      <x:c r="L7" s="59"/>
      <x:c r="M7" s="59"/>
      <x:c r="N7" s="59"/>
      <x:c r="O7" s="59"/>
      <x:c r="P7" s="59"/>
      <x:c r="Q7" s="59"/>
      <x:c r="R7" s="59"/>
      <x:c r="S7" s="59"/>
      <x:c r="T7" s="59"/>
      <x:c r="U7" s="59"/>
      <x:c r="V7" s="59"/>
    </x:row>
    <x:row r="8" ht="28" customHeight="1">
      <x:c r="A8" s="443" t="s">
        <x:v>5</x:v>
      </x:c>
      <x:c r="B8" s="444" t="s">
        <x:v>6</x:v>
      </x:c>
      <x:c r="C8" s="69"/>
      <x:c r="D8" s="70"/>
      <x:c r="E8" s="70"/>
      <x:c r="F8" s="70"/>
      <x:c r="G8" s="70"/>
      <x:c r="H8" s="71"/>
      <x:c r="I8" s="78"/>
      <x:c r="J8" s="59"/>
      <x:c r="K8" s="59"/>
      <x:c r="L8" s="59"/>
      <x:c r="M8" s="59"/>
      <x:c r="N8" s="59"/>
      <x:c r="O8" s="59"/>
      <x:c r="P8" s="59"/>
      <x:c r="Q8" s="59"/>
      <x:c r="R8" s="59"/>
      <x:c r="S8" s="59"/>
      <x:c r="T8" s="59"/>
      <x:c r="U8" s="59"/>
      <x:c r="V8" s="59"/>
    </x:row>
    <x:row r="9" ht="28" customHeight="1">
      <x:c r="A9" s="440" t="s">
        <x:v>7</x:v>
      </x:c>
      <x:c r="B9" s="446" t="s">
        <x:v>8</x:v>
      </x:c>
      <x:c r="C9" s="66"/>
      <x:c r="D9" s="67"/>
      <x:c r="E9" s="67"/>
      <x:c r="F9" s="67"/>
      <x:c r="G9" s="66"/>
      <x:c r="H9" s="68"/>
      <x:c r="I9" s="59"/>
      <x:c r="J9" s="59"/>
      <x:c r="K9" s="59"/>
      <x:c r="L9" s="59"/>
      <x:c r="M9" s="59"/>
      <x:c r="N9" s="59"/>
      <x:c r="O9" s="59"/>
      <x:c r="P9" s="59"/>
      <x:c r="Q9" s="59"/>
      <x:c r="R9" s="59"/>
      <x:c r="S9" s="59"/>
      <x:c r="T9" s="59"/>
      <x:c r="U9" s="59"/>
      <x:c r="V9" s="59"/>
    </x:row>
    <x:row r="10" ht="28" customHeight="1">
      <x:c r="A10" s="443" t="s">
        <x:v>9</x:v>
      </x:c>
      <x:c r="B10" s="444" t="s">
        <x:v>10</x:v>
      </x:c>
      <x:c r="C10" s="72"/>
      <x:c r="D10" s="73"/>
      <x:c r="E10" s="73"/>
      <x:c r="F10" s="73"/>
      <x:c r="G10" s="73"/>
      <x:c r="H10" s="74"/>
      <x:c r="I10" s="59"/>
      <x:c r="J10" s="59"/>
      <x:c r="K10" s="59"/>
      <x:c r="L10" s="59"/>
      <x:c r="M10" s="59"/>
      <x:c r="N10" s="59"/>
      <x:c r="O10" s="59"/>
      <x:c r="P10" s="59"/>
      <x:c r="Q10" s="59"/>
      <x:c r="R10" s="59"/>
      <x:c r="S10" s="59"/>
      <x:c r="T10" s="59"/>
      <x:c r="U10" s="59"/>
      <x:c r="V10" s="59"/>
    </x:row>
    <x:row r="11" ht="28" customHeight="1">
      <x:c r="A11" s="440" t="s">
        <x:v>11</x:v>
      </x:c>
      <x:c r="B11" s="446" t="s">
        <x:v>12</x:v>
      </x:c>
      <x:c r="C11" s="72"/>
      <x:c r="D11" s="73"/>
      <x:c r="E11" s="73"/>
      <x:c r="F11" s="73"/>
      <x:c r="G11" s="73"/>
      <x:c r="H11" s="74"/>
      <x:c r="I11" s="59"/>
      <x:c r="J11" s="59"/>
      <x:c r="K11" s="59"/>
      <x:c r="L11" s="59"/>
      <x:c r="M11" s="59"/>
      <x:c r="N11" s="59"/>
      <x:c r="O11" s="59"/>
      <x:c r="P11" s="59"/>
      <x:c r="Q11" s="59"/>
      <x:c r="R11" s="59"/>
      <x:c r="S11" s="59"/>
      <x:c r="T11" s="59"/>
      <x:c r="U11" s="59"/>
      <x:c r="V11" s="59"/>
    </x:row>
    <x:row r="12" ht="28" customHeight="1">
      <x:c r="A12" s="447" t="s">
        <x:v>13</x:v>
      </x:c>
      <x:c r="B12" s="448" t="s">
        <x:v>14</x:v>
      </x:c>
      <x:c r="C12" s="75"/>
      <x:c r="D12" s="76"/>
      <x:c r="E12" s="76"/>
      <x:c r="F12" s="76"/>
      <x:c r="G12" s="76"/>
      <x:c r="H12" s="77"/>
      <x:c r="I12" s="59"/>
      <x:c r="J12" s="59"/>
      <x:c r="K12" s="59"/>
      <x:c r="L12" s="59"/>
      <x:c r="M12" s="59"/>
      <x:c r="N12" s="59"/>
      <x:c r="O12" s="59"/>
      <x:c r="P12" s="59"/>
      <x:c r="Q12" s="59"/>
      <x:c r="R12" s="59"/>
      <x:c r="S12" s="59"/>
      <x:c r="T12" s="59"/>
      <x:c r="U12" s="59"/>
      <x:c r="V12" s="59"/>
    </x:row>
    <x:row r="13" ht="28" customHeight="1">
      <x:c r="A13" s="450" t="s">
        <x:v>15</x:v>
      </x:c>
      <x:c r="B13" s="451" t="s">
        <x:v>16</x:v>
      </x:c>
      <x:c r="C13" s="65"/>
      <x:c r="D13" s="65"/>
      <x:c r="E13" s="65"/>
      <x:c r="F13" s="65"/>
      <x:c r="G13" s="65"/>
      <x:c r="H13" s="65"/>
      <x:c r="I13" s="59"/>
      <x:c r="J13" s="59"/>
      <x:c r="K13" s="59"/>
      <x:c r="L13" s="59"/>
      <x:c r="M13" s="59"/>
      <x:c r="N13" s="59"/>
      <x:c r="O13" s="59"/>
      <x:c r="P13" s="59"/>
      <x:c r="Q13" s="59"/>
      <x:c r="R13" s="59"/>
      <x:c r="S13" s="59"/>
      <x:c r="T13" s="59"/>
      <x:c r="U13" s="59"/>
      <x:c r="V13" s="59"/>
    </x:row>
    <x:row r="14" ht="28" customHeight="1">
      <x:c r="A14" s="453" t="s">
        <x:v>17</x:v>
      </x:c>
      <x:c r="B14" s="454" t="s">
        <x:v>18</x:v>
      </x:c>
      <x:c r="C14" s="94"/>
      <x:c r="D14" s="94"/>
      <x:c r="E14" s="94"/>
      <x:c r="F14" s="94"/>
      <x:c r="G14" s="94"/>
      <x:c r="H14" s="94"/>
      <x:c r="I14" s="59"/>
      <x:c r="J14" s="59"/>
      <x:c r="K14" s="59"/>
      <x:c r="L14" s="59"/>
      <x:c r="M14" s="59"/>
      <x:c r="N14" s="59"/>
      <x:c r="O14" s="59"/>
      <x:c r="P14" s="59"/>
      <x:c r="Q14" s="59"/>
      <x:c r="R14" s="59"/>
      <x:c r="S14" s="59"/>
      <x:c r="T14" s="59"/>
      <x:c r="U14" s="59"/>
      <x:c r="V14" s="59"/>
    </x:row>
    <x:row r="15" ht="28" customHeight="1">
      <x:c r="A15" s="456" t="str">
        <x:v>Placement Analysis</x:v>
      </x:c>
      <x:c r="B15" s="457" t="str">
        <x:v>Operational placement descriptive performance.</x:v>
      </x:c>
      <x:c r="C15" s="59"/>
      <x:c r="D15" s="59"/>
      <x:c r="E15" s="59"/>
      <x:c r="F15" s="59"/>
      <x:c r="G15" s="59"/>
      <x:c r="H15" s="59"/>
      <x:c r="I15" s="59"/>
      <x:c r="J15" s="59"/>
      <x:c r="K15" s="59"/>
      <x:c r="L15" s="59"/>
      <x:c r="M15" s="59"/>
      <x:c r="N15" s="59"/>
      <x:c r="O15" s="59"/>
      <x:c r="P15" s="59"/>
      <x:c r="Q15" s="59"/>
      <x:c r="R15" s="59"/>
      <x:c r="S15" s="59"/>
      <x:c r="T15" s="59"/>
      <x:c r="U15" s="59"/>
      <x:c r="V15" s="59"/>
    </x:row>
    <x:row r="16" ht="28" customHeight="1">
      <x:c r="A16" s="459" t="s">
        <x:v>19</x:v>
      </x:c>
      <x:c r="B16" s="460" t="str">
        <x:v>Confidence-limit tests for recruiter and region variation.</x:v>
      </x:c>
      <x:c r="C16" s="59"/>
      <x:c r="D16" s="59"/>
      <x:c r="E16" s="59"/>
      <x:c r="F16" s="59"/>
      <x:c r="G16" s="59"/>
      <x:c r="H16" s="59"/>
      <x:c r="I16" s="59"/>
      <x:c r="J16" s="59"/>
      <x:c r="K16" s="59"/>
      <x:c r="L16" s="59"/>
      <x:c r="M16" s="59"/>
      <x:c r="N16" s="59"/>
      <x:c r="O16" s="59"/>
      <x:c r="P16" s="59"/>
      <x:c r="Q16" s="59"/>
      <x:c r="R16" s="59"/>
      <x:c r="S16" s="59"/>
      <x:c r="T16" s="59"/>
      <x:c r="U16" s="59"/>
      <x:c r="V16" s="59"/>
    </x:row>
    <x:row r="17" ht="28" customHeight="1">
      <x:c r="A17" s="456" t="s">
        <x:v>20</x:v>
      </x:c>
      <x:c r="B17" s="457" t="s">
        <x:v>21</x:v>
      </x:c>
      <x:c r="C17" s="59"/>
      <x:c r="D17" s="59"/>
      <x:c r="E17" s="59"/>
      <x:c r="F17" s="59"/>
      <x:c r="G17" s="59"/>
      <x:c r="H17" s="59"/>
      <x:c r="I17" s="59"/>
      <x:c r="J17" s="59"/>
      <x:c r="K17" s="59"/>
      <x:c r="L17" s="59"/>
      <x:c r="M17" s="59"/>
      <x:c r="N17" s="59"/>
      <x:c r="O17" s="59"/>
      <x:c r="P17" s="59"/>
      <x:c r="Q17" s="59"/>
      <x:c r="R17" s="59"/>
      <x:c r="S17" s="59"/>
      <x:c r="T17" s="59"/>
      <x:c r="U17" s="59"/>
      <x:c r="V17" s="59"/>
    </x:row>
    <x:row r="18" ht="28" customHeight="1">
      <x:c r="A18" s="459" t="str">
        <x:v>Methodology</x:v>
      </x:c>
      <x:c r="B18" s="460" t="str">
        <x:v>Synthetic-data disclosure, metric definitions, cohort-maturity rules, statistical interpretation, and privacy notes.</x:v>
      </x:c>
      <x:c r="C18" s="59"/>
      <x:c r="D18" s="59"/>
      <x:c r="E18" s="59"/>
      <x:c r="F18" s="59"/>
      <x:c r="G18" s="59"/>
      <x:c r="H18" s="59"/>
      <x:c r="I18" s="59"/>
      <x:c r="J18" s="59"/>
      <x:c r="K18" s="59"/>
      <x:c r="L18" s="59"/>
      <x:c r="M18" s="59"/>
      <x:c r="N18" s="59"/>
      <x:c r="O18" s="59"/>
      <x:c r="P18" s="59"/>
      <x:c r="Q18" s="59"/>
      <x:c r="R18" s="59"/>
      <x:c r="S18" s="59"/>
      <x:c r="T18" s="59"/>
      <x:c r="U18" s="59"/>
      <x:c r="V18" s="59"/>
    </x:row>
    <x:row r="19" ht="44" customHeight="1">
      <x:c r="A19" s="398" t="str">
        <x:v>SUCCESS = Active OR Promoted OR 121+ days. Conditions may overlap. Use Survival Analysis and Cohort Maturity for unbiased retention interpretation; use Performance Controls before declaring a leader statistically different.</x:v>
      </x:c>
      <x:c r="B19" s="399"/>
      <x:c r="C19" s="26"/>
      <x:c r="D19" s="26"/>
      <x:c r="E19" s="26"/>
      <x:c r="F19" s="26"/>
      <x:c r="G19" s="26"/>
      <x:c r="H19" s="26"/>
      <x:c r="I19" s="59"/>
      <x:c r="J19" s="59"/>
      <x:c r="K19" s="59"/>
      <x:c r="L19" s="59"/>
      <x:c r="M19" s="59"/>
      <x:c r="N19" s="59"/>
      <x:c r="O19" s="59"/>
      <x:c r="P19" s="59"/>
      <x:c r="Q19" s="59"/>
      <x:c r="R19" s="59"/>
      <x:c r="S19" s="59"/>
      <x:c r="T19" s="59"/>
      <x:c r="U19" s="59"/>
      <x:c r="V19" s="59"/>
    </x:row>
    <x:row r="20">
      <x:c r="A20" s="59"/>
      <x:c r="B20" s="59"/>
      <x:c r="C20" s="59"/>
      <x:c r="D20" s="59"/>
      <x:c r="E20" s="59"/>
      <x:c r="F20" s="59"/>
      <x:c r="G20" s="59"/>
      <x:c r="H20" s="59"/>
      <x:c r="I20" s="59"/>
      <x:c r="J20" s="59"/>
      <x:c r="K20" s="59"/>
      <x:c r="L20" s="59"/>
      <x:c r="M20" s="59"/>
      <x:c r="N20" s="59"/>
      <x:c r="O20" s="59"/>
      <x:c r="P20" s="59"/>
      <x:c r="Q20" s="59"/>
      <x:c r="R20" s="59"/>
      <x:c r="S20" s="59"/>
      <x:c r="T20" s="59"/>
      <x:c r="U20" s="59"/>
      <x:c r="V20" s="59"/>
    </x:row>
    <x:row r="21">
      <x:c r="A21" s="59"/>
      <x:c r="B21" s="59"/>
      <x:c r="C21" s="59"/>
      <x:c r="D21" s="59"/>
      <x:c r="E21" s="59"/>
      <x:c r="F21" s="59"/>
      <x:c r="G21" s="59"/>
      <x:c r="H21" s="59"/>
      <x:c r="I21" s="59"/>
      <x:c r="J21" s="59"/>
      <x:c r="K21" s="59"/>
      <x:c r="L21" s="59"/>
      <x:c r="M21" s="59"/>
      <x:c r="N21" s="59"/>
      <x:c r="O21" s="59"/>
      <x:c r="P21" s="59"/>
      <x:c r="Q21" s="59"/>
      <x:c r="R21" s="59"/>
      <x:c r="S21" s="59"/>
      <x:c r="T21" s="59"/>
      <x:c r="U21" s="59"/>
      <x:c r="V21" s="59"/>
    </x:row>
    <x:row r="22">
      <x:c r="A22" s="59"/>
      <x:c r="B22" s="59"/>
      <x:c r="C22" s="59"/>
      <x:c r="D22" s="59"/>
      <x:c r="E22" s="59"/>
      <x:c r="F22" s="59"/>
      <x:c r="G22" s="59"/>
      <x:c r="H22" s="59"/>
      <x:c r="I22" s="59"/>
      <x:c r="J22" s="59"/>
      <x:c r="K22" s="59"/>
      <x:c r="L22" s="59"/>
      <x:c r="M22" s="59"/>
      <x:c r="N22" s="59"/>
      <x:c r="O22" s="59"/>
      <x:c r="P22" s="59"/>
      <x:c r="Q22" s="59"/>
      <x:c r="R22" s="59"/>
      <x:c r="S22" s="59"/>
      <x:c r="T22" s="59"/>
      <x:c r="U22" s="59"/>
      <x:c r="V22" s="59"/>
    </x:row>
    <x:row r="23">
      <x:c r="A23" s="59"/>
      <x:c r="B23" s="59"/>
      <x:c r="C23" s="59"/>
      <x:c r="D23" s="59"/>
      <x:c r="E23" s="59"/>
      <x:c r="F23" s="59"/>
      <x:c r="G23" s="59"/>
      <x:c r="H23" s="59"/>
      <x:c r="I23" s="59"/>
      <x:c r="J23" s="59"/>
      <x:c r="K23" s="59"/>
      <x:c r="L23" s="59"/>
      <x:c r="M23" s="59"/>
      <x:c r="N23" s="59"/>
      <x:c r="O23" s="59"/>
      <x:c r="P23" s="59"/>
      <x:c r="Q23" s="59"/>
      <x:c r="R23" s="59"/>
      <x:c r="S23" s="59"/>
      <x:c r="T23" s="59"/>
      <x:c r="U23" s="59"/>
      <x:c r="V23" s="59"/>
    </x:row>
    <x:row r="24">
      <x:c r="A24" s="59"/>
      <x:c r="B24" s="59"/>
      <x:c r="C24" s="59"/>
      <x:c r="D24" s="59"/>
      <x:c r="E24" s="59"/>
      <x:c r="F24" s="59"/>
      <x:c r="G24" s="59"/>
      <x:c r="H24" s="59"/>
      <x:c r="I24" s="59"/>
      <x:c r="J24" s="59"/>
      <x:c r="K24" s="59"/>
      <x:c r="L24" s="59"/>
      <x:c r="M24" s="59"/>
      <x:c r="N24" s="59"/>
      <x:c r="O24" s="59"/>
      <x:c r="P24" s="59"/>
      <x:c r="Q24" s="59"/>
      <x:c r="R24" s="59"/>
      <x:c r="S24" s="59"/>
      <x:c r="T24" s="59"/>
      <x:c r="U24" s="59"/>
      <x:c r="V24" s="59"/>
    </x:row>
    <x:row r="25">
      <x:c r="A25" s="59"/>
      <x:c r="B25" s="59"/>
      <x:c r="C25" s="59"/>
      <x:c r="D25" s="59"/>
      <x:c r="E25" s="59"/>
      <x:c r="F25" s="59"/>
      <x:c r="G25" s="59"/>
      <x:c r="H25" s="59"/>
      <x:c r="I25" s="59"/>
      <x:c r="J25" s="59"/>
      <x:c r="K25" s="59"/>
      <x:c r="L25" s="59"/>
      <x:c r="M25" s="59"/>
      <x:c r="N25" s="59"/>
      <x:c r="O25" s="59"/>
      <x:c r="P25" s="59"/>
      <x:c r="Q25" s="59"/>
      <x:c r="R25" s="59"/>
      <x:c r="S25" s="59"/>
      <x:c r="T25" s="59"/>
      <x:c r="U25" s="59"/>
      <x:c r="V25" s="59"/>
    </x:row>
    <x:row r="26">
      <x:c r="A26" s="59"/>
      <x:c r="B26" s="59"/>
      <x:c r="C26" s="59"/>
      <x:c r="D26" s="59"/>
      <x:c r="E26" s="59"/>
      <x:c r="F26" s="59"/>
      <x:c r="G26" s="59"/>
      <x:c r="H26" s="59"/>
      <x:c r="I26" s="59"/>
      <x:c r="J26" s="59"/>
      <x:c r="K26" s="59"/>
      <x:c r="L26" s="59"/>
      <x:c r="M26" s="59"/>
      <x:c r="N26" s="59"/>
      <x:c r="O26" s="59"/>
      <x:c r="P26" s="59"/>
      <x:c r="Q26" s="59"/>
      <x:c r="R26" s="59"/>
      <x:c r="S26" s="59"/>
      <x:c r="T26" s="59"/>
      <x:c r="U26" s="59"/>
      <x:c r="V26" s="59"/>
    </x:row>
    <x:row r="27">
      <x:c r="A27" s="59"/>
      <x:c r="B27" s="59"/>
      <x:c r="C27" s="59"/>
      <x:c r="D27" s="59"/>
      <x:c r="E27" s="59"/>
      <x:c r="F27" s="59"/>
      <x:c r="G27" s="59"/>
      <x:c r="H27" s="59"/>
      <x:c r="I27" s="59"/>
      <x:c r="J27" s="59"/>
      <x:c r="K27" s="59"/>
      <x:c r="L27" s="59"/>
      <x:c r="M27" s="59"/>
      <x:c r="N27" s="59"/>
      <x:c r="O27" s="59"/>
      <x:c r="P27" s="59"/>
      <x:c r="Q27" s="59"/>
      <x:c r="R27" s="59"/>
      <x:c r="S27" s="59"/>
      <x:c r="T27" s="59"/>
      <x:c r="U27" s="59"/>
      <x:c r="V27" s="59"/>
    </x:row>
    <x:row r="28">
      <x:c r="A28" s="59"/>
      <x:c r="B28" s="59"/>
      <x:c r="C28" s="59"/>
      <x:c r="D28" s="59"/>
      <x:c r="E28" s="59"/>
      <x:c r="F28" s="59"/>
      <x:c r="G28" s="59"/>
      <x:c r="H28" s="59"/>
      <x:c r="I28" s="59"/>
      <x:c r="J28" s="59"/>
      <x:c r="K28" s="59"/>
      <x:c r="L28" s="59"/>
      <x:c r="M28" s="59"/>
      <x:c r="N28" s="59"/>
      <x:c r="O28" s="59"/>
      <x:c r="P28" s="59"/>
      <x:c r="Q28" s="59"/>
      <x:c r="R28" s="59"/>
      <x:c r="S28" s="59"/>
      <x:c r="T28" s="59"/>
      <x:c r="U28" s="59"/>
      <x:c r="V28" s="59"/>
    </x:row>
    <x:row r="29">
      <x:c r="A29" s="59"/>
      <x:c r="B29" s="59"/>
      <x:c r="C29" s="59"/>
      <x:c r="D29" s="59"/>
      <x:c r="E29" s="59"/>
      <x:c r="F29" s="59"/>
      <x:c r="G29" s="59"/>
      <x:c r="H29" s="59"/>
      <x:c r="I29" s="59"/>
      <x:c r="J29" s="59"/>
      <x:c r="K29" s="59"/>
      <x:c r="L29" s="59"/>
      <x:c r="M29" s="59"/>
      <x:c r="N29" s="59"/>
      <x:c r="O29" s="59"/>
      <x:c r="P29" s="59"/>
      <x:c r="Q29" s="59"/>
      <x:c r="R29" s="59"/>
      <x:c r="S29" s="59"/>
      <x:c r="T29" s="59"/>
      <x:c r="U29" s="59"/>
      <x:c r="V29" s="59"/>
    </x:row>
    <x:row r="30">
      <x:c r="A30" s="59"/>
      <x:c r="B30" s="59"/>
      <x:c r="C30" s="59"/>
      <x:c r="D30" s="59"/>
      <x:c r="E30" s="59"/>
      <x:c r="F30" s="59"/>
      <x:c r="G30" s="59"/>
      <x:c r="H30" s="59"/>
      <x:c r="I30" s="59"/>
      <x:c r="J30" s="59"/>
      <x:c r="K30" s="59"/>
      <x:c r="L30" s="59"/>
      <x:c r="M30" s="59"/>
      <x:c r="N30" s="59"/>
      <x:c r="O30" s="59"/>
      <x:c r="P30" s="59"/>
      <x:c r="Q30" s="59"/>
      <x:c r="R30" s="59"/>
      <x:c r="S30" s="59"/>
      <x:c r="T30" s="59"/>
      <x:c r="U30" s="59"/>
      <x:c r="V30" s="59"/>
    </x:row>
    <x:row r="31">
      <x:c r="A31" s="59"/>
      <x:c r="B31" s="59"/>
      <x:c r="C31" s="59"/>
      <x:c r="D31" s="59"/>
      <x:c r="E31" s="59"/>
      <x:c r="F31" s="59"/>
      <x:c r="G31" s="59"/>
      <x:c r="H31" s="59"/>
      <x:c r="I31" s="59"/>
      <x:c r="J31" s="59"/>
      <x:c r="K31" s="59"/>
      <x:c r="L31" s="59"/>
      <x:c r="M31" s="59"/>
      <x:c r="N31" s="59"/>
      <x:c r="O31" s="59"/>
      <x:c r="P31" s="59"/>
      <x:c r="Q31" s="59"/>
      <x:c r="R31" s="59"/>
      <x:c r="S31" s="59"/>
      <x:c r="T31" s="59"/>
      <x:c r="U31" s="59"/>
      <x:c r="V31" s="59"/>
    </x:row>
    <x:row r="32">
      <x:c r="A32" s="59"/>
      <x:c r="B32" s="59"/>
      <x:c r="C32" s="59"/>
      <x:c r="D32" s="59"/>
      <x:c r="E32" s="59"/>
      <x:c r="F32" s="59"/>
      <x:c r="G32" s="59"/>
      <x:c r="H32" s="59"/>
      <x:c r="I32" s="59"/>
      <x:c r="J32" s="59"/>
      <x:c r="K32" s="59"/>
      <x:c r="L32" s="59"/>
      <x:c r="M32" s="59"/>
      <x:c r="N32" s="59"/>
      <x:c r="O32" s="59"/>
      <x:c r="P32" s="59"/>
      <x:c r="Q32" s="59"/>
      <x:c r="R32" s="59"/>
      <x:c r="S32" s="59"/>
      <x:c r="T32" s="59"/>
      <x:c r="U32" s="59"/>
      <x:c r="V32" s="59"/>
    </x:row>
    <x:row r="33">
      <x:c r="A33" s="59"/>
      <x:c r="B33" s="59"/>
      <x:c r="C33" s="59"/>
      <x:c r="D33" s="59"/>
      <x:c r="E33" s="59"/>
      <x:c r="F33" s="59"/>
      <x:c r="G33" s="59"/>
      <x:c r="H33" s="59"/>
      <x:c r="I33" s="59"/>
      <x:c r="J33" s="59"/>
      <x:c r="K33" s="59"/>
      <x:c r="L33" s="59"/>
      <x:c r="M33" s="59"/>
      <x:c r="N33" s="59"/>
      <x:c r="O33" s="59"/>
      <x:c r="P33" s="59"/>
      <x:c r="Q33" s="59"/>
      <x:c r="R33" s="59"/>
      <x:c r="S33" s="59"/>
      <x:c r="T33" s="59"/>
      <x:c r="U33" s="59"/>
      <x:c r="V33" s="59"/>
    </x:row>
    <x:row r="34">
      <x:c r="A34" s="59"/>
      <x:c r="B34" s="59"/>
      <x:c r="C34" s="59"/>
      <x:c r="D34" s="59"/>
      <x:c r="E34" s="59"/>
      <x:c r="F34" s="59"/>
      <x:c r="G34" s="59"/>
      <x:c r="H34" s="59"/>
      <x:c r="I34" s="59"/>
      <x:c r="J34" s="59"/>
      <x:c r="K34" s="59"/>
      <x:c r="L34" s="59"/>
      <x:c r="M34" s="59"/>
      <x:c r="N34" s="59"/>
      <x:c r="O34" s="59"/>
      <x:c r="P34" s="59"/>
      <x:c r="Q34" s="59"/>
      <x:c r="R34" s="59"/>
      <x:c r="S34" s="59"/>
      <x:c r="T34" s="59"/>
      <x:c r="U34" s="59"/>
      <x:c r="V34" s="59"/>
    </x:row>
    <x:row r="35">
      <x:c r="A35" s="59"/>
      <x:c r="B35" s="59"/>
      <x:c r="C35" s="59"/>
      <x:c r="D35" s="59"/>
      <x:c r="E35" s="59"/>
      <x:c r="F35" s="59"/>
      <x:c r="G35" s="59"/>
      <x:c r="H35" s="59"/>
      <x:c r="I35" s="59"/>
      <x:c r="J35" s="59"/>
      <x:c r="K35" s="59"/>
      <x:c r="L35" s="59"/>
      <x:c r="M35" s="59"/>
      <x:c r="N35" s="59"/>
      <x:c r="O35" s="59"/>
      <x:c r="P35" s="59"/>
      <x:c r="Q35" s="59"/>
      <x:c r="R35" s="59"/>
      <x:c r="S35" s="59"/>
      <x:c r="T35" s="59"/>
      <x:c r="U35" s="59"/>
      <x:c r="V35" s="59"/>
    </x:row>
    <x:row r="36">
      <x:c r="A36" s="59"/>
      <x:c r="B36" s="59"/>
      <x:c r="C36" s="59"/>
      <x:c r="D36" s="59"/>
      <x:c r="E36" s="59"/>
      <x:c r="F36" s="59"/>
      <x:c r="G36" s="59"/>
      <x:c r="H36" s="59"/>
      <x:c r="I36" s="59"/>
      <x:c r="J36" s="59"/>
      <x:c r="K36" s="59"/>
      <x:c r="L36" s="59"/>
      <x:c r="M36" s="59"/>
      <x:c r="N36" s="59"/>
      <x:c r="O36" s="59"/>
      <x:c r="P36" s="59"/>
      <x:c r="Q36" s="59"/>
      <x:c r="R36" s="59"/>
      <x:c r="S36" s="59"/>
      <x:c r="T36" s="59"/>
      <x:c r="U36" s="59"/>
      <x:c r="V36" s="59"/>
    </x:row>
    <x:row r="37">
      <x:c r="A37" s="59"/>
      <x:c r="B37" s="59"/>
      <x:c r="C37" s="59"/>
      <x:c r="D37" s="59"/>
      <x:c r="E37" s="59"/>
      <x:c r="F37" s="59"/>
      <x:c r="G37" s="59"/>
      <x:c r="H37" s="59"/>
      <x:c r="I37" s="59"/>
      <x:c r="J37" s="59"/>
      <x:c r="K37" s="59"/>
      <x:c r="L37" s="59"/>
      <x:c r="M37" s="59"/>
      <x:c r="N37" s="59"/>
      <x:c r="O37" s="59"/>
      <x:c r="P37" s="59"/>
      <x:c r="Q37" s="59"/>
      <x:c r="R37" s="59"/>
      <x:c r="S37" s="59"/>
      <x:c r="T37" s="59"/>
      <x:c r="U37" s="59"/>
      <x:c r="V37" s="59"/>
    </x:row>
    <x:row r="38">
      <x:c r="A38" s="59"/>
      <x:c r="B38" s="59"/>
      <x:c r="C38" s="59"/>
      <x:c r="D38" s="59"/>
      <x:c r="E38" s="59"/>
      <x:c r="F38" s="59"/>
      <x:c r="G38" s="59"/>
      <x:c r="H38" s="59"/>
      <x:c r="I38" s="59"/>
      <x:c r="J38" s="59"/>
      <x:c r="K38" s="59"/>
      <x:c r="L38" s="59"/>
      <x:c r="M38" s="59"/>
      <x:c r="N38" s="59"/>
      <x:c r="O38" s="59"/>
      <x:c r="P38" s="59"/>
      <x:c r="Q38" s="59"/>
      <x:c r="R38" s="59"/>
      <x:c r="S38" s="59"/>
      <x:c r="T38" s="59"/>
      <x:c r="U38" s="59"/>
      <x:c r="V38" s="59"/>
    </x:row>
  </x:sheetData>
  <x:mergeCells>
    <x:mergeCell ref="A1:B1"/>
    <x:mergeCell ref="A2:B2"/>
    <x:mergeCell ref="A3:B3"/>
    <x:mergeCell ref="A4:B4"/>
    <x:mergeCell ref="A19:B19"/>
  </x:mergeCells>
  <x:conditionalFormatting sqref="A6:B12">
    <x:cfRule type="expression" dxfId="21" priority="1">
      <x:formula>MOD(ROW()-6,2)=1</x:formula>
    </x:cfRule>
  </x:conditionalFormatting>
  <x:pageMargins left="0.7" right="0.7" top="0.75" bottom="0.75" header="0.3" footer="0.3"/>
</x:worksheet>
</file>

<file path=xl/worksheets/sheet2.xml><?xml version="1.0" encoding="utf-8"?>
<x:worksheet xmlns:x="http://schemas.openxmlformats.org/spreadsheetml/2006/main">
  <x:sheetFormatPr defaultRowHeight="14.5"/>
  <x:cols>
    <x:col min="1" max="9" width="13.6328125" customWidth="1"/>
    <x:col min="10" max="10" width="18.90625" customWidth="1"/>
    <x:col min="11" max="11" width="18.453125" customWidth="1"/>
  </x:cols>
  <x:sheetData>
    <x:row r="1" ht="32" customHeight="1">
      <x:c r="A1" s="4" t="s">
        <x:v>22</x:v>
      </x:c>
      <x:c r="B1" s="4"/>
      <x:c r="C1" s="4"/>
      <x:c r="D1" s="4"/>
      <x:c r="E1" s="4"/>
      <x:c r="F1" s="4"/>
      <x:c r="G1" s="4"/>
      <x:c r="H1" s="4"/>
      <x:c r="I1" s="4"/>
      <x:c r="J1" s="61"/>
      <x:c r="K1" s="61"/>
      <x:c r="L1" s="59"/>
      <x:c r="M1" s="59"/>
      <x:c r="N1" s="59"/>
      <x:c r="O1" s="59"/>
      <x:c r="P1" s="59"/>
      <x:c r="Q1" s="59"/>
      <x:c r="R1" s="59"/>
      <x:c r="S1" s="59"/>
      <x:c r="T1" s="59"/>
      <x:c r="U1" s="59"/>
      <x:c r="V1" s="59"/>
    </x:row>
    <x:row r="2" ht="20" customHeight="1">
      <x:c r="A2" s="5" t="str">
        <x:v>Synthetic workforce training conversion, retention, and placement performance | reporting snapshot: Aug. 2026</x:v>
      </x:c>
      <x:c r="B2" s="5"/>
      <x:c r="C2" s="5"/>
      <x:c r="D2" s="5"/>
      <x:c r="E2" s="5"/>
      <x:c r="F2" s="5"/>
      <x:c r="G2" s="5"/>
      <x:c r="H2" s="5"/>
      <x:c r="I2" s="5"/>
      <x:c r="J2" s="62"/>
      <x:c r="K2" s="62"/>
      <x:c r="L2" s="59"/>
      <x:c r="M2" s="59"/>
      <x:c r="N2" s="59"/>
      <x:c r="O2" s="59"/>
      <x:c r="P2" s="59"/>
      <x:c r="Q2" s="59"/>
      <x:c r="R2" s="59"/>
      <x:c r="S2" s="59"/>
      <x:c r="T2" s="59"/>
      <x:c r="U2" s="59"/>
      <x:c r="V2" s="59"/>
    </x:row>
    <x:row r="3" ht="17.5" customHeight="1">
      <x:c r="A3" s="3"/>
      <x:c r="B3" s="3"/>
      <x:c r="C3" s="3"/>
      <x:c r="D3" s="3"/>
      <x:c r="E3" s="3"/>
      <x:c r="F3" s="3"/>
      <x:c r="G3" s="3"/>
      <x:c r="H3" s="3"/>
      <x:c r="I3" s="3"/>
      <x:c r="J3" s="3"/>
      <x:c r="K3" s="3"/>
      <x:c r="L3" s="59"/>
      <x:c r="M3" s="59"/>
      <x:c r="N3" s="59"/>
      <x:c r="O3" s="59"/>
      <x:c r="P3" s="59"/>
      <x:c r="Q3" s="59"/>
      <x:c r="R3" s="59"/>
      <x:c r="S3" s="59"/>
      <x:c r="T3" s="59"/>
      <x:c r="U3" s="59"/>
      <x:c r="V3" s="59"/>
    </x:row>
    <x:row r="4" ht="43.5" customHeight="1">
      <x:c r="A4" s="63" t="str">
        <x:f>"Across "&amp;TEXT(A6,"#,##0")&amp;" trainees, "&amp;TEXT(C6,"0.0%")&amp;" meet at least one success condition: active employment, promotion, or 121+ days retained. Assignment timing and annual cohort movement below identify the strongest operational levers."</x:f>
        <x:v>Across 1,050 trainees, 69.6% meet at least one success condition: active employment, promotion, or 121+ days retained. Assignment timing and annual cohort movement below identify the strongest operational levers.</x:v>
      </x:c>
      <x:c r="B4" s="64"/>
      <x:c r="C4" s="64"/>
      <x:c r="D4" s="64"/>
      <x:c r="E4" s="64"/>
      <x:c r="F4" s="64"/>
      <x:c r="G4" s="64"/>
      <x:c r="H4" s="64"/>
      <x:c r="I4" s="64"/>
      <x:c r="J4" s="13" t="s">
        <x:v>23</x:v>
      </x:c>
      <x:c r="K4" s="13" t="s">
        <x:v>24</x:v>
      </x:c>
      <x:c r="L4" s="59"/>
      <x:c r="M4" s="59"/>
      <x:c r="N4" s="59"/>
      <x:c r="O4" s="59"/>
      <x:c r="P4" s="59"/>
      <x:c r="Q4" s="59"/>
      <x:c r="R4" s="59"/>
      <x:c r="S4" s="59"/>
      <x:c r="T4" s="59"/>
      <x:c r="U4" s="59"/>
      <x:c r="V4" s="59"/>
    </x:row>
    <x:row r="5">
      <x:c r="A5" s="3"/>
      <x:c r="B5" s="3"/>
      <x:c r="C5" s="3"/>
      <x:c r="D5" s="3"/>
      <x:c r="E5" s="3"/>
      <x:c r="F5" s="3"/>
      <x:c r="G5" s="3"/>
      <x:c r="H5" s="3"/>
      <x:c r="I5" s="3"/>
      <x:c r="J5" s="15" t="s">
        <x:v>25</x:v>
      </x:c>
      <x:c r="K5" s="16" t="n">
        <x:f>COUNTIF(WorkforceData[Outcome Category],J5)</x:f>
        <x:v>0</x:v>
      </x:c>
      <x:c r="L5" s="59"/>
      <x:c r="M5" s="59"/>
      <x:c r="N5" s="59"/>
      <x:c r="O5" s="59"/>
      <x:c r="P5" s="59"/>
      <x:c r="Q5" s="59"/>
      <x:c r="R5" s="59"/>
      <x:c r="S5" s="59"/>
      <x:c r="T5" s="59"/>
      <x:c r="U5" s="59"/>
      <x:c r="V5" s="59"/>
    </x:row>
    <x:row r="6" ht="48" customHeight="1">
      <x:c r="A6" s="9" t="n">
        <x:f>ROWS(WorkforceData[Employee Number])</x:f>
        <x:v>1050</x:v>
      </x:c>
      <x:c r="B6" s="9"/>
      <x:c r="C6" s="10" t="n">
        <x:f>SUM(WorkforceData[Success Flag])/A6</x:f>
        <x:v>0.6961904761904761</x:v>
      </x:c>
      <x:c r="D6" s="10"/>
      <x:c r="E6" s="10" t="n">
        <x:f>COUNTIF(WorkforceData[Status],"Active")/$A$6</x:f>
        <x:v>0.4342857142857143</x:v>
      </x:c>
      <x:c r="F6" s="10"/>
      <x:c r="G6" s="10" t="n">
        <x:f>COUNTIF(WorkforceData[Promoted],"Yes")/$A$6</x:f>
        <x:v>0.5228571428571429</x:v>
      </x:c>
      <x:c r="H6" s="10"/>
      <x:c r="I6" s="10"/>
      <x:c r="J6" s="17" t="s">
        <x:v>26</x:v>
      </x:c>
      <x:c r="K6" s="18" t="n">
        <x:f>COUNTIF(WorkforceData[Outcome Category],J6)</x:f>
        <x:v>127</x:v>
      </x:c>
      <x:c r="L6" s="59"/>
      <x:c r="M6" s="59"/>
      <x:c r="N6" s="59"/>
      <x:c r="O6" s="59"/>
      <x:c r="P6" s="59"/>
      <x:c r="Q6" s="59"/>
      <x:c r="R6" s="59"/>
      <x:c r="S6" s="59"/>
      <x:c r="T6" s="59"/>
      <x:c r="U6" s="59"/>
      <x:c r="V6" s="59"/>
    </x:row>
    <x:row r="7">
      <x:c r="A7" s="12" t="s">
        <x:v>27</x:v>
      </x:c>
      <x:c r="B7" s="12"/>
      <x:c r="C7" s="12" t="s">
        <x:v>28</x:v>
      </x:c>
      <x:c r="D7" s="12"/>
      <x:c r="E7" s="12" t="s">
        <x:v>29</x:v>
      </x:c>
      <x:c r="F7" s="12"/>
      <x:c r="G7" s="12" t="s">
        <x:v>30</x:v>
      </x:c>
      <x:c r="H7" s="12"/>
      <x:c r="I7" s="12"/>
      <x:c r="J7" s="17" t="s">
        <x:v>31</x:v>
      </x:c>
      <x:c r="K7" s="18" t="n">
        <x:f>COUNTIF(WorkforceData[Outcome Category],J7)</x:f>
        <x:v>67</x:v>
      </x:c>
      <x:c r="L7" s="59"/>
      <x:c r="M7" s="59"/>
      <x:c r="N7" s="59"/>
      <x:c r="O7" s="59"/>
      <x:c r="P7" s="59"/>
      <x:c r="Q7" s="59"/>
      <x:c r="R7" s="59"/>
      <x:c r="S7" s="59"/>
      <x:c r="T7" s="59"/>
      <x:c r="U7" s="59"/>
      <x:c r="V7" s="59"/>
    </x:row>
    <x:row r="8">
      <x:c r="A8" s="3"/>
      <x:c r="B8" s="3"/>
      <x:c r="C8" s="3"/>
      <x:c r="D8" s="3"/>
      <x:c r="E8" s="3"/>
      <x:c r="F8" s="3"/>
      <x:c r="G8" s="3"/>
      <x:c r="H8" s="3"/>
      <x:c r="I8" s="3"/>
      <x:c r="J8" s="17" t="s">
        <x:v>32</x:v>
      </x:c>
      <x:c r="K8" s="18" t="n">
        <x:f>COUNTIF(WorkforceData[Outcome Category],J8)</x:f>
        <x:v>226</x:v>
      </x:c>
      <x:c r="L8" s="59"/>
      <x:c r="M8" s="59"/>
      <x:c r="N8" s="59"/>
      <x:c r="O8" s="59"/>
      <x:c r="P8" s="59"/>
      <x:c r="Q8" s="59"/>
      <x:c r="R8" s="59"/>
      <x:c r="S8" s="59"/>
      <x:c r="T8" s="59"/>
      <x:c r="U8" s="59"/>
      <x:c r="V8" s="59"/>
    </x:row>
    <x:row r="9" ht="48" customHeight="1">
      <x:c r="A9" s="10" t="n">
        <x:f>SUM(WorkforceData[Retained 121+ Flag])/$A$6</x:f>
        <x:v>0.6514285714285715</x:v>
      </x:c>
      <x:c r="B9" s="10"/>
      <x:c r="C9" s="10" t="n">
        <x:f>SUM(WorkforceData[Voluntary Exit Flag])/$A$6</x:f>
        <x:v>0.3628571428571429</x:v>
      </x:c>
      <x:c r="D9" s="10"/>
      <x:c r="E9" s="10" t="n">
        <x:f>COUNTIF(WorkforceData[Status],"Terminated")/$A$6</x:f>
        <x:v>0.12857142857142856</x:v>
      </x:c>
      <x:c r="F9" s="10"/>
      <x:c r="G9" s="10" t="n">
        <x:f>SUM(WorkforceData[DNP Flag])/$A$6</x:f>
        <x:v>0</x:v>
      </x:c>
      <x:c r="H9" s="10"/>
      <x:c r="I9" s="10"/>
      <x:c r="J9" s="17" t="s">
        <x:v>33</x:v>
      </x:c>
      <x:c r="K9" s="18" t="n">
        <x:f>COUNTIF(WorkforceData[Outcome Category],J9)</x:f>
        <x:v>85</x:v>
      </x:c>
      <x:c r="L9" s="59"/>
      <x:c r="M9" s="59"/>
      <x:c r="N9" s="59"/>
      <x:c r="O9" s="59"/>
      <x:c r="P9" s="59"/>
      <x:c r="Q9" s="59"/>
      <x:c r="R9" s="59"/>
      <x:c r="S9" s="59"/>
      <x:c r="T9" s="59"/>
      <x:c r="U9" s="59"/>
      <x:c r="V9" s="59"/>
    </x:row>
    <x:row r="10">
      <x:c r="A10" s="12" t="s">
        <x:v>34</x:v>
      </x:c>
      <x:c r="B10" s="12"/>
      <x:c r="C10" s="12" t="s">
        <x:v>35</x:v>
      </x:c>
      <x:c r="D10" s="12"/>
      <x:c r="E10" s="12" t="s">
        <x:v>36</x:v>
      </x:c>
      <x:c r="F10" s="12"/>
      <x:c r="G10" s="12" t="s">
        <x:v>37</x:v>
      </x:c>
      <x:c r="H10" s="12"/>
      <x:c r="I10" s="12"/>
      <x:c r="J10" s="17" t="s">
        <x:v>38</x:v>
      </x:c>
      <x:c r="K10" s="18" t="n">
        <x:f>COUNTIF(WorkforceData[Outcome Category],J10)</x:f>
        <x:v>0</x:v>
      </x:c>
      <x:c r="L10" s="59"/>
      <x:c r="M10" s="59"/>
      <x:c r="N10" s="59"/>
      <x:c r="O10" s="59"/>
      <x:c r="P10" s="59"/>
      <x:c r="Q10" s="59"/>
      <x:c r="R10" s="59"/>
      <x:c r="S10" s="59"/>
      <x:c r="T10" s="59"/>
      <x:c r="U10" s="59"/>
      <x:c r="V10" s="59"/>
    </x:row>
    <x:row r="11">
      <x:c r="A11" s="3"/>
      <x:c r="B11" s="3"/>
      <x:c r="C11" s="3"/>
      <x:c r="D11" s="3"/>
      <x:c r="E11" s="3"/>
      <x:c r="F11" s="3"/>
      <x:c r="G11" s="3"/>
      <x:c r="H11" s="3"/>
      <x:c r="I11" s="3"/>
      <x:c r="J11" s="19" t="s">
        <x:v>37</x:v>
      </x:c>
      <x:c r="K11" s="20" t="n">
        <x:f>COUNTIF(WorkforceData[Outcome Category],J11)</x:f>
        <x:v>545</x:v>
      </x:c>
      <x:c r="L11" s="59"/>
      <x:c r="M11" s="59"/>
      <x:c r="N11" s="59"/>
      <x:c r="O11" s="59"/>
      <x:c r="P11" s="59"/>
      <x:c r="Q11" s="59"/>
      <x:c r="R11" s="59"/>
      <x:c r="S11" s="59"/>
      <x:c r="T11" s="59"/>
      <x:c r="U11" s="59"/>
      <x:c r="V11" s="59"/>
    </x:row>
    <x:row r="12">
      <x:c r="A12" s="3"/>
      <x:c r="B12" s="3"/>
      <x:c r="C12" s="3"/>
      <x:c r="D12" s="3"/>
      <x:c r="E12" s="3"/>
      <x:c r="F12" s="3"/>
      <x:c r="G12" s="3"/>
      <x:c r="H12" s="3"/>
      <x:c r="I12" s="3"/>
      <x:c r="J12" s="3"/>
      <x:c r="K12" s="3"/>
      <x:c r="L12" s="59"/>
      <x:c r="M12" s="59"/>
      <x:c r="N12" s="59"/>
      <x:c r="O12" s="59"/>
      <x:c r="P12" s="59"/>
      <x:c r="Q12" s="59"/>
      <x:c r="R12" s="59"/>
      <x:c r="S12" s="59"/>
      <x:c r="T12" s="59"/>
      <x:c r="U12" s="59"/>
      <x:c r="V12" s="59"/>
    </x:row>
    <x:row r="13">
      <x:c r="A13" s="3"/>
      <x:c r="B13" s="3"/>
      <x:c r="C13" s="3"/>
      <x:c r="D13" s="3"/>
      <x:c r="E13" s="3"/>
      <x:c r="F13" s="3"/>
      <x:c r="G13" s="3"/>
      <x:c r="H13" s="3"/>
      <x:c r="I13" s="3"/>
      <x:c r="J13" s="60"/>
      <x:c r="K13" s="60"/>
      <x:c r="L13" s="59"/>
      <x:c r="M13" s="59"/>
      <x:c r="N13" s="59"/>
      <x:c r="O13" s="59"/>
      <x:c r="P13" s="59"/>
      <x:c r="Q13" s="59"/>
      <x:c r="R13" s="59"/>
      <x:c r="S13" s="59"/>
      <x:c r="T13" s="59"/>
      <x:c r="U13" s="59"/>
      <x:c r="V13" s="59"/>
    </x:row>
    <x:row r="14" ht="15">
      <x:c r="A14" s="3"/>
      <x:c r="B14" s="3"/>
      <x:c r="C14" s="3"/>
      <x:c r="D14" s="3"/>
      <x:c r="E14" s="3"/>
      <x:c r="F14" s="3"/>
      <x:c r="G14" s="3"/>
      <x:c r="H14" s="3"/>
      <x:c r="I14" s="3"/>
      <x:c r="J14" s="13" t="s">
        <x:v>39</x:v>
      </x:c>
      <x:c r="K14" s="13" t="s">
        <x:v>40</x:v>
      </x:c>
      <x:c r="L14" s="59"/>
      <x:c r="M14" s="59"/>
      <x:c r="N14" s="59"/>
      <x:c r="O14" s="59"/>
      <x:c r="P14" s="59"/>
      <x:c r="Q14" s="59"/>
      <x:c r="R14" s="59"/>
      <x:c r="S14" s="59"/>
      <x:c r="T14" s="59"/>
      <x:c r="U14" s="59"/>
      <x:c r="V14" s="59"/>
    </x:row>
    <x:row r="15">
      <x:c r="A15" s="3"/>
      <x:c r="B15" s="3"/>
      <x:c r="C15" s="3"/>
      <x:c r="D15" s="3"/>
      <x:c r="E15" s="3"/>
      <x:c r="F15" s="3"/>
      <x:c r="G15" s="3"/>
      <x:c r="H15" s="3"/>
      <x:c r="I15" s="3"/>
      <x:c r="J15" s="15">
        <x:v>2023</x:v>
      </x:c>
      <x:c r="K15" s="21" t="n">
        <x:f>SUMIFS(WorkforceData[Success Flag],WorkforceData[Training Year],J15)/COUNTIF(WorkforceData[Training Year],J15)</x:f>
        <x:v>0.6815286624203821</x:v>
      </x:c>
      <x:c r="L15" s="59"/>
      <x:c r="M15" s="59"/>
      <x:c r="N15" s="59"/>
      <x:c r="O15" s="59"/>
      <x:c r="P15" s="59"/>
      <x:c r="Q15" s="59"/>
      <x:c r="R15" s="59"/>
      <x:c r="S15" s="59"/>
      <x:c r="T15" s="59"/>
      <x:c r="U15" s="59"/>
      <x:c r="V15" s="59"/>
    </x:row>
    <x:row r="16">
      <x:c r="A16" s="3"/>
      <x:c r="B16" s="3"/>
      <x:c r="C16" s="3"/>
      <x:c r="D16" s="3"/>
      <x:c r="E16" s="3"/>
      <x:c r="F16" s="3"/>
      <x:c r="G16" s="3"/>
      <x:c r="H16" s="3"/>
      <x:c r="I16" s="3"/>
      <x:c r="J16" s="17">
        <x:v>2024</x:v>
      </x:c>
      <x:c r="K16" s="22" t="n">
        <x:f>SUMIFS(WorkforceData[Success Flag],WorkforceData[Training Year],J16)/COUNTIF(WorkforceData[Training Year],J16)</x:f>
        <x:v>0.7142857142857143</x:v>
      </x:c>
      <x:c r="L16" s="59"/>
      <x:c r="M16" s="59"/>
      <x:c r="N16" s="59"/>
      <x:c r="O16" s="59"/>
      <x:c r="P16" s="59"/>
      <x:c r="Q16" s="59"/>
      <x:c r="R16" s="59"/>
      <x:c r="S16" s="59"/>
      <x:c r="T16" s="59"/>
      <x:c r="U16" s="59"/>
      <x:c r="V16" s="59"/>
    </x:row>
    <x:row r="17">
      <x:c r="A17" s="3"/>
      <x:c r="B17" s="3"/>
      <x:c r="C17" s="3"/>
      <x:c r="D17" s="3"/>
      <x:c r="E17" s="3"/>
      <x:c r="F17" s="3"/>
      <x:c r="G17" s="3"/>
      <x:c r="H17" s="3"/>
      <x:c r="I17" s="3"/>
      <x:c r="J17" s="17">
        <x:v>2025</x:v>
      </x:c>
      <x:c r="K17" s="22" t="n">
        <x:f>SUMIFS(WorkforceData[Success Flag],WorkforceData[Training Year],J17)/COUNTIF(WorkforceData[Training Year],J17)</x:f>
        <x:v>0.7097791798107256</x:v>
      </x:c>
      <x:c r="L17" s="59"/>
      <x:c r="M17" s="59"/>
      <x:c r="N17" s="59"/>
      <x:c r="O17" s="59"/>
      <x:c r="P17" s="59"/>
      <x:c r="Q17" s="59"/>
      <x:c r="R17" s="59"/>
      <x:c r="S17" s="59"/>
      <x:c r="T17" s="59"/>
      <x:c r="U17" s="59"/>
      <x:c r="V17" s="59"/>
    </x:row>
    <x:row r="18">
      <x:c r="A18" s="3"/>
      <x:c r="B18" s="3"/>
      <x:c r="C18" s="3"/>
      <x:c r="D18" s="3"/>
      <x:c r="E18" s="3"/>
      <x:c r="F18" s="3"/>
      <x:c r="G18" s="3"/>
      <x:c r="H18" s="3"/>
      <x:c r="I18" s="3"/>
      <x:c r="J18" s="19">
        <x:v>2026</x:v>
      </x:c>
      <x:c r="K18" s="23" t="n">
        <x:f>SUMIFS(WorkforceData[Success Flag],WorkforceData[Training Year],J18)/COUNTIF(WorkforceData[Training Year],J18)</x:f>
        <x:v>0.6515151515151515</x:v>
      </x:c>
      <x:c r="L18" s="59"/>
      <x:c r="M18" s="59"/>
      <x:c r="N18" s="59"/>
      <x:c r="O18" s="59"/>
      <x:c r="P18" s="59"/>
      <x:c r="Q18" s="59"/>
      <x:c r="R18" s="59"/>
      <x:c r="S18" s="59"/>
      <x:c r="T18" s="59"/>
      <x:c r="U18" s="59"/>
      <x:c r="V18" s="59"/>
    </x:row>
    <x:row r="19">
      <x:c r="A19" s="3"/>
      <x:c r="B19" s="3"/>
      <x:c r="C19" s="3"/>
      <x:c r="D19" s="3"/>
      <x:c r="E19" s="3"/>
      <x:c r="F19" s="3"/>
      <x:c r="G19" s="3"/>
      <x:c r="H19" s="3"/>
      <x:c r="I19" s="3"/>
      <x:c r="J19" s="3"/>
      <x:c r="K19" s="3"/>
      <x:c r="L19" s="59"/>
      <x:c r="M19" s="59"/>
      <x:c r="N19" s="59"/>
      <x:c r="O19" s="59"/>
      <x:c r="P19" s="59"/>
      <x:c r="Q19" s="59"/>
      <x:c r="R19" s="59"/>
      <x:c r="S19" s="59"/>
      <x:c r="T19" s="59"/>
      <x:c r="U19" s="59"/>
      <x:c r="V19" s="59"/>
    </x:row>
    <x:row r="20">
      <x:c r="A20" s="3"/>
      <x:c r="B20" s="3"/>
      <x:c r="C20" s="3"/>
      <x:c r="D20" s="3"/>
      <x:c r="E20" s="3"/>
      <x:c r="F20" s="3"/>
      <x:c r="G20" s="3"/>
      <x:c r="H20" s="3"/>
      <x:c r="I20" s="3"/>
      <x:c r="J20" s="60"/>
      <x:c r="K20" s="60"/>
      <x:c r="L20" s="59"/>
      <x:c r="M20" s="59"/>
      <x:c r="N20" s="59"/>
      <x:c r="O20" s="59"/>
      <x:c r="P20" s="59"/>
      <x:c r="Q20" s="59"/>
      <x:c r="R20" s="59"/>
      <x:c r="S20" s="59"/>
      <x:c r="T20" s="59"/>
      <x:c r="U20" s="59"/>
      <x:c r="V20" s="59"/>
    </x:row>
    <x:row r="21" ht="15">
      <x:c r="A21" s="3"/>
      <x:c r="B21" s="3"/>
      <x:c r="C21" s="3"/>
      <x:c r="D21" s="3"/>
      <x:c r="E21" s="3"/>
      <x:c r="F21" s="3"/>
      <x:c r="G21" s="3"/>
      <x:c r="H21" s="3"/>
      <x:c r="I21" s="3"/>
      <x:c r="J21" s="13" t="s">
        <x:v>41</x:v>
      </x:c>
      <x:c r="K21" s="13" t="s">
        <x:v>40</x:v>
      </x:c>
      <x:c r="L21" s="59"/>
      <x:c r="M21" s="59"/>
      <x:c r="N21" s="59"/>
      <x:c r="O21" s="59"/>
      <x:c r="P21" s="59"/>
      <x:c r="Q21" s="59"/>
      <x:c r="R21" s="59"/>
      <x:c r="S21" s="59"/>
      <x:c r="T21" s="59"/>
      <x:c r="U21" s="59"/>
      <x:c r="V21" s="59"/>
    </x:row>
    <x:row r="22">
      <x:c r="A22" s="3"/>
      <x:c r="B22" s="3"/>
      <x:c r="C22" s="3"/>
      <x:c r="D22" s="3"/>
      <x:c r="E22" s="3"/>
      <x:c r="F22" s="3"/>
      <x:c r="G22" s="3"/>
      <x:c r="H22" s="3"/>
      <x:c r="I22" s="3"/>
      <x:c r="J22" s="15" t="s">
        <x:v>42</x:v>
      </x:c>
      <x:c r="K22" s="21" t="n">
        <x:f>IFERROR(SUMIFS(WorkforceData[Success Flag],WorkforceData[Assignment Timing],J22)/COUNTIF(WorkforceData[Assignment Timing],J22),0)</x:f>
        <x:v>0.6977401129943502</x:v>
      </x:c>
      <x:c r="L22" s="59"/>
      <x:c r="M22" s="59"/>
      <x:c r="N22" s="59"/>
      <x:c r="O22" s="59"/>
      <x:c r="P22" s="59"/>
      <x:c r="Q22" s="59"/>
      <x:c r="R22" s="59"/>
      <x:c r="S22" s="59"/>
      <x:c r="T22" s="59"/>
      <x:c r="U22" s="59"/>
      <x:c r="V22" s="59"/>
    </x:row>
    <x:row r="23">
      <x:c r="A23" s="3"/>
      <x:c r="B23" s="3"/>
      <x:c r="C23" s="3"/>
      <x:c r="D23" s="3"/>
      <x:c r="E23" s="3"/>
      <x:c r="F23" s="3"/>
      <x:c r="G23" s="3"/>
      <x:c r="H23" s="3"/>
      <x:c r="I23" s="3"/>
      <x:c r="J23" s="17" t="s">
        <x:v>43</x:v>
      </x:c>
      <x:c r="K23" s="22" t="n">
        <x:f>IFERROR(SUMIFS(WorkforceData[Success Flag],WorkforceData[Assignment Timing],J23)/COUNTIF(WorkforceData[Assignment Timing],J23),0)</x:f>
        <x:v>0.6875</x:v>
      </x:c>
      <x:c r="L23" s="59"/>
      <x:c r="M23" s="59"/>
      <x:c r="N23" s="59"/>
      <x:c r="O23" s="59"/>
      <x:c r="P23" s="59"/>
      <x:c r="Q23" s="59"/>
      <x:c r="R23" s="59"/>
      <x:c r="S23" s="59"/>
      <x:c r="T23" s="59"/>
      <x:c r="U23" s="59"/>
      <x:c r="V23" s="59"/>
    </x:row>
    <x:row r="24">
      <x:c r="A24" s="3"/>
      <x:c r="B24" s="3"/>
      <x:c r="C24" s="3"/>
      <x:c r="D24" s="3"/>
      <x:c r="E24" s="3"/>
      <x:c r="F24" s="3"/>
      <x:c r="G24" s="3"/>
      <x:c r="H24" s="3"/>
      <x:c r="I24" s="3"/>
      <x:c r="J24" s="17" t="s">
        <x:v>44</x:v>
      </x:c>
      <x:c r="K24" s="22" t="n">
        <x:f>IFERROR(SUMIFS(WorkforceData[Success Flag],WorkforceData[Assignment Timing],J24)/COUNTIF(WorkforceData[Assignment Timing],J24),0)</x:f>
        <x:v>0.6917293233082706</x:v>
      </x:c>
      <x:c r="L24" s="59"/>
      <x:c r="M24" s="59"/>
      <x:c r="N24" s="59"/>
      <x:c r="O24" s="59"/>
      <x:c r="P24" s="59"/>
      <x:c r="Q24" s="59"/>
      <x:c r="R24" s="59"/>
      <x:c r="S24" s="59"/>
      <x:c r="T24" s="59"/>
      <x:c r="U24" s="59"/>
      <x:c r="V24" s="59"/>
    </x:row>
    <x:row r="25">
      <x:c r="A25" s="3"/>
      <x:c r="B25" s="3"/>
      <x:c r="C25" s="3"/>
      <x:c r="D25" s="3"/>
      <x:c r="E25" s="3"/>
      <x:c r="F25" s="3"/>
      <x:c r="G25" s="3"/>
      <x:c r="H25" s="3"/>
      <x:c r="I25" s="3"/>
      <x:c r="J25" s="17" t="s">
        <x:v>45</x:v>
      </x:c>
      <x:c r="K25" s="22" t="n">
        <x:f>IFERROR(SUMIFS(WorkforceData[Success Flag],WorkforceData[Assignment Timing],J25)/COUNTIF(WorkforceData[Assignment Timing],J25),0)</x:f>
        <x:v>0.64</x:v>
      </x:c>
      <x:c r="L25" s="59"/>
      <x:c r="M25" s="59"/>
      <x:c r="N25" s="59"/>
      <x:c r="O25" s="59"/>
      <x:c r="P25" s="59"/>
      <x:c r="Q25" s="59"/>
      <x:c r="R25" s="59"/>
      <x:c r="S25" s="59"/>
      <x:c r="T25" s="59"/>
      <x:c r="U25" s="59"/>
      <x:c r="V25" s="59"/>
    </x:row>
    <x:row r="26">
      <x:c r="A26" s="3"/>
      <x:c r="B26" s="3"/>
      <x:c r="C26" s="3"/>
      <x:c r="D26" s="3"/>
      <x:c r="E26" s="3"/>
      <x:c r="F26" s="3"/>
      <x:c r="G26" s="3"/>
      <x:c r="H26" s="3"/>
      <x:c r="I26" s="3"/>
      <x:c r="J26" s="17" t="s">
        <x:v>46</x:v>
      </x:c>
      <x:c r="K26" s="22" t="n">
        <x:f>IFERROR(SUMIFS(WorkforceData[Success Flag],WorkforceData[Assignment Timing],J26)/COUNTIF(WorkforceData[Assignment Timing],J26),0)</x:f>
        <x:v>0.625</x:v>
      </x:c>
      <x:c r="L26" s="59"/>
      <x:c r="M26" s="59"/>
      <x:c r="N26" s="59"/>
      <x:c r="O26" s="59"/>
      <x:c r="P26" s="59"/>
      <x:c r="Q26" s="59"/>
      <x:c r="R26" s="59"/>
      <x:c r="S26" s="59"/>
      <x:c r="T26" s="59"/>
      <x:c r="U26" s="59"/>
      <x:c r="V26" s="59"/>
    </x:row>
    <x:row r="27">
      <x:c r="A27" s="3"/>
      <x:c r="B27" s="3"/>
      <x:c r="C27" s="3"/>
      <x:c r="D27" s="3"/>
      <x:c r="E27" s="3"/>
      <x:c r="F27" s="3"/>
      <x:c r="G27" s="3"/>
      <x:c r="H27" s="3"/>
      <x:c r="I27" s="3"/>
      <x:c r="J27" s="19" t="s">
        <x:v>47</x:v>
      </x:c>
      <x:c r="K27" s="23" t="n">
        <x:f>IFERROR(SUMIFS(WorkforceData[Success Flag],WorkforceData[Assignment Timing],J27)/COUNTIF(WorkforceData[Assignment Timing],J27),0)</x:f>
        <x:v>0.8472222222222222</x:v>
      </x:c>
      <x:c r="L27" s="59"/>
      <x:c r="M27" s="59"/>
      <x:c r="N27" s="59"/>
      <x:c r="O27" s="59"/>
      <x:c r="P27" s="59"/>
      <x:c r="Q27" s="59"/>
      <x:c r="R27" s="59"/>
      <x:c r="S27" s="59"/>
      <x:c r="T27" s="59"/>
      <x:c r="U27" s="59"/>
      <x:c r="V27" s="59"/>
    </x:row>
    <x:row r="28">
      <x:c r="A28" s="3"/>
      <x:c r="B28" s="3"/>
      <x:c r="C28" s="3"/>
      <x:c r="D28" s="3"/>
      <x:c r="E28" s="3"/>
      <x:c r="F28" s="3"/>
      <x:c r="G28" s="3"/>
      <x:c r="H28" s="3"/>
      <x:c r="I28" s="3"/>
      <x:c r="J28" s="3"/>
      <x:c r="K28" s="3"/>
      <x:c r="L28" s="59"/>
      <x:c r="M28" s="59"/>
      <x:c r="N28" s="59"/>
      <x:c r="O28" s="59"/>
      <x:c r="P28" s="59"/>
      <x:c r="Q28" s="59"/>
      <x:c r="R28" s="59"/>
      <x:c r="S28" s="59"/>
      <x:c r="T28" s="59"/>
      <x:c r="U28" s="59"/>
      <x:c r="V28" s="59"/>
    </x:row>
    <x:row r="29">
      <x:c r="A29" s="3"/>
      <x:c r="B29" s="3"/>
      <x:c r="C29" s="3"/>
      <x:c r="D29" s="3"/>
      <x:c r="E29" s="3"/>
      <x:c r="F29" s="3"/>
      <x:c r="G29" s="3"/>
      <x:c r="H29" s="3"/>
      <x:c r="I29" s="3"/>
      <x:c r="J29" s="3"/>
      <x:c r="K29" s="3"/>
      <x:c r="L29" s="59"/>
      <x:c r="M29" s="59"/>
      <x:c r="N29" s="59"/>
      <x:c r="O29" s="59"/>
      <x:c r="P29" s="59"/>
      <x:c r="Q29" s="59"/>
      <x:c r="R29" s="59"/>
      <x:c r="S29" s="59"/>
      <x:c r="T29" s="59"/>
      <x:c r="U29" s="59"/>
      <x:c r="V29" s="59"/>
    </x:row>
    <x:row r="30">
      <x:c r="A30" s="3"/>
      <x:c r="B30" s="3"/>
      <x:c r="C30" s="3"/>
      <x:c r="D30" s="3"/>
      <x:c r="E30" s="3"/>
      <x:c r="F30" s="3"/>
      <x:c r="G30" s="3"/>
      <x:c r="H30" s="3"/>
      <x:c r="I30" s="3"/>
      <x:c r="J30" s="3"/>
      <x:c r="K30" s="3"/>
      <x:c r="L30" s="59"/>
      <x:c r="M30" s="59"/>
      <x:c r="N30" s="59"/>
      <x:c r="O30" s="59"/>
      <x:c r="P30" s="59"/>
      <x:c r="Q30" s="59"/>
      <x:c r="R30" s="59"/>
      <x:c r="S30" s="59"/>
      <x:c r="T30" s="59"/>
      <x:c r="U30" s="59"/>
      <x:c r="V30" s="59"/>
    </x:row>
    <x:row r="31">
      <x:c r="A31" s="3"/>
      <x:c r="B31" s="3"/>
      <x:c r="C31" s="3"/>
      <x:c r="D31" s="3"/>
      <x:c r="E31" s="3"/>
      <x:c r="F31" s="3"/>
      <x:c r="G31" s="3"/>
      <x:c r="H31" s="3"/>
      <x:c r="I31" s="3"/>
      <x:c r="J31" s="3"/>
      <x:c r="K31" s="3"/>
      <x:c r="L31" s="59"/>
      <x:c r="M31" s="59"/>
      <x:c r="N31" s="59"/>
      <x:c r="O31" s="59"/>
      <x:c r="P31" s="59"/>
      <x:c r="Q31" s="59"/>
      <x:c r="R31" s="59"/>
      <x:c r="S31" s="59"/>
      <x:c r="T31" s="59"/>
      <x:c r="U31" s="59"/>
      <x:c r="V31" s="59"/>
    </x:row>
    <x:row r="32">
      <x:c r="A32" s="3"/>
      <x:c r="B32" s="3"/>
      <x:c r="C32" s="3"/>
      <x:c r="D32" s="3"/>
      <x:c r="E32" s="3"/>
      <x:c r="F32" s="3"/>
      <x:c r="G32" s="3"/>
      <x:c r="H32" s="3"/>
      <x:c r="I32" s="3"/>
      <x:c r="J32" s="3"/>
      <x:c r="K32" s="3"/>
      <x:c r="L32" s="59"/>
      <x:c r="M32" s="59"/>
      <x:c r="N32" s="59"/>
      <x:c r="O32" s="59"/>
      <x:c r="P32" s="59"/>
      <x:c r="Q32" s="59"/>
      <x:c r="R32" s="59"/>
      <x:c r="S32" s="59"/>
      <x:c r="T32" s="59"/>
      <x:c r="U32" s="59"/>
      <x:c r="V32" s="59"/>
    </x:row>
    <x:row r="33">
      <x:c r="A33" s="3"/>
      <x:c r="B33" s="3"/>
      <x:c r="C33" s="3"/>
      <x:c r="D33" s="3"/>
      <x:c r="E33" s="3"/>
      <x:c r="F33" s="3"/>
      <x:c r="G33" s="3"/>
      <x:c r="H33" s="3"/>
      <x:c r="I33" s="3"/>
      <x:c r="J33" s="3"/>
      <x:c r="K33" s="3"/>
      <x:c r="L33" s="59"/>
      <x:c r="M33" s="59"/>
      <x:c r="N33" s="59"/>
      <x:c r="O33" s="59"/>
      <x:c r="P33" s="59"/>
      <x:c r="Q33" s="59"/>
      <x:c r="R33" s="59"/>
      <x:c r="S33" s="59"/>
      <x:c r="T33" s="59"/>
      <x:c r="U33" s="59"/>
      <x:c r="V33" s="59"/>
    </x:row>
    <x:row r="34">
      <x:c r="A34" s="3"/>
      <x:c r="B34" s="3"/>
      <x:c r="C34" s="3"/>
      <x:c r="D34" s="3"/>
      <x:c r="E34" s="3"/>
      <x:c r="F34" s="3"/>
      <x:c r="G34" s="3"/>
      <x:c r="H34" s="3"/>
      <x:c r="I34" s="3"/>
      <x:c r="J34" s="3"/>
      <x:c r="K34" s="3"/>
      <x:c r="L34" s="59"/>
      <x:c r="M34" s="59"/>
      <x:c r="N34" s="59"/>
      <x:c r="O34" s="59"/>
      <x:c r="P34" s="59"/>
      <x:c r="Q34" s="59"/>
      <x:c r="R34" s="59"/>
      <x:c r="S34" s="59"/>
      <x:c r="T34" s="59"/>
      <x:c r="U34" s="59"/>
      <x:c r="V34" s="59"/>
    </x:row>
    <x:row r="35">
      <x:c r="A35" s="3"/>
      <x:c r="B35" s="3"/>
      <x:c r="C35" s="3"/>
      <x:c r="D35" s="3"/>
      <x:c r="E35" s="3"/>
      <x:c r="F35" s="3"/>
      <x:c r="G35" s="3"/>
      <x:c r="H35" s="3"/>
      <x:c r="I35" s="3"/>
      <x:c r="J35" s="3"/>
      <x:c r="K35" s="3"/>
      <x:c r="L35" s="59"/>
      <x:c r="M35" s="59"/>
      <x:c r="N35" s="59"/>
      <x:c r="O35" s="59"/>
      <x:c r="P35" s="59"/>
      <x:c r="Q35" s="59"/>
      <x:c r="R35" s="59"/>
      <x:c r="S35" s="59"/>
      <x:c r="T35" s="59"/>
      <x:c r="U35" s="59"/>
      <x:c r="V35" s="59"/>
    </x:row>
    <x:row r="36">
      <x:c r="A36" s="3"/>
      <x:c r="B36" s="3"/>
      <x:c r="C36" s="3"/>
      <x:c r="D36" s="3"/>
      <x:c r="E36" s="3"/>
      <x:c r="F36" s="3"/>
      <x:c r="G36" s="3"/>
      <x:c r="H36" s="3"/>
      <x:c r="I36" s="3"/>
      <x:c r="J36" s="3"/>
      <x:c r="K36" s="3"/>
      <x:c r="L36" s="59"/>
      <x:c r="M36" s="59"/>
      <x:c r="N36" s="59"/>
      <x:c r="O36" s="59"/>
      <x:c r="P36" s="59"/>
      <x:c r="Q36" s="59"/>
      <x:c r="R36" s="59"/>
      <x:c r="S36" s="59"/>
      <x:c r="T36" s="59"/>
      <x:c r="U36" s="59"/>
      <x:c r="V36" s="59"/>
    </x:row>
    <x:row r="37">
      <x:c r="A37" s="3"/>
      <x:c r="B37" s="3"/>
      <x:c r="C37" s="3"/>
      <x:c r="D37" s="3"/>
      <x:c r="E37" s="3"/>
      <x:c r="F37" s="3"/>
      <x:c r="G37" s="3"/>
      <x:c r="H37" s="3"/>
      <x:c r="I37" s="3"/>
      <x:c r="J37" s="3"/>
      <x:c r="K37" s="3"/>
      <x:c r="L37" s="59"/>
      <x:c r="M37" s="59"/>
      <x:c r="N37" s="59"/>
      <x:c r="O37" s="59"/>
      <x:c r="P37" s="59"/>
      <x:c r="Q37" s="59"/>
      <x:c r="R37" s="59"/>
      <x:c r="S37" s="59"/>
      <x:c r="T37" s="59"/>
      <x:c r="U37" s="59"/>
      <x:c r="V37" s="59"/>
    </x:row>
    <x:row r="38">
      <x:c r="A38" s="3"/>
      <x:c r="B38" s="3"/>
      <x:c r="C38" s="3"/>
      <x:c r="D38" s="3"/>
      <x:c r="E38" s="3"/>
      <x:c r="F38" s="3"/>
      <x:c r="G38" s="3"/>
      <x:c r="H38" s="3"/>
      <x:c r="I38" s="3"/>
      <x:c r="J38" s="3"/>
      <x:c r="K38" s="3"/>
      <x:c r="L38" s="59"/>
      <x:c r="M38" s="59"/>
      <x:c r="N38" s="59"/>
      <x:c r="O38" s="59"/>
      <x:c r="P38" s="59"/>
      <x:c r="Q38" s="59"/>
      <x:c r="R38" s="59"/>
      <x:c r="S38" s="59"/>
      <x:c r="T38" s="59"/>
      <x:c r="U38" s="59"/>
      <x:c r="V38" s="59"/>
    </x:row>
    <x:row r="39">
      <x:c r="A39" s="3"/>
      <x:c r="B39" s="3"/>
      <x:c r="C39" s="3"/>
      <x:c r="D39" s="3"/>
      <x:c r="E39" s="3"/>
      <x:c r="F39" s="3"/>
      <x:c r="G39" s="3"/>
      <x:c r="H39" s="3"/>
      <x:c r="I39" s="3"/>
      <x:c r="J39" s="3"/>
      <x:c r="K39" s="3"/>
      <x:c r="L39" s="59"/>
      <x:c r="M39" s="59"/>
      <x:c r="N39" s="59"/>
      <x:c r="O39" s="59"/>
      <x:c r="P39" s="59"/>
      <x:c r="Q39" s="59"/>
      <x:c r="R39" s="59"/>
      <x:c r="S39" s="59"/>
      <x:c r="T39" s="59"/>
      <x:c r="U39" s="59"/>
      <x:c r="V39" s="59"/>
    </x:row>
    <x:row r="40">
      <x:c r="A40" s="3"/>
      <x:c r="B40" s="3"/>
      <x:c r="C40" s="3"/>
      <x:c r="D40" s="3"/>
      <x:c r="E40" s="3"/>
      <x:c r="F40" s="3"/>
      <x:c r="G40" s="3"/>
      <x:c r="H40" s="3"/>
      <x:c r="I40" s="3"/>
      <x:c r="J40" s="3"/>
      <x:c r="K40" s="3"/>
      <x:c r="L40" s="59"/>
      <x:c r="M40" s="59"/>
      <x:c r="N40" s="59"/>
      <x:c r="O40" s="59"/>
      <x:c r="P40" s="59"/>
      <x:c r="Q40" s="59"/>
      <x:c r="R40" s="59"/>
      <x:c r="S40" s="59"/>
      <x:c r="T40" s="59"/>
      <x:c r="U40" s="59"/>
      <x:c r="V40" s="59"/>
    </x:row>
    <x:row r="41">
      <x:c r="A41" s="3"/>
      <x:c r="B41" s="3"/>
      <x:c r="C41" s="3"/>
      <x:c r="D41" s="3"/>
      <x:c r="E41" s="3"/>
      <x:c r="F41" s="3"/>
      <x:c r="G41" s="3"/>
      <x:c r="H41" s="3"/>
      <x:c r="I41" s="3"/>
      <x:c r="J41" s="3"/>
      <x:c r="K41" s="3"/>
      <x:c r="L41" s="59"/>
      <x:c r="M41" s="59"/>
      <x:c r="N41" s="59"/>
      <x:c r="O41" s="59"/>
      <x:c r="P41" s="59"/>
      <x:c r="Q41" s="59"/>
      <x:c r="R41" s="59"/>
      <x:c r="S41" s="59"/>
      <x:c r="T41" s="59"/>
      <x:c r="U41" s="59"/>
      <x:c r="V41" s="59"/>
    </x:row>
    <x:row r="42">
      <x:c r="A42" s="3"/>
      <x:c r="B42" s="3"/>
      <x:c r="C42" s="3"/>
      <x:c r="D42" s="3"/>
      <x:c r="E42" s="3"/>
      <x:c r="F42" s="3"/>
      <x:c r="G42" s="3"/>
      <x:c r="H42" s="3"/>
      <x:c r="I42" s="3"/>
      <x:c r="J42" s="3"/>
      <x:c r="K42" s="3"/>
      <x:c r="L42" s="59"/>
      <x:c r="M42" s="59"/>
      <x:c r="N42" s="59"/>
      <x:c r="O42" s="59"/>
      <x:c r="P42" s="59"/>
      <x:c r="Q42" s="59"/>
      <x:c r="R42" s="59"/>
      <x:c r="S42" s="59"/>
      <x:c r="T42" s="59"/>
      <x:c r="U42" s="59"/>
      <x:c r="V42" s="59"/>
    </x:row>
    <x:row r="43">
      <x:c r="A43" s="3"/>
      <x:c r="B43" s="3"/>
      <x:c r="C43" s="3"/>
      <x:c r="D43" s="3"/>
      <x:c r="E43" s="3"/>
      <x:c r="F43" s="3"/>
      <x:c r="G43" s="3"/>
      <x:c r="H43" s="3"/>
      <x:c r="I43" s="3"/>
      <x:c r="J43" s="3"/>
      <x:c r="K43" s="3"/>
      <x:c r="L43" s="59"/>
      <x:c r="M43" s="59"/>
      <x:c r="N43" s="59"/>
      <x:c r="O43" s="59"/>
      <x:c r="P43" s="59"/>
      <x:c r="Q43" s="59"/>
      <x:c r="R43" s="59"/>
      <x:c r="S43" s="59"/>
      <x:c r="T43" s="59"/>
      <x:c r="U43" s="59"/>
      <x:c r="V43" s="59"/>
    </x:row>
    <x:row r="44">
      <x:c r="A44" s="3"/>
      <x:c r="B44" s="3"/>
      <x:c r="C44" s="3"/>
      <x:c r="D44" s="3"/>
      <x:c r="E44" s="3"/>
      <x:c r="F44" s="3"/>
      <x:c r="G44" s="3"/>
      <x:c r="H44" s="3"/>
      <x:c r="I44" s="3"/>
      <x:c r="J44" s="3"/>
      <x:c r="K44" s="3"/>
      <x:c r="L44" s="59"/>
      <x:c r="M44" s="59"/>
      <x:c r="N44" s="59"/>
      <x:c r="O44" s="59"/>
      <x:c r="P44" s="59"/>
      <x:c r="Q44" s="59"/>
      <x:c r="R44" s="59"/>
      <x:c r="S44" s="59"/>
      <x:c r="T44" s="59"/>
      <x:c r="U44" s="59"/>
      <x:c r="V44" s="59"/>
    </x:row>
    <x:row r="45">
      <x:c r="A45" s="3"/>
      <x:c r="B45" s="3"/>
      <x:c r="C45" s="3"/>
      <x:c r="D45" s="3"/>
      <x:c r="E45" s="3"/>
      <x:c r="F45" s="3"/>
      <x:c r="G45" s="3"/>
      <x:c r="H45" s="3"/>
      <x:c r="I45" s="3"/>
      <x:c r="J45" s="3"/>
      <x:c r="K45" s="3"/>
      <x:c r="L45" s="59"/>
      <x:c r="M45" s="59"/>
      <x:c r="N45" s="59"/>
      <x:c r="O45" s="59"/>
      <x:c r="P45" s="59"/>
      <x:c r="Q45" s="59"/>
      <x:c r="R45" s="59"/>
      <x:c r="S45" s="59"/>
      <x:c r="T45" s="59"/>
      <x:c r="U45" s="59"/>
      <x:c r="V45" s="59"/>
    </x:row>
    <x:row r="46">
      <x:c r="A46" s="3"/>
      <x:c r="B46" s="3"/>
      <x:c r="C46" s="3"/>
      <x:c r="D46" s="3"/>
      <x:c r="E46" s="3"/>
      <x:c r="F46" s="3"/>
      <x:c r="G46" s="3"/>
      <x:c r="H46" s="3"/>
      <x:c r="I46" s="3"/>
      <x:c r="J46" s="3"/>
      <x:c r="K46" s="3"/>
      <x:c r="L46" s="59"/>
      <x:c r="M46" s="59"/>
      <x:c r="N46" s="59"/>
      <x:c r="O46" s="59"/>
      <x:c r="P46" s="59"/>
      <x:c r="Q46" s="59"/>
      <x:c r="R46" s="59"/>
      <x:c r="S46" s="59"/>
      <x:c r="T46" s="59"/>
      <x:c r="U46" s="59"/>
      <x:c r="V46" s="59"/>
    </x:row>
    <x:row r="47">
      <x:c r="A47" s="11" t="s">
        <x:v>48</x:v>
      </x:c>
      <x:c r="B47" s="11"/>
      <x:c r="C47" s="11"/>
      <x:c r="D47" s="24" t="str">
        <x:f>_xlfn.XLOOKUP(MAX('Recruiter Analysis'!G6:G13),'Recruiter Analysis'!G6:G13,'Recruiter Analysis'!A6:A13)</x:f>
        <x:v>Recruiter B</x:v>
      </x:c>
      <x:c r="E47" s="24"/>
      <x:c r="F47" s="11" t="s">
        <x:v>49</x:v>
      </x:c>
      <x:c r="G47" s="11"/>
      <x:c r="H47" s="24" t="str">
        <x:f>_xlfn.XLOOKUP(MAX('Destination Analysis'!G6:G10),'Destination Analysis'!G6:G10,'Destination Analysis'!A6:A10)</x:f>
        <x:v>Region B</x:v>
      </x:c>
      <x:c r="I47" s="24"/>
      <x:c r="J47" s="3"/>
      <x:c r="K47" s="3"/>
      <x:c r="L47" s="59"/>
      <x:c r="M47" s="59"/>
      <x:c r="N47" s="59"/>
      <x:c r="O47" s="59"/>
      <x:c r="P47" s="59"/>
      <x:c r="Q47" s="59"/>
      <x:c r="R47" s="59"/>
      <x:c r="S47" s="59"/>
      <x:c r="T47" s="59"/>
      <x:c r="U47" s="59"/>
      <x:c r="V47" s="59"/>
    </x:row>
    <x:row r="48">
      <x:c r="A48" s="59"/>
      <x:c r="B48" s="59"/>
      <x:c r="C48" s="59"/>
      <x:c r="D48" s="59"/>
      <x:c r="E48" s="59"/>
      <x:c r="F48" s="59"/>
      <x:c r="G48" s="59"/>
      <x:c r="H48" s="59"/>
      <x:c r="I48" s="59"/>
      <x:c r="J48" s="59"/>
      <x:c r="K48" s="59"/>
      <x:c r="L48" s="59"/>
      <x:c r="M48" s="59"/>
      <x:c r="N48" s="59"/>
      <x:c r="O48" s="59"/>
      <x:c r="P48" s="59"/>
      <x:c r="Q48" s="59"/>
      <x:c r="R48" s="59"/>
      <x:c r="S48" s="59"/>
      <x:c r="T48" s="59"/>
      <x:c r="U48" s="59"/>
      <x:c r="V48" s="59"/>
    </x:row>
    <x:row r="49">
      <x:c r="A49" s="59"/>
      <x:c r="B49" s="59"/>
      <x:c r="C49" s="59"/>
      <x:c r="D49" s="59"/>
      <x:c r="E49" s="59"/>
      <x:c r="F49" s="59"/>
      <x:c r="G49" s="59"/>
      <x:c r="H49" s="59"/>
      <x:c r="I49" s="59"/>
      <x:c r="J49" s="59"/>
      <x:c r="K49" s="59"/>
      <x:c r="L49" s="59"/>
      <x:c r="M49" s="59"/>
      <x:c r="N49" s="59"/>
      <x:c r="O49" s="59"/>
      <x:c r="P49" s="59"/>
      <x:c r="Q49" s="59"/>
      <x:c r="R49" s="59"/>
      <x:c r="S49" s="59"/>
      <x:c r="T49" s="59"/>
      <x:c r="U49" s="59"/>
      <x:c r="V49" s="59"/>
    </x:row>
    <x:row r="50">
      <x:c r="A50" s="59"/>
      <x:c r="B50" s="59"/>
      <x:c r="C50" s="59"/>
      <x:c r="D50" s="59"/>
      <x:c r="E50" s="59"/>
      <x:c r="F50" s="59"/>
      <x:c r="G50" s="59"/>
      <x:c r="H50" s="59"/>
      <x:c r="I50" s="59"/>
      <x:c r="J50" s="59"/>
      <x:c r="K50" s="59"/>
      <x:c r="L50" s="59"/>
      <x:c r="M50" s="59"/>
      <x:c r="N50" s="59"/>
      <x:c r="O50" s="59"/>
      <x:c r="P50" s="59"/>
      <x:c r="Q50" s="59"/>
      <x:c r="R50" s="59"/>
      <x:c r="S50" s="59"/>
      <x:c r="T50" s="59"/>
      <x:c r="U50" s="59"/>
      <x:c r="V50" s="59"/>
    </x:row>
    <x:row r="51">
      <x:c r="A51" s="59"/>
      <x:c r="B51" s="59"/>
      <x:c r="C51" s="59"/>
      <x:c r="D51" s="59"/>
      <x:c r="E51" s="59"/>
      <x:c r="F51" s="59"/>
      <x:c r="G51" s="59"/>
      <x:c r="H51" s="59"/>
      <x:c r="I51" s="59"/>
      <x:c r="J51" s="59"/>
      <x:c r="K51" s="59"/>
      <x:c r="L51" s="59"/>
      <x:c r="M51" s="59"/>
      <x:c r="N51" s="59"/>
      <x:c r="O51" s="59"/>
      <x:c r="P51" s="59"/>
      <x:c r="Q51" s="59"/>
      <x:c r="R51" s="59"/>
      <x:c r="S51" s="59"/>
      <x:c r="T51" s="59"/>
      <x:c r="U51" s="59"/>
      <x:c r="V51" s="59"/>
    </x:row>
    <x:row r="52">
      <x:c r="A52" s="59"/>
      <x:c r="B52" s="59"/>
      <x:c r="C52" s="59"/>
      <x:c r="D52" s="59"/>
      <x:c r="E52" s="59"/>
      <x:c r="F52" s="59"/>
      <x:c r="G52" s="59"/>
      <x:c r="H52" s="59"/>
      <x:c r="I52" s="59"/>
      <x:c r="J52" s="59"/>
      <x:c r="K52" s="59"/>
      <x:c r="L52" s="59"/>
      <x:c r="M52" s="59"/>
      <x:c r="N52" s="59"/>
      <x:c r="O52" s="59"/>
      <x:c r="P52" s="59"/>
      <x:c r="Q52" s="59"/>
      <x:c r="R52" s="59"/>
      <x:c r="S52" s="59"/>
      <x:c r="T52" s="59"/>
      <x:c r="U52" s="59"/>
      <x:c r="V52" s="59"/>
    </x:row>
    <x:row r="53">
      <x:c r="A53" s="59"/>
      <x:c r="B53" s="59"/>
      <x:c r="C53" s="59"/>
      <x:c r="D53" s="59"/>
      <x:c r="E53" s="59"/>
      <x:c r="F53" s="59"/>
      <x:c r="G53" s="59"/>
      <x:c r="H53" s="59"/>
      <x:c r="I53" s="59"/>
      <x:c r="J53" s="59"/>
      <x:c r="K53" s="59"/>
      <x:c r="L53" s="59"/>
      <x:c r="M53" s="59"/>
      <x:c r="N53" s="59"/>
      <x:c r="O53" s="59"/>
      <x:c r="P53" s="59"/>
      <x:c r="Q53" s="59"/>
      <x:c r="R53" s="59"/>
      <x:c r="S53" s="59"/>
      <x:c r="T53" s="59"/>
      <x:c r="U53" s="59"/>
      <x:c r="V53" s="59"/>
    </x:row>
    <x:row r="54">
      <x:c r="A54" s="59"/>
      <x:c r="B54" s="59"/>
      <x:c r="C54" s="59"/>
      <x:c r="D54" s="59"/>
      <x:c r="E54" s="59"/>
      <x:c r="F54" s="59"/>
      <x:c r="G54" s="59"/>
      <x:c r="H54" s="59"/>
      <x:c r="I54" s="59"/>
      <x:c r="J54" s="59"/>
      <x:c r="K54" s="59"/>
      <x:c r="L54" s="59"/>
      <x:c r="M54" s="59"/>
      <x:c r="N54" s="59"/>
      <x:c r="O54" s="59"/>
      <x:c r="P54" s="59"/>
      <x:c r="Q54" s="59"/>
      <x:c r="R54" s="59"/>
      <x:c r="S54" s="59"/>
      <x:c r="T54" s="59"/>
      <x:c r="U54" s="59"/>
      <x:c r="V54" s="59"/>
    </x:row>
    <x:row r="55">
      <x:c r="A55" s="59"/>
      <x:c r="B55" s="59"/>
      <x:c r="C55" s="59"/>
      <x:c r="D55" s="59"/>
      <x:c r="E55" s="59"/>
      <x:c r="F55" s="59"/>
      <x:c r="G55" s="59"/>
      <x:c r="H55" s="59"/>
      <x:c r="I55" s="59"/>
      <x:c r="J55" s="59"/>
      <x:c r="K55" s="59"/>
      <x:c r="L55" s="59"/>
      <x:c r="M55" s="59"/>
      <x:c r="N55" s="59"/>
      <x:c r="O55" s="59"/>
      <x:c r="P55" s="59"/>
      <x:c r="Q55" s="59"/>
      <x:c r="R55" s="59"/>
      <x:c r="S55" s="59"/>
      <x:c r="T55" s="59"/>
      <x:c r="U55" s="59"/>
      <x:c r="V55" s="59"/>
    </x:row>
    <x:row r="56">
      <x:c r="A56" s="59"/>
      <x:c r="B56" s="59"/>
      <x:c r="C56" s="59"/>
      <x:c r="D56" s="59"/>
      <x:c r="E56" s="59"/>
      <x:c r="F56" s="59"/>
      <x:c r="G56" s="59"/>
      <x:c r="H56" s="59"/>
      <x:c r="I56" s="59"/>
      <x:c r="J56" s="59"/>
      <x:c r="K56" s="59"/>
      <x:c r="L56" s="59"/>
      <x:c r="M56" s="59"/>
      <x:c r="N56" s="59"/>
      <x:c r="O56" s="59"/>
      <x:c r="P56" s="59"/>
      <x:c r="Q56" s="59"/>
      <x:c r="R56" s="59"/>
      <x:c r="S56" s="59"/>
      <x:c r="T56" s="59"/>
      <x:c r="U56" s="59"/>
      <x:c r="V56" s="59"/>
    </x:row>
    <x:row r="57">
      <x:c r="A57" s="59"/>
      <x:c r="B57" s="59"/>
      <x:c r="C57" s="59"/>
      <x:c r="D57" s="59"/>
      <x:c r="E57" s="59"/>
      <x:c r="F57" s="59"/>
      <x:c r="G57" s="59"/>
      <x:c r="H57" s="59"/>
      <x:c r="I57" s="59"/>
      <x:c r="J57" s="59"/>
      <x:c r="K57" s="59"/>
      <x:c r="L57" s="59"/>
      <x:c r="M57" s="59"/>
      <x:c r="N57" s="59"/>
      <x:c r="O57" s="59"/>
      <x:c r="P57" s="59"/>
      <x:c r="Q57" s="59"/>
      <x:c r="R57" s="59"/>
      <x:c r="S57" s="59"/>
      <x:c r="T57" s="59"/>
      <x:c r="U57" s="59"/>
      <x:c r="V57" s="59"/>
    </x:row>
    <x:row r="58">
      <x:c r="A58" s="59"/>
      <x:c r="B58" s="59"/>
      <x:c r="C58" s="59"/>
      <x:c r="D58" s="59"/>
      <x:c r="E58" s="59"/>
      <x:c r="F58" s="59"/>
      <x:c r="G58" s="59"/>
      <x:c r="H58" s="59"/>
      <x:c r="I58" s="59"/>
      <x:c r="J58" s="59"/>
      <x:c r="K58" s="59"/>
      <x:c r="L58" s="59"/>
      <x:c r="M58" s="59"/>
      <x:c r="N58" s="59"/>
      <x:c r="O58" s="59"/>
      <x:c r="P58" s="59"/>
      <x:c r="Q58" s="59"/>
      <x:c r="R58" s="59"/>
      <x:c r="S58" s="59"/>
      <x:c r="T58" s="59"/>
      <x:c r="U58" s="59"/>
      <x:c r="V58" s="59"/>
    </x:row>
    <x:row r="59">
      <x:c r="A59" s="59"/>
      <x:c r="B59" s="59"/>
      <x:c r="C59" s="59"/>
      <x:c r="D59" s="59"/>
      <x:c r="E59" s="59"/>
      <x:c r="F59" s="59"/>
      <x:c r="G59" s="59"/>
      <x:c r="H59" s="59"/>
      <x:c r="I59" s="59"/>
      <x:c r="J59" s="59"/>
      <x:c r="K59" s="59"/>
      <x:c r="L59" s="59"/>
      <x:c r="M59" s="59"/>
      <x:c r="N59" s="59"/>
      <x:c r="O59" s="59"/>
      <x:c r="P59" s="59"/>
      <x:c r="Q59" s="59"/>
      <x:c r="R59" s="59"/>
      <x:c r="S59" s="59"/>
      <x:c r="T59" s="59"/>
      <x:c r="U59" s="59"/>
      <x:c r="V59" s="59"/>
    </x:row>
    <x:row r="60">
      <x:c r="A60" s="59"/>
      <x:c r="B60" s="59"/>
      <x:c r="C60" s="59"/>
      <x:c r="D60" s="59"/>
      <x:c r="E60" s="59"/>
      <x:c r="F60" s="59"/>
      <x:c r="G60" s="59"/>
      <x:c r="H60" s="59"/>
      <x:c r="I60" s="59"/>
      <x:c r="J60" s="59"/>
      <x:c r="K60" s="59"/>
      <x:c r="L60" s="59"/>
      <x:c r="M60" s="59"/>
      <x:c r="N60" s="59"/>
      <x:c r="O60" s="59"/>
      <x:c r="P60" s="59"/>
      <x:c r="Q60" s="59"/>
      <x:c r="R60" s="59"/>
      <x:c r="S60" s="59"/>
      <x:c r="T60" s="59"/>
      <x:c r="U60" s="59"/>
      <x:c r="V60" s="59"/>
    </x:row>
    <x:row r="61">
      <x:c r="A61" s="59"/>
      <x:c r="B61" s="59"/>
      <x:c r="C61" s="59"/>
      <x:c r="D61" s="59"/>
      <x:c r="E61" s="59"/>
      <x:c r="F61" s="59"/>
      <x:c r="G61" s="59"/>
      <x:c r="H61" s="59"/>
      <x:c r="I61" s="59"/>
      <x:c r="J61" s="59"/>
      <x:c r="K61" s="59"/>
      <x:c r="L61" s="59"/>
      <x:c r="M61" s="59"/>
      <x:c r="N61" s="59"/>
      <x:c r="O61" s="59"/>
      <x:c r="P61" s="59"/>
      <x:c r="Q61" s="59"/>
      <x:c r="R61" s="59"/>
      <x:c r="S61" s="59"/>
      <x:c r="T61" s="59"/>
      <x:c r="U61" s="59"/>
      <x:c r="V61" s="59"/>
    </x:row>
    <x:row r="62">
      <x:c r="A62" s="59"/>
      <x:c r="B62" s="59"/>
      <x:c r="C62" s="59"/>
      <x:c r="D62" s="59"/>
      <x:c r="E62" s="59"/>
      <x:c r="F62" s="59"/>
      <x:c r="G62" s="59"/>
      <x:c r="H62" s="59"/>
      <x:c r="I62" s="59"/>
      <x:c r="J62" s="59"/>
      <x:c r="K62" s="59"/>
      <x:c r="L62" s="59"/>
      <x:c r="M62" s="59"/>
      <x:c r="N62" s="59"/>
      <x:c r="O62" s="59"/>
      <x:c r="P62" s="59"/>
      <x:c r="Q62" s="59"/>
      <x:c r="R62" s="59"/>
      <x:c r="S62" s="59"/>
      <x:c r="T62" s="59"/>
      <x:c r="U62" s="59"/>
      <x:c r="V62" s="59"/>
    </x:row>
    <x:row r="63">
      <x:c r="A63" s="59"/>
      <x:c r="B63" s="59"/>
      <x:c r="C63" s="59"/>
      <x:c r="D63" s="59"/>
      <x:c r="E63" s="59"/>
      <x:c r="F63" s="59"/>
      <x:c r="G63" s="59"/>
      <x:c r="H63" s="59"/>
      <x:c r="I63" s="59"/>
      <x:c r="J63" s="59"/>
      <x:c r="K63" s="59"/>
      <x:c r="L63" s="59"/>
      <x:c r="M63" s="59"/>
      <x:c r="N63" s="59"/>
      <x:c r="O63" s="59"/>
      <x:c r="P63" s="59"/>
      <x:c r="Q63" s="59"/>
      <x:c r="R63" s="59"/>
      <x:c r="S63" s="59"/>
      <x:c r="T63" s="59"/>
      <x:c r="U63" s="59"/>
      <x:c r="V63" s="59"/>
    </x:row>
    <x:row r="64">
      <x:c r="A64" s="59"/>
      <x:c r="B64" s="59"/>
      <x:c r="C64" s="59"/>
      <x:c r="D64" s="59"/>
      <x:c r="E64" s="59"/>
      <x:c r="F64" s="59"/>
      <x:c r="G64" s="59"/>
      <x:c r="H64" s="59"/>
      <x:c r="I64" s="59"/>
      <x:c r="J64" s="59"/>
      <x:c r="K64" s="59"/>
      <x:c r="L64" s="59"/>
      <x:c r="M64" s="59"/>
      <x:c r="N64" s="59"/>
      <x:c r="O64" s="59"/>
      <x:c r="P64" s="59"/>
      <x:c r="Q64" s="59"/>
      <x:c r="R64" s="59"/>
      <x:c r="S64" s="59"/>
      <x:c r="T64" s="59"/>
      <x:c r="U64" s="59"/>
      <x:c r="V64" s="59"/>
    </x:row>
    <x:row r="65">
      <x:c r="A65" s="59"/>
      <x:c r="B65" s="59"/>
      <x:c r="C65" s="59"/>
      <x:c r="D65" s="59"/>
      <x:c r="E65" s="59"/>
      <x:c r="F65" s="59"/>
      <x:c r="G65" s="59"/>
      <x:c r="H65" s="59"/>
      <x:c r="I65" s="59"/>
      <x:c r="J65" s="59"/>
      <x:c r="K65" s="59"/>
      <x:c r="L65" s="59"/>
      <x:c r="M65" s="59"/>
      <x:c r="N65" s="59"/>
      <x:c r="O65" s="59"/>
      <x:c r="P65" s="59"/>
      <x:c r="Q65" s="59"/>
      <x:c r="R65" s="59"/>
      <x:c r="S65" s="59"/>
      <x:c r="T65" s="59"/>
      <x:c r="U65" s="59"/>
      <x:c r="V65" s="59"/>
    </x:row>
    <x:row r="66">
      <x:c r="A66" s="59"/>
      <x:c r="B66" s="59"/>
      <x:c r="C66" s="59"/>
      <x:c r="D66" s="59"/>
      <x:c r="E66" s="59"/>
      <x:c r="F66" s="59"/>
      <x:c r="G66" s="59"/>
      <x:c r="H66" s="59"/>
      <x:c r="I66" s="59"/>
      <x:c r="J66" s="59"/>
      <x:c r="K66" s="59"/>
      <x:c r="L66" s="59"/>
      <x:c r="M66" s="59"/>
      <x:c r="N66" s="59"/>
      <x:c r="O66" s="59"/>
      <x:c r="P66" s="59"/>
      <x:c r="Q66" s="59"/>
      <x:c r="R66" s="59"/>
      <x:c r="S66" s="59"/>
      <x:c r="T66" s="59"/>
      <x:c r="U66" s="59"/>
      <x:c r="V66" s="59"/>
    </x:row>
    <x:row r="67">
      <x:c r="A67" s="59"/>
      <x:c r="B67" s="59"/>
      <x:c r="C67" s="59"/>
      <x:c r="D67" s="59"/>
      <x:c r="E67" s="59"/>
      <x:c r="F67" s="59"/>
      <x:c r="G67" s="59"/>
      <x:c r="H67" s="59"/>
      <x:c r="I67" s="59"/>
      <x:c r="J67" s="59"/>
      <x:c r="K67" s="59"/>
      <x:c r="L67" s="59"/>
      <x:c r="M67" s="59"/>
      <x:c r="N67" s="59"/>
      <x:c r="O67" s="59"/>
      <x:c r="P67" s="59"/>
      <x:c r="Q67" s="59"/>
      <x:c r="R67" s="59"/>
      <x:c r="S67" s="59"/>
      <x:c r="T67" s="59"/>
      <x:c r="U67" s="59"/>
      <x:c r="V67" s="59"/>
    </x:row>
    <x:row r="68">
      <x:c r="A68" s="59"/>
      <x:c r="B68" s="59"/>
      <x:c r="C68" s="59"/>
      <x:c r="D68" s="59"/>
      <x:c r="E68" s="59"/>
      <x:c r="F68" s="59"/>
      <x:c r="G68" s="59"/>
      <x:c r="H68" s="59"/>
      <x:c r="I68" s="59"/>
      <x:c r="J68" s="59"/>
      <x:c r="K68" s="59"/>
      <x:c r="L68" s="59"/>
      <x:c r="M68" s="59"/>
      <x:c r="N68" s="59"/>
      <x:c r="O68" s="59"/>
      <x:c r="P68" s="59"/>
      <x:c r="Q68" s="59"/>
      <x:c r="R68" s="59"/>
      <x:c r="S68" s="59"/>
      <x:c r="T68" s="59"/>
      <x:c r="U68" s="59"/>
      <x:c r="V68" s="59"/>
    </x:row>
    <x:row r="69">
      <x:c r="A69" s="59"/>
      <x:c r="B69" s="59"/>
      <x:c r="C69" s="59"/>
      <x:c r="D69" s="59"/>
      <x:c r="E69" s="59"/>
      <x:c r="F69" s="59"/>
      <x:c r="G69" s="59"/>
      <x:c r="H69" s="59"/>
      <x:c r="I69" s="59"/>
      <x:c r="J69" s="59"/>
      <x:c r="K69" s="59"/>
      <x:c r="L69" s="59"/>
      <x:c r="M69" s="59"/>
      <x:c r="N69" s="59"/>
      <x:c r="O69" s="59"/>
      <x:c r="P69" s="59"/>
      <x:c r="Q69" s="59"/>
      <x:c r="R69" s="59"/>
      <x:c r="S69" s="59"/>
      <x:c r="T69" s="59"/>
      <x:c r="U69" s="59"/>
      <x:c r="V69" s="59"/>
    </x:row>
    <x:row r="70">
      <x:c r="A70" s="59"/>
      <x:c r="B70" s="59"/>
      <x:c r="C70" s="59"/>
      <x:c r="D70" s="59"/>
      <x:c r="E70" s="59"/>
      <x:c r="F70" s="59"/>
      <x:c r="G70" s="59"/>
      <x:c r="H70" s="59"/>
      <x:c r="I70" s="59"/>
      <x:c r="J70" s="59"/>
      <x:c r="K70" s="59"/>
      <x:c r="L70" s="59"/>
      <x:c r="M70" s="59"/>
      <x:c r="N70" s="59"/>
      <x:c r="O70" s="59"/>
      <x:c r="P70" s="59"/>
      <x:c r="Q70" s="59"/>
      <x:c r="R70" s="59"/>
      <x:c r="S70" s="59"/>
      <x:c r="T70" s="59"/>
      <x:c r="U70" s="59"/>
      <x:c r="V70" s="59"/>
    </x:row>
    <x:row r="71">
      <x:c r="A71" s="59"/>
      <x:c r="B71" s="59"/>
      <x:c r="C71" s="59"/>
      <x:c r="D71" s="59"/>
      <x:c r="E71" s="59"/>
      <x:c r="F71" s="59"/>
      <x:c r="G71" s="59"/>
      <x:c r="H71" s="59"/>
      <x:c r="I71" s="59"/>
      <x:c r="J71" s="59"/>
      <x:c r="K71" s="59"/>
      <x:c r="L71" s="59"/>
      <x:c r="M71" s="59"/>
      <x:c r="N71" s="59"/>
      <x:c r="O71" s="59"/>
      <x:c r="P71" s="59"/>
      <x:c r="Q71" s="59"/>
      <x:c r="R71" s="59"/>
      <x:c r="S71" s="59"/>
      <x:c r="T71" s="59"/>
      <x:c r="U71" s="59"/>
      <x:c r="V71" s="59"/>
    </x:row>
    <x:row r="72">
      <x:c r="A72" s="59"/>
      <x:c r="B72" s="59"/>
      <x:c r="C72" s="59"/>
      <x:c r="D72" s="59"/>
      <x:c r="E72" s="59"/>
      <x:c r="F72" s="59"/>
      <x:c r="G72" s="59"/>
      <x:c r="H72" s="59"/>
      <x:c r="I72" s="59"/>
      <x:c r="J72" s="59"/>
      <x:c r="K72" s="59"/>
      <x:c r="L72" s="59"/>
      <x:c r="M72" s="59"/>
      <x:c r="N72" s="59"/>
      <x:c r="O72" s="59"/>
      <x:c r="P72" s="59"/>
      <x:c r="Q72" s="59"/>
      <x:c r="R72" s="59"/>
      <x:c r="S72" s="59"/>
      <x:c r="T72" s="59"/>
      <x:c r="U72" s="59"/>
      <x:c r="V72" s="59"/>
    </x:row>
    <x:row r="73">
      <x:c r="A73" s="59"/>
      <x:c r="B73" s="59"/>
      <x:c r="C73" s="59"/>
      <x:c r="D73" s="59"/>
      <x:c r="E73" s="59"/>
      <x:c r="F73" s="59"/>
      <x:c r="G73" s="59"/>
      <x:c r="H73" s="59"/>
      <x:c r="I73" s="59"/>
      <x:c r="J73" s="59"/>
      <x:c r="K73" s="59"/>
      <x:c r="L73" s="59"/>
      <x:c r="M73" s="59"/>
      <x:c r="N73" s="59"/>
      <x:c r="O73" s="59"/>
      <x:c r="P73" s="59"/>
      <x:c r="Q73" s="59"/>
      <x:c r="R73" s="59"/>
      <x:c r="S73" s="59"/>
      <x:c r="T73" s="59"/>
      <x:c r="U73" s="59"/>
      <x:c r="V73" s="59"/>
    </x:row>
    <x:row r="74">
      <x:c r="A74" s="59"/>
      <x:c r="B74" s="59"/>
      <x:c r="C74" s="59"/>
      <x:c r="D74" s="59"/>
      <x:c r="E74" s="59"/>
      <x:c r="F74" s="59"/>
      <x:c r="G74" s="59"/>
      <x:c r="H74" s="59"/>
      <x:c r="I74" s="59"/>
      <x:c r="J74" s="59"/>
      <x:c r="K74" s="59"/>
      <x:c r="L74" s="59"/>
      <x:c r="M74" s="59"/>
      <x:c r="N74" s="59"/>
      <x:c r="O74" s="59"/>
      <x:c r="P74" s="59"/>
      <x:c r="Q74" s="59"/>
      <x:c r="R74" s="59"/>
      <x:c r="S74" s="59"/>
      <x:c r="T74" s="59"/>
      <x:c r="U74" s="59"/>
      <x:c r="V74" s="59"/>
    </x:row>
    <x:row r="75">
      <x:c r="A75" s="59"/>
      <x:c r="B75" s="59"/>
      <x:c r="C75" s="59"/>
      <x:c r="D75" s="59"/>
      <x:c r="E75" s="59"/>
      <x:c r="F75" s="59"/>
      <x:c r="G75" s="59"/>
      <x:c r="H75" s="59"/>
      <x:c r="I75" s="59"/>
      <x:c r="J75" s="59"/>
      <x:c r="K75" s="59"/>
      <x:c r="L75" s="59"/>
      <x:c r="M75" s="59"/>
      <x:c r="N75" s="59"/>
      <x:c r="O75" s="59"/>
      <x:c r="P75" s="59"/>
      <x:c r="Q75" s="59"/>
      <x:c r="R75" s="59"/>
      <x:c r="S75" s="59"/>
      <x:c r="T75" s="59"/>
      <x:c r="U75" s="59"/>
      <x:c r="V75" s="59"/>
    </x:row>
    <x:row r="76">
      <x:c r="A76" s="59"/>
      <x:c r="B76" s="59"/>
      <x:c r="C76" s="59"/>
      <x:c r="D76" s="59"/>
      <x:c r="E76" s="59"/>
      <x:c r="F76" s="59"/>
      <x:c r="G76" s="59"/>
      <x:c r="H76" s="59"/>
      <x:c r="I76" s="59"/>
      <x:c r="J76" s="59"/>
      <x:c r="K76" s="59"/>
      <x:c r="L76" s="59"/>
      <x:c r="M76" s="59"/>
      <x:c r="N76" s="59"/>
      <x:c r="O76" s="59"/>
      <x:c r="P76" s="59"/>
      <x:c r="Q76" s="59"/>
      <x:c r="R76" s="59"/>
      <x:c r="S76" s="59"/>
      <x:c r="T76" s="59"/>
      <x:c r="U76" s="59"/>
      <x:c r="V76" s="59"/>
    </x:row>
    <x:row r="77">
      <x:c r="A77" s="59"/>
      <x:c r="B77" s="59"/>
      <x:c r="C77" s="59"/>
      <x:c r="D77" s="59"/>
      <x:c r="E77" s="59"/>
      <x:c r="F77" s="59"/>
      <x:c r="G77" s="59"/>
      <x:c r="H77" s="59"/>
      <x:c r="I77" s="59"/>
      <x:c r="J77" s="59"/>
      <x:c r="K77" s="59"/>
      <x:c r="L77" s="59"/>
      <x:c r="M77" s="59"/>
      <x:c r="N77" s="59"/>
      <x:c r="O77" s="59"/>
      <x:c r="P77" s="59"/>
      <x:c r="Q77" s="59"/>
      <x:c r="R77" s="59"/>
      <x:c r="S77" s="59"/>
      <x:c r="T77" s="59"/>
      <x:c r="U77" s="59"/>
      <x:c r="V77" s="59"/>
    </x:row>
    <x:row r="78">
      <x:c r="A78" s="59"/>
      <x:c r="B78" s="59"/>
      <x:c r="C78" s="59"/>
      <x:c r="D78" s="59"/>
      <x:c r="E78" s="59"/>
      <x:c r="F78" s="59"/>
      <x:c r="G78" s="59"/>
      <x:c r="H78" s="59"/>
      <x:c r="I78" s="59"/>
      <x:c r="J78" s="59"/>
      <x:c r="K78" s="59"/>
      <x:c r="L78" s="59"/>
      <x:c r="M78" s="59"/>
      <x:c r="N78" s="59"/>
      <x:c r="O78" s="59"/>
      <x:c r="P78" s="59"/>
      <x:c r="Q78" s="59"/>
      <x:c r="R78" s="59"/>
      <x:c r="S78" s="59"/>
      <x:c r="T78" s="59"/>
      <x:c r="U78" s="59"/>
      <x:c r="V78" s="59"/>
    </x:row>
    <x:row r="79">
      <x:c r="A79" s="59"/>
      <x:c r="B79" s="59"/>
      <x:c r="C79" s="59"/>
      <x:c r="D79" s="59"/>
      <x:c r="E79" s="59"/>
      <x:c r="F79" s="59"/>
      <x:c r="G79" s="59"/>
      <x:c r="H79" s="59"/>
      <x:c r="I79" s="59"/>
      <x:c r="J79" s="59"/>
      <x:c r="K79" s="59"/>
      <x:c r="L79" s="59"/>
      <x:c r="M79" s="59"/>
      <x:c r="N79" s="59"/>
      <x:c r="O79" s="59"/>
      <x:c r="P79" s="59"/>
      <x:c r="Q79" s="59"/>
      <x:c r="R79" s="59"/>
      <x:c r="S79" s="59"/>
      <x:c r="T79" s="59"/>
      <x:c r="U79" s="59"/>
      <x:c r="V79" s="59"/>
    </x:row>
    <x:row r="80">
      <x:c r="A80" s="59"/>
      <x:c r="B80" s="59"/>
      <x:c r="C80" s="59"/>
      <x:c r="D80" s="59"/>
      <x:c r="E80" s="59"/>
      <x:c r="F80" s="59"/>
      <x:c r="G80" s="59"/>
      <x:c r="H80" s="59"/>
      <x:c r="I80" s="59"/>
      <x:c r="J80" s="59"/>
      <x:c r="K80" s="59"/>
      <x:c r="L80" s="59"/>
      <x:c r="M80" s="59"/>
      <x:c r="N80" s="59"/>
      <x:c r="O80" s="59"/>
      <x:c r="P80" s="59"/>
      <x:c r="Q80" s="59"/>
      <x:c r="R80" s="59"/>
      <x:c r="S80" s="59"/>
      <x:c r="T80" s="59"/>
      <x:c r="U80" s="59"/>
      <x:c r="V80" s="59"/>
    </x:row>
    <x:row r="81">
      <x:c r="A81" s="59"/>
      <x:c r="B81" s="59"/>
      <x:c r="C81" s="59"/>
      <x:c r="D81" s="59"/>
      <x:c r="E81" s="59"/>
      <x:c r="F81" s="59"/>
      <x:c r="G81" s="59"/>
      <x:c r="H81" s="59"/>
      <x:c r="I81" s="59"/>
      <x:c r="J81" s="59"/>
      <x:c r="K81" s="59"/>
      <x:c r="L81" s="59"/>
      <x:c r="M81" s="59"/>
      <x:c r="N81" s="59"/>
      <x:c r="O81" s="59"/>
      <x:c r="P81" s="59"/>
      <x:c r="Q81" s="59"/>
      <x:c r="R81" s="59"/>
      <x:c r="S81" s="59"/>
      <x:c r="T81" s="59"/>
      <x:c r="U81" s="59"/>
      <x:c r="V81" s="59"/>
    </x:row>
    <x:row r="82">
      <x:c r="A82" s="59"/>
      <x:c r="B82" s="59"/>
      <x:c r="C82" s="59"/>
      <x:c r="D82" s="59"/>
      <x:c r="E82" s="59"/>
      <x:c r="F82" s="59"/>
      <x:c r="G82" s="59"/>
      <x:c r="H82" s="59"/>
      <x:c r="I82" s="59"/>
      <x:c r="J82" s="59"/>
      <x:c r="K82" s="59"/>
      <x:c r="L82" s="59"/>
      <x:c r="M82" s="59"/>
      <x:c r="N82" s="59"/>
      <x:c r="O82" s="59"/>
      <x:c r="P82" s="59"/>
      <x:c r="Q82" s="59"/>
      <x:c r="R82" s="59"/>
      <x:c r="S82" s="59"/>
      <x:c r="T82" s="59"/>
      <x:c r="U82" s="59"/>
      <x:c r="V82" s="59"/>
    </x:row>
    <x:row r="83">
      <x:c r="A83" s="59"/>
      <x:c r="B83" s="59"/>
      <x:c r="C83" s="59"/>
      <x:c r="D83" s="59"/>
      <x:c r="E83" s="59"/>
      <x:c r="F83" s="59"/>
      <x:c r="G83" s="59"/>
      <x:c r="H83" s="59"/>
      <x:c r="I83" s="59"/>
      <x:c r="J83" s="59"/>
      <x:c r="K83" s="59"/>
      <x:c r="L83" s="59"/>
      <x:c r="M83" s="59"/>
      <x:c r="N83" s="59"/>
      <x:c r="O83" s="59"/>
      <x:c r="P83" s="59"/>
      <x:c r="Q83" s="59"/>
      <x:c r="R83" s="59"/>
      <x:c r="S83" s="59"/>
      <x:c r="T83" s="59"/>
      <x:c r="U83" s="59"/>
      <x:c r="V83" s="59"/>
    </x:row>
    <x:row r="84">
      <x:c r="A84" s="59"/>
      <x:c r="B84" s="59"/>
      <x:c r="C84" s="59"/>
      <x:c r="D84" s="59"/>
      <x:c r="E84" s="59"/>
      <x:c r="F84" s="59"/>
      <x:c r="G84" s="59"/>
      <x:c r="H84" s="59"/>
      <x:c r="I84" s="59"/>
      <x:c r="J84" s="59"/>
      <x:c r="K84" s="59"/>
      <x:c r="L84" s="59"/>
      <x:c r="M84" s="59"/>
      <x:c r="N84" s="59"/>
      <x:c r="O84" s="59"/>
      <x:c r="P84" s="59"/>
      <x:c r="Q84" s="59"/>
      <x:c r="R84" s="59"/>
      <x:c r="S84" s="59"/>
      <x:c r="T84" s="59"/>
      <x:c r="U84" s="59"/>
      <x:c r="V84" s="59"/>
    </x:row>
    <x:row r="85">
      <x:c r="A85" s="59"/>
      <x:c r="B85" s="59"/>
      <x:c r="C85" s="59"/>
      <x:c r="D85" s="59"/>
      <x:c r="E85" s="59"/>
      <x:c r="F85" s="59"/>
      <x:c r="G85" s="59"/>
      <x:c r="H85" s="59"/>
      <x:c r="I85" s="59"/>
      <x:c r="J85" s="59"/>
      <x:c r="K85" s="59"/>
      <x:c r="L85" s="59"/>
      <x:c r="M85" s="59"/>
      <x:c r="N85" s="59"/>
      <x:c r="O85" s="59"/>
      <x:c r="P85" s="59"/>
      <x:c r="Q85" s="59"/>
      <x:c r="R85" s="59"/>
      <x:c r="S85" s="59"/>
      <x:c r="T85" s="59"/>
      <x:c r="U85" s="59"/>
      <x:c r="V85" s="59"/>
    </x:row>
    <x:row r="86">
      <x:c r="A86" s="59"/>
      <x:c r="B86" s="59"/>
      <x:c r="C86" s="59"/>
      <x:c r="D86" s="59"/>
      <x:c r="E86" s="59"/>
      <x:c r="F86" s="59"/>
      <x:c r="G86" s="59"/>
      <x:c r="H86" s="59"/>
      <x:c r="I86" s="59"/>
      <x:c r="J86" s="59"/>
      <x:c r="K86" s="59"/>
      <x:c r="L86" s="59"/>
      <x:c r="M86" s="59"/>
      <x:c r="N86" s="59"/>
      <x:c r="O86" s="59"/>
      <x:c r="P86" s="59"/>
      <x:c r="Q86" s="59"/>
      <x:c r="R86" s="59"/>
      <x:c r="S86" s="59"/>
      <x:c r="T86" s="59"/>
      <x:c r="U86" s="59"/>
      <x:c r="V86" s="59"/>
    </x:row>
    <x:row r="87">
      <x:c r="A87" s="59"/>
      <x:c r="B87" s="59"/>
      <x:c r="C87" s="59"/>
      <x:c r="D87" s="59"/>
      <x:c r="E87" s="59"/>
      <x:c r="F87" s="59"/>
      <x:c r="G87" s="59"/>
      <x:c r="H87" s="59"/>
      <x:c r="I87" s="59"/>
      <x:c r="J87" s="59"/>
      <x:c r="K87" s="59"/>
      <x:c r="L87" s="59"/>
      <x:c r="M87" s="59"/>
      <x:c r="N87" s="59"/>
      <x:c r="O87" s="59"/>
      <x:c r="P87" s="59"/>
      <x:c r="Q87" s="59"/>
      <x:c r="R87" s="59"/>
      <x:c r="S87" s="59"/>
      <x:c r="T87" s="59"/>
      <x:c r="U87" s="59"/>
      <x:c r="V87" s="59"/>
    </x:row>
    <x:row r="88">
      <x:c r="A88" s="59"/>
      <x:c r="B88" s="59"/>
      <x:c r="C88" s="59"/>
      <x:c r="D88" s="59"/>
      <x:c r="E88" s="59"/>
      <x:c r="F88" s="59"/>
      <x:c r="G88" s="59"/>
      <x:c r="H88" s="59"/>
      <x:c r="I88" s="59"/>
      <x:c r="J88" s="59"/>
      <x:c r="K88" s="59"/>
      <x:c r="L88" s="59"/>
      <x:c r="M88" s="59"/>
      <x:c r="N88" s="59"/>
      <x:c r="O88" s="59"/>
      <x:c r="P88" s="59"/>
      <x:c r="Q88" s="59"/>
      <x:c r="R88" s="59"/>
      <x:c r="S88" s="59"/>
      <x:c r="T88" s="59"/>
      <x:c r="U88" s="59"/>
      <x:c r="V88" s="59"/>
    </x:row>
    <x:row r="89">
      <x:c r="A89" s="59"/>
      <x:c r="B89" s="59"/>
      <x:c r="C89" s="59"/>
      <x:c r="D89" s="59"/>
      <x:c r="E89" s="59"/>
      <x:c r="F89" s="59"/>
      <x:c r="G89" s="59"/>
      <x:c r="H89" s="59"/>
      <x:c r="I89" s="59"/>
      <x:c r="J89" s="59"/>
      <x:c r="K89" s="59"/>
      <x:c r="L89" s="59"/>
      <x:c r="M89" s="59"/>
      <x:c r="N89" s="59"/>
      <x:c r="O89" s="59"/>
      <x:c r="P89" s="59"/>
      <x:c r="Q89" s="59"/>
      <x:c r="R89" s="59"/>
      <x:c r="S89" s="59"/>
      <x:c r="T89" s="59"/>
      <x:c r="U89" s="59"/>
      <x:c r="V89" s="59"/>
    </x:row>
    <x:row r="90">
      <x:c r="A90" s="59"/>
      <x:c r="B90" s="59"/>
      <x:c r="C90" s="59"/>
      <x:c r="D90" s="59"/>
      <x:c r="E90" s="59"/>
      <x:c r="F90" s="59"/>
      <x:c r="G90" s="59"/>
      <x:c r="H90" s="59"/>
      <x:c r="I90" s="59"/>
      <x:c r="J90" s="59"/>
      <x:c r="K90" s="59"/>
      <x:c r="L90" s="59"/>
      <x:c r="M90" s="59"/>
      <x:c r="N90" s="59"/>
      <x:c r="O90" s="59"/>
      <x:c r="P90" s="59"/>
      <x:c r="Q90" s="59"/>
      <x:c r="R90" s="59"/>
      <x:c r="S90" s="59"/>
      <x:c r="T90" s="59"/>
      <x:c r="U90" s="59"/>
      <x:c r="V90" s="59"/>
    </x:row>
    <x:row r="91">
      <x:c r="A91" s="59"/>
      <x:c r="B91" s="59"/>
      <x:c r="C91" s="59"/>
      <x:c r="D91" s="59"/>
      <x:c r="E91" s="59"/>
      <x:c r="F91" s="59"/>
      <x:c r="G91" s="59"/>
      <x:c r="H91" s="59"/>
      <x:c r="I91" s="59"/>
      <x:c r="J91" s="59"/>
      <x:c r="K91" s="59"/>
      <x:c r="L91" s="59"/>
      <x:c r="M91" s="59"/>
      <x:c r="N91" s="59"/>
      <x:c r="O91" s="59"/>
      <x:c r="P91" s="59"/>
      <x:c r="Q91" s="59"/>
      <x:c r="R91" s="59"/>
      <x:c r="S91" s="59"/>
      <x:c r="T91" s="59"/>
      <x:c r="U91" s="59"/>
      <x:c r="V91" s="59"/>
    </x:row>
    <x:row r="92">
      <x:c r="A92" s="59"/>
      <x:c r="B92" s="59"/>
      <x:c r="C92" s="59"/>
      <x:c r="D92" s="59"/>
      <x:c r="E92" s="59"/>
      <x:c r="F92" s="59"/>
      <x:c r="G92" s="59"/>
      <x:c r="H92" s="59"/>
      <x:c r="I92" s="59"/>
      <x:c r="J92" s="59"/>
      <x:c r="K92" s="59"/>
      <x:c r="L92" s="59"/>
      <x:c r="M92" s="59"/>
      <x:c r="N92" s="59"/>
      <x:c r="O92" s="59"/>
      <x:c r="P92" s="59"/>
      <x:c r="Q92" s="59"/>
      <x:c r="R92" s="59"/>
      <x:c r="S92" s="59"/>
      <x:c r="T92" s="59"/>
      <x:c r="U92" s="59"/>
      <x:c r="V92" s="59"/>
    </x:row>
    <x:row r="93">
      <x:c r="A93" s="59"/>
      <x:c r="B93" s="59"/>
      <x:c r="C93" s="59"/>
      <x:c r="D93" s="59"/>
      <x:c r="E93" s="59"/>
      <x:c r="F93" s="59"/>
      <x:c r="G93" s="59"/>
      <x:c r="H93" s="59"/>
      <x:c r="I93" s="59"/>
      <x:c r="J93" s="59"/>
      <x:c r="K93" s="59"/>
      <x:c r="L93" s="59"/>
      <x:c r="M93" s="59"/>
      <x:c r="N93" s="59"/>
      <x:c r="O93" s="59"/>
      <x:c r="P93" s="59"/>
      <x:c r="Q93" s="59"/>
      <x:c r="R93" s="59"/>
      <x:c r="S93" s="59"/>
      <x:c r="T93" s="59"/>
      <x:c r="U93" s="59"/>
      <x:c r="V93" s="59"/>
    </x:row>
    <x:row r="94">
      <x:c r="A94" s="59"/>
      <x:c r="B94" s="59"/>
      <x:c r="C94" s="59"/>
      <x:c r="D94" s="59"/>
      <x:c r="E94" s="59"/>
      <x:c r="F94" s="59"/>
      <x:c r="G94" s="59"/>
      <x:c r="H94" s="59"/>
      <x:c r="I94" s="59"/>
      <x:c r="J94" s="59"/>
      <x:c r="K94" s="59"/>
      <x:c r="L94" s="59"/>
      <x:c r="M94" s="59"/>
      <x:c r="N94" s="59"/>
      <x:c r="O94" s="59"/>
      <x:c r="P94" s="59"/>
      <x:c r="Q94" s="59"/>
      <x:c r="R94" s="59"/>
      <x:c r="S94" s="59"/>
      <x:c r="T94" s="59"/>
      <x:c r="U94" s="59"/>
      <x:c r="V94" s="59"/>
    </x:row>
    <x:row r="95">
      <x:c r="A95" s="59"/>
      <x:c r="B95" s="59"/>
      <x:c r="C95" s="59"/>
      <x:c r="D95" s="59"/>
      <x:c r="E95" s="59"/>
      <x:c r="F95" s="59"/>
      <x:c r="G95" s="59"/>
      <x:c r="H95" s="59"/>
      <x:c r="I95" s="59"/>
      <x:c r="J95" s="59"/>
      <x:c r="K95" s="59"/>
      <x:c r="L95" s="59"/>
      <x:c r="M95" s="59"/>
      <x:c r="N95" s="59"/>
      <x:c r="O95" s="59"/>
      <x:c r="P95" s="59"/>
      <x:c r="Q95" s="59"/>
      <x:c r="R95" s="59"/>
      <x:c r="S95" s="59"/>
      <x:c r="T95" s="59"/>
      <x:c r="U95" s="59"/>
      <x:c r="V95" s="59"/>
    </x:row>
    <x:row r="96">
      <x:c r="A96" s="59"/>
      <x:c r="B96" s="59"/>
      <x:c r="C96" s="59"/>
      <x:c r="D96" s="59"/>
      <x:c r="E96" s="59"/>
      <x:c r="F96" s="59"/>
      <x:c r="G96" s="59"/>
      <x:c r="H96" s="59"/>
      <x:c r="I96" s="59"/>
      <x:c r="J96" s="59"/>
      <x:c r="K96" s="59"/>
      <x:c r="L96" s="59"/>
      <x:c r="M96" s="59"/>
      <x:c r="N96" s="59"/>
      <x:c r="O96" s="59"/>
      <x:c r="P96" s="59"/>
      <x:c r="Q96" s="59"/>
      <x:c r="R96" s="59"/>
      <x:c r="S96" s="59"/>
      <x:c r="T96" s="59"/>
      <x:c r="U96" s="59"/>
      <x:c r="V96" s="59"/>
    </x:row>
    <x:row r="97">
      <x:c r="A97" s="59"/>
      <x:c r="B97" s="59"/>
      <x:c r="C97" s="59"/>
      <x:c r="D97" s="59"/>
      <x:c r="E97" s="59"/>
      <x:c r="F97" s="59"/>
      <x:c r="G97" s="59"/>
      <x:c r="H97" s="59"/>
      <x:c r="I97" s="59"/>
      <x:c r="J97" s="59"/>
      <x:c r="K97" s="59"/>
      <x:c r="L97" s="59"/>
      <x:c r="M97" s="59"/>
      <x:c r="N97" s="59"/>
      <x:c r="O97" s="59"/>
      <x:c r="P97" s="59"/>
      <x:c r="Q97" s="59"/>
      <x:c r="R97" s="59"/>
      <x:c r="S97" s="59"/>
      <x:c r="T97" s="59"/>
      <x:c r="U97" s="59"/>
      <x:c r="V97" s="59"/>
    </x:row>
    <x:row r="98">
      <x:c r="A98" s="59"/>
      <x:c r="B98" s="59"/>
      <x:c r="C98" s="59"/>
      <x:c r="D98" s="59"/>
      <x:c r="E98" s="59"/>
      <x:c r="F98" s="59"/>
      <x:c r="G98" s="59"/>
      <x:c r="H98" s="59"/>
      <x:c r="I98" s="59"/>
      <x:c r="J98" s="59"/>
      <x:c r="K98" s="59"/>
      <x:c r="L98" s="59"/>
      <x:c r="M98" s="59"/>
      <x:c r="N98" s="59"/>
      <x:c r="O98" s="59"/>
      <x:c r="P98" s="59"/>
      <x:c r="Q98" s="59"/>
      <x:c r="R98" s="59"/>
      <x:c r="S98" s="59"/>
      <x:c r="T98" s="59"/>
      <x:c r="U98" s="59"/>
      <x:c r="V98" s="59"/>
    </x:row>
    <x:row r="99">
      <x:c r="A99" s="59"/>
      <x:c r="B99" s="59"/>
      <x:c r="C99" s="59"/>
      <x:c r="D99" s="59"/>
      <x:c r="E99" s="59"/>
      <x:c r="F99" s="59"/>
      <x:c r="G99" s="59"/>
      <x:c r="H99" s="59"/>
      <x:c r="I99" s="59"/>
      <x:c r="J99" s="59"/>
      <x:c r="K99" s="59"/>
      <x:c r="L99" s="59"/>
      <x:c r="M99" s="59"/>
      <x:c r="N99" s="59"/>
      <x:c r="O99" s="59"/>
      <x:c r="P99" s="59"/>
      <x:c r="Q99" s="59"/>
      <x:c r="R99" s="59"/>
      <x:c r="S99" s="59"/>
      <x:c r="T99" s="59"/>
      <x:c r="U99" s="59"/>
      <x:c r="V99" s="59"/>
    </x:row>
    <x:row r="100">
      <x:c r="A100" s="59"/>
      <x:c r="B100" s="59"/>
      <x:c r="C100" s="59"/>
      <x:c r="D100" s="59"/>
      <x:c r="E100" s="59"/>
      <x:c r="F100" s="59"/>
      <x:c r="G100" s="59"/>
      <x:c r="H100" s="59"/>
      <x:c r="I100" s="59"/>
      <x:c r="J100" s="59"/>
      <x:c r="K100" s="59"/>
      <x:c r="L100" s="59"/>
      <x:c r="M100" s="59"/>
      <x:c r="N100" s="59"/>
      <x:c r="O100" s="59"/>
      <x:c r="P100" s="59"/>
      <x:c r="Q100" s="59"/>
      <x:c r="R100" s="59"/>
      <x:c r="S100" s="59"/>
      <x:c r="T100" s="59"/>
      <x:c r="U100" s="59"/>
      <x:c r="V100" s="59"/>
    </x:row>
    <x:row r="101">
      <x:c r="A101" s="59"/>
      <x:c r="B101" s="59"/>
      <x:c r="C101" s="59"/>
      <x:c r="D101" s="59"/>
      <x:c r="E101" s="59"/>
      <x:c r="F101" s="59"/>
      <x:c r="G101" s="59"/>
      <x:c r="H101" s="59"/>
      <x:c r="I101" s="59"/>
      <x:c r="J101" s="59"/>
      <x:c r="K101" s="59"/>
      <x:c r="L101" s="59"/>
      <x:c r="M101" s="59"/>
      <x:c r="N101" s="59"/>
      <x:c r="O101" s="59"/>
      <x:c r="P101" s="59"/>
      <x:c r="Q101" s="59"/>
      <x:c r="R101" s="59"/>
      <x:c r="S101" s="59"/>
      <x:c r="T101" s="59"/>
      <x:c r="U101" s="59"/>
      <x:c r="V101" s="59"/>
    </x:row>
    <x:row r="102">
      <x:c r="A102" s="59"/>
      <x:c r="B102" s="59"/>
      <x:c r="C102" s="59"/>
      <x:c r="D102" s="59"/>
      <x:c r="E102" s="59"/>
      <x:c r="F102" s="59"/>
      <x:c r="G102" s="59"/>
      <x:c r="H102" s="59"/>
      <x:c r="I102" s="59"/>
      <x:c r="J102" s="59"/>
      <x:c r="K102" s="59"/>
      <x:c r="L102" s="59"/>
      <x:c r="M102" s="59"/>
      <x:c r="N102" s="59"/>
      <x:c r="O102" s="59"/>
      <x:c r="P102" s="59"/>
      <x:c r="Q102" s="59"/>
      <x:c r="R102" s="59"/>
      <x:c r="S102" s="59"/>
      <x:c r="T102" s="59"/>
      <x:c r="U102" s="59"/>
      <x:c r="V102" s="59"/>
    </x:row>
    <x:row r="103">
      <x:c r="A103" s="59"/>
      <x:c r="B103" s="59"/>
      <x:c r="C103" s="59"/>
      <x:c r="D103" s="59"/>
      <x:c r="E103" s="59"/>
      <x:c r="F103" s="59"/>
      <x:c r="G103" s="59"/>
      <x:c r="H103" s="59"/>
      <x:c r="I103" s="59"/>
      <x:c r="J103" s="59"/>
      <x:c r="K103" s="59"/>
      <x:c r="L103" s="59"/>
      <x:c r="M103" s="59"/>
      <x:c r="N103" s="59"/>
      <x:c r="O103" s="59"/>
      <x:c r="P103" s="59"/>
      <x:c r="Q103" s="59"/>
      <x:c r="R103" s="59"/>
      <x:c r="S103" s="59"/>
      <x:c r="T103" s="59"/>
      <x:c r="U103" s="59"/>
      <x:c r="V103" s="59"/>
    </x:row>
    <x:row r="104">
      <x:c r="A104" s="59"/>
      <x:c r="B104" s="59"/>
      <x:c r="C104" s="59"/>
      <x:c r="D104" s="59"/>
      <x:c r="E104" s="59"/>
      <x:c r="F104" s="59"/>
      <x:c r="G104" s="59"/>
      <x:c r="H104" s="59"/>
      <x:c r="I104" s="59"/>
      <x:c r="J104" s="59"/>
      <x:c r="K104" s="59"/>
      <x:c r="L104" s="59"/>
      <x:c r="M104" s="59"/>
      <x:c r="N104" s="59"/>
      <x:c r="O104" s="59"/>
      <x:c r="P104" s="59"/>
      <x:c r="Q104" s="59"/>
      <x:c r="R104" s="59"/>
      <x:c r="S104" s="59"/>
      <x:c r="T104" s="59"/>
      <x:c r="U104" s="59"/>
      <x:c r="V104" s="59"/>
    </x:row>
    <x:row r="105">
      <x:c r="A105" s="59"/>
      <x:c r="B105" s="59"/>
      <x:c r="C105" s="59"/>
      <x:c r="D105" s="59"/>
      <x:c r="E105" s="59"/>
      <x:c r="F105" s="59"/>
      <x:c r="G105" s="59"/>
      <x:c r="H105" s="59"/>
      <x:c r="I105" s="59"/>
      <x:c r="J105" s="59"/>
      <x:c r="K105" s="59"/>
      <x:c r="L105" s="59"/>
      <x:c r="M105" s="59"/>
      <x:c r="N105" s="59"/>
      <x:c r="O105" s="59"/>
      <x:c r="P105" s="59"/>
      <x:c r="Q105" s="59"/>
      <x:c r="R105" s="59"/>
      <x:c r="S105" s="59"/>
      <x:c r="T105" s="59"/>
      <x:c r="U105" s="59"/>
      <x:c r="V105" s="59"/>
    </x:row>
    <x:row r="106">
      <x:c r="A106" s="59"/>
      <x:c r="B106" s="59"/>
      <x:c r="C106" s="59"/>
      <x:c r="D106" s="59"/>
      <x:c r="E106" s="59"/>
      <x:c r="F106" s="59"/>
      <x:c r="G106" s="59"/>
      <x:c r="H106" s="59"/>
      <x:c r="I106" s="59"/>
      <x:c r="J106" s="59"/>
      <x:c r="K106" s="59"/>
      <x:c r="L106" s="59"/>
      <x:c r="M106" s="59"/>
      <x:c r="N106" s="59"/>
      <x:c r="O106" s="59"/>
      <x:c r="P106" s="59"/>
      <x:c r="Q106" s="59"/>
      <x:c r="R106" s="59"/>
      <x:c r="S106" s="59"/>
      <x:c r="T106" s="59"/>
      <x:c r="U106" s="59"/>
      <x:c r="V106" s="59"/>
    </x:row>
    <x:row r="107">
      <x:c r="A107" s="59"/>
      <x:c r="B107" s="59"/>
      <x:c r="C107" s="59"/>
      <x:c r="D107" s="59"/>
      <x:c r="E107" s="59"/>
      <x:c r="F107" s="59"/>
      <x:c r="G107" s="59"/>
      <x:c r="H107" s="59"/>
      <x:c r="I107" s="59"/>
      <x:c r="J107" s="59"/>
      <x:c r="K107" s="59"/>
      <x:c r="L107" s="59"/>
      <x:c r="M107" s="59"/>
      <x:c r="N107" s="59"/>
      <x:c r="O107" s="59"/>
      <x:c r="P107" s="59"/>
      <x:c r="Q107" s="59"/>
      <x:c r="R107" s="59"/>
      <x:c r="S107" s="59"/>
      <x:c r="T107" s="59"/>
      <x:c r="U107" s="59"/>
      <x:c r="V107" s="59"/>
    </x:row>
    <x:row r="108">
      <x:c r="A108" s="59"/>
      <x:c r="B108" s="59"/>
      <x:c r="C108" s="59"/>
      <x:c r="D108" s="59"/>
      <x:c r="E108" s="59"/>
      <x:c r="F108" s="59"/>
      <x:c r="G108" s="59"/>
      <x:c r="H108" s="59"/>
      <x:c r="I108" s="59"/>
      <x:c r="J108" s="59"/>
      <x:c r="K108" s="59"/>
      <x:c r="L108" s="59"/>
      <x:c r="M108" s="59"/>
      <x:c r="N108" s="59"/>
      <x:c r="O108" s="59"/>
      <x:c r="P108" s="59"/>
      <x:c r="Q108" s="59"/>
      <x:c r="R108" s="59"/>
      <x:c r="S108" s="59"/>
      <x:c r="T108" s="59"/>
      <x:c r="U108" s="59"/>
      <x:c r="V108" s="59"/>
    </x:row>
    <x:row r="109">
      <x:c r="A109" s="59"/>
      <x:c r="B109" s="59"/>
      <x:c r="C109" s="59"/>
      <x:c r="D109" s="59"/>
      <x:c r="E109" s="59"/>
      <x:c r="F109" s="59"/>
      <x:c r="G109" s="59"/>
      <x:c r="H109" s="59"/>
      <x:c r="I109" s="59"/>
      <x:c r="J109" s="59"/>
      <x:c r="K109" s="59"/>
      <x:c r="L109" s="59"/>
      <x:c r="M109" s="59"/>
      <x:c r="N109" s="59"/>
      <x:c r="O109" s="59"/>
      <x:c r="P109" s="59"/>
      <x:c r="Q109" s="59"/>
      <x:c r="R109" s="59"/>
      <x:c r="S109" s="59"/>
      <x:c r="T109" s="59"/>
      <x:c r="U109" s="59"/>
      <x:c r="V109" s="59"/>
    </x:row>
    <x:row r="110">
      <x:c r="A110" s="59"/>
      <x:c r="B110" s="59"/>
      <x:c r="C110" s="59"/>
      <x:c r="D110" s="59"/>
      <x:c r="E110" s="59"/>
      <x:c r="F110" s="59"/>
      <x:c r="G110" s="59"/>
      <x:c r="H110" s="59"/>
      <x:c r="I110" s="59"/>
      <x:c r="J110" s="59"/>
      <x:c r="K110" s="59"/>
      <x:c r="L110" s="59"/>
      <x:c r="M110" s="59"/>
      <x:c r="N110" s="59"/>
      <x:c r="O110" s="59"/>
      <x:c r="P110" s="59"/>
      <x:c r="Q110" s="59"/>
      <x:c r="R110" s="59"/>
      <x:c r="S110" s="59"/>
      <x:c r="T110" s="59"/>
      <x:c r="U110" s="59"/>
      <x:c r="V110" s="59"/>
    </x:row>
    <x:row r="111">
      <x:c r="A111" s="59"/>
      <x:c r="B111" s="59"/>
      <x:c r="C111" s="59"/>
      <x:c r="D111" s="59"/>
      <x:c r="E111" s="59"/>
      <x:c r="F111" s="59"/>
      <x:c r="G111" s="59"/>
      <x:c r="H111" s="59"/>
      <x:c r="I111" s="59"/>
      <x:c r="J111" s="59"/>
      <x:c r="K111" s="59"/>
      <x:c r="L111" s="59"/>
      <x:c r="M111" s="59"/>
      <x:c r="N111" s="59"/>
      <x:c r="O111" s="59"/>
      <x:c r="P111" s="59"/>
      <x:c r="Q111" s="59"/>
      <x:c r="R111" s="59"/>
      <x:c r="S111" s="59"/>
      <x:c r="T111" s="59"/>
      <x:c r="U111" s="59"/>
      <x:c r="V111" s="59"/>
    </x:row>
    <x:row r="112">
      <x:c r="A112" s="59"/>
      <x:c r="B112" s="59"/>
      <x:c r="C112" s="59"/>
      <x:c r="D112" s="59"/>
      <x:c r="E112" s="59"/>
      <x:c r="F112" s="59"/>
      <x:c r="G112" s="59"/>
      <x:c r="H112" s="59"/>
      <x:c r="I112" s="59"/>
      <x:c r="J112" s="59"/>
      <x:c r="K112" s="59"/>
      <x:c r="L112" s="59"/>
      <x:c r="M112" s="59"/>
      <x:c r="N112" s="59"/>
      <x:c r="O112" s="59"/>
      <x:c r="P112" s="59"/>
      <x:c r="Q112" s="59"/>
      <x:c r="R112" s="59"/>
      <x:c r="S112" s="59"/>
      <x:c r="T112" s="59"/>
      <x:c r="U112" s="59"/>
      <x:c r="V112" s="59"/>
    </x:row>
    <x:row r="113">
      <x:c r="A113" s="59"/>
      <x:c r="B113" s="59"/>
      <x:c r="C113" s="59"/>
      <x:c r="D113" s="59"/>
      <x:c r="E113" s="59"/>
      <x:c r="F113" s="59"/>
      <x:c r="G113" s="59"/>
      <x:c r="H113" s="59"/>
      <x:c r="I113" s="59"/>
      <x:c r="J113" s="59"/>
      <x:c r="K113" s="59"/>
      <x:c r="L113" s="59"/>
      <x:c r="M113" s="59"/>
      <x:c r="N113" s="59"/>
      <x:c r="O113" s="59"/>
      <x:c r="P113" s="59"/>
      <x:c r="Q113" s="59"/>
      <x:c r="R113" s="59"/>
      <x:c r="S113" s="59"/>
      <x:c r="T113" s="59"/>
      <x:c r="U113" s="59"/>
      <x:c r="V113" s="59"/>
    </x:row>
    <x:row r="114">
      <x:c r="A114" s="59"/>
      <x:c r="B114" s="59"/>
      <x:c r="C114" s="59"/>
      <x:c r="D114" s="59"/>
      <x:c r="E114" s="59"/>
      <x:c r="F114" s="59"/>
      <x:c r="G114" s="59"/>
      <x:c r="H114" s="59"/>
      <x:c r="I114" s="59"/>
      <x:c r="J114" s="59"/>
      <x:c r="K114" s="59"/>
      <x:c r="L114" s="59"/>
      <x:c r="M114" s="59"/>
      <x:c r="N114" s="59"/>
      <x:c r="O114" s="59"/>
      <x:c r="P114" s="59"/>
      <x:c r="Q114" s="59"/>
      <x:c r="R114" s="59"/>
      <x:c r="S114" s="59"/>
      <x:c r="T114" s="59"/>
      <x:c r="U114" s="59"/>
      <x:c r="V114" s="59"/>
    </x:row>
    <x:row r="115">
      <x:c r="A115" s="59"/>
      <x:c r="B115" s="59"/>
      <x:c r="C115" s="59"/>
      <x:c r="D115" s="59"/>
      <x:c r="E115" s="59"/>
      <x:c r="F115" s="59"/>
      <x:c r="G115" s="59"/>
      <x:c r="H115" s="59"/>
      <x:c r="I115" s="59"/>
      <x:c r="J115" s="59"/>
      <x:c r="K115" s="59"/>
      <x:c r="L115" s="59"/>
      <x:c r="M115" s="59"/>
      <x:c r="N115" s="59"/>
      <x:c r="O115" s="59"/>
      <x:c r="P115" s="59"/>
      <x:c r="Q115" s="59"/>
      <x:c r="R115" s="59"/>
      <x:c r="S115" s="59"/>
      <x:c r="T115" s="59"/>
      <x:c r="U115" s="59"/>
      <x:c r="V115" s="59"/>
    </x:row>
    <x:row r="116">
      <x:c r="A116" s="59"/>
      <x:c r="B116" s="59"/>
      <x:c r="C116" s="59"/>
      <x:c r="D116" s="59"/>
      <x:c r="E116" s="59"/>
      <x:c r="F116" s="59"/>
      <x:c r="G116" s="59"/>
      <x:c r="H116" s="59"/>
      <x:c r="I116" s="59"/>
      <x:c r="J116" s="59"/>
      <x:c r="K116" s="59"/>
      <x:c r="L116" s="59"/>
      <x:c r="M116" s="59"/>
      <x:c r="N116" s="59"/>
      <x:c r="O116" s="59"/>
      <x:c r="P116" s="59"/>
      <x:c r="Q116" s="59"/>
      <x:c r="R116" s="59"/>
      <x:c r="S116" s="59"/>
      <x:c r="T116" s="59"/>
      <x:c r="U116" s="59"/>
      <x:c r="V116" s="59"/>
    </x:row>
    <x:row r="117">
      <x:c r="A117" s="59"/>
      <x:c r="B117" s="59"/>
      <x:c r="C117" s="59"/>
      <x:c r="D117" s="59"/>
      <x:c r="E117" s="59"/>
      <x:c r="F117" s="59"/>
      <x:c r="G117" s="59"/>
      <x:c r="H117" s="59"/>
      <x:c r="I117" s="59"/>
      <x:c r="J117" s="59"/>
      <x:c r="K117" s="59"/>
      <x:c r="L117" s="59"/>
      <x:c r="M117" s="59"/>
      <x:c r="N117" s="59"/>
      <x:c r="O117" s="59"/>
      <x:c r="P117" s="59"/>
      <x:c r="Q117" s="59"/>
      <x:c r="R117" s="59"/>
      <x:c r="S117" s="59"/>
      <x:c r="T117" s="59"/>
      <x:c r="U117" s="59"/>
      <x:c r="V117" s="59"/>
    </x:row>
    <x:row r="118">
      <x:c r="A118" s="59"/>
      <x:c r="B118" s="59"/>
      <x:c r="C118" s="59"/>
      <x:c r="D118" s="59"/>
      <x:c r="E118" s="59"/>
      <x:c r="F118" s="59"/>
      <x:c r="G118" s="59"/>
      <x:c r="H118" s="59"/>
      <x:c r="I118" s="59"/>
      <x:c r="J118" s="59"/>
      <x:c r="K118" s="59"/>
      <x:c r="L118" s="59"/>
      <x:c r="M118" s="59"/>
      <x:c r="N118" s="59"/>
      <x:c r="O118" s="59"/>
      <x:c r="P118" s="59"/>
      <x:c r="Q118" s="59"/>
      <x:c r="R118" s="59"/>
      <x:c r="S118" s="59"/>
      <x:c r="T118" s="59"/>
      <x:c r="U118" s="59"/>
      <x:c r="V118" s="59"/>
    </x:row>
    <x:row r="119">
      <x:c r="A119" s="59"/>
      <x:c r="B119" s="59"/>
      <x:c r="C119" s="59"/>
      <x:c r="D119" s="59"/>
      <x:c r="E119" s="59"/>
      <x:c r="F119" s="59"/>
      <x:c r="G119" s="59"/>
      <x:c r="H119" s="59"/>
      <x:c r="I119" s="59"/>
      <x:c r="J119" s="59"/>
      <x:c r="K119" s="59"/>
      <x:c r="L119" s="59"/>
      <x:c r="M119" s="59"/>
      <x:c r="N119" s="59"/>
      <x:c r="O119" s="59"/>
      <x:c r="P119" s="59"/>
      <x:c r="Q119" s="59"/>
      <x:c r="R119" s="59"/>
      <x:c r="S119" s="59"/>
      <x:c r="T119" s="59"/>
      <x:c r="U119" s="59"/>
      <x:c r="V119" s="59"/>
    </x:row>
    <x:row r="120">
      <x:c r="A120" s="59"/>
      <x:c r="B120" s="59"/>
      <x:c r="C120" s="59"/>
      <x:c r="D120" s="59"/>
      <x:c r="E120" s="59"/>
      <x:c r="F120" s="59"/>
      <x:c r="G120" s="59"/>
      <x:c r="H120" s="59"/>
      <x:c r="I120" s="59"/>
      <x:c r="J120" s="59"/>
      <x:c r="K120" s="59"/>
      <x:c r="L120" s="59"/>
      <x:c r="M120" s="59"/>
      <x:c r="N120" s="59"/>
      <x:c r="O120" s="59"/>
      <x:c r="P120" s="59"/>
      <x:c r="Q120" s="59"/>
      <x:c r="R120" s="59"/>
      <x:c r="S120" s="59"/>
      <x:c r="T120" s="59"/>
      <x:c r="U120" s="59"/>
      <x:c r="V120" s="59"/>
    </x:row>
    <x:row r="121">
      <x:c r="A121" s="59"/>
      <x:c r="B121" s="59"/>
      <x:c r="C121" s="59"/>
      <x:c r="D121" s="59"/>
      <x:c r="E121" s="59"/>
      <x:c r="F121" s="59"/>
      <x:c r="G121" s="59"/>
      <x:c r="H121" s="59"/>
      <x:c r="I121" s="59"/>
      <x:c r="J121" s="59"/>
      <x:c r="K121" s="59"/>
      <x:c r="L121" s="59"/>
      <x:c r="M121" s="59"/>
      <x:c r="N121" s="59"/>
      <x:c r="O121" s="59"/>
      <x:c r="P121" s="59"/>
      <x:c r="Q121" s="59"/>
      <x:c r="R121" s="59"/>
      <x:c r="S121" s="59"/>
      <x:c r="T121" s="59"/>
      <x:c r="U121" s="59"/>
      <x:c r="V121" s="59"/>
    </x:row>
    <x:row r="122">
      <x:c r="A122" s="59"/>
      <x:c r="B122" s="59"/>
      <x:c r="C122" s="59"/>
      <x:c r="D122" s="59"/>
      <x:c r="E122" s="59"/>
      <x:c r="F122" s="59"/>
      <x:c r="G122" s="59"/>
      <x:c r="H122" s="59"/>
      <x:c r="I122" s="59"/>
      <x:c r="J122" s="59"/>
      <x:c r="K122" s="59"/>
      <x:c r="L122" s="59"/>
      <x:c r="M122" s="59"/>
      <x:c r="N122" s="59"/>
      <x:c r="O122" s="59"/>
      <x:c r="P122" s="59"/>
      <x:c r="Q122" s="59"/>
      <x:c r="R122" s="59"/>
      <x:c r="S122" s="59"/>
      <x:c r="T122" s="59"/>
      <x:c r="U122" s="59"/>
      <x:c r="V122" s="59"/>
    </x:row>
    <x:row r="123">
      <x:c r="A123" s="59"/>
      <x:c r="B123" s="59"/>
      <x:c r="C123" s="59"/>
      <x:c r="D123" s="59"/>
      <x:c r="E123" s="59"/>
      <x:c r="F123" s="59"/>
      <x:c r="G123" s="59"/>
      <x:c r="H123" s="59"/>
      <x:c r="I123" s="59"/>
      <x:c r="J123" s="59"/>
      <x:c r="K123" s="59"/>
      <x:c r="L123" s="59"/>
      <x:c r="M123" s="59"/>
      <x:c r="N123" s="59"/>
      <x:c r="O123" s="59"/>
      <x:c r="P123" s="59"/>
      <x:c r="Q123" s="59"/>
      <x:c r="R123" s="59"/>
      <x:c r="S123" s="59"/>
      <x:c r="T123" s="59"/>
      <x:c r="U123" s="59"/>
      <x:c r="V123" s="59"/>
    </x:row>
    <x:row r="124">
      <x:c r="A124" s="59"/>
      <x:c r="B124" s="59"/>
      <x:c r="C124" s="59"/>
      <x:c r="D124" s="59"/>
      <x:c r="E124" s="59"/>
      <x:c r="F124" s="59"/>
      <x:c r="G124" s="59"/>
      <x:c r="H124" s="59"/>
      <x:c r="I124" s="59"/>
      <x:c r="J124" s="59"/>
      <x:c r="K124" s="59"/>
      <x:c r="L124" s="59"/>
      <x:c r="M124" s="59"/>
      <x:c r="N124" s="59"/>
      <x:c r="O124" s="59"/>
      <x:c r="P124" s="59"/>
      <x:c r="Q124" s="59"/>
      <x:c r="R124" s="59"/>
      <x:c r="S124" s="59"/>
      <x:c r="T124" s="59"/>
      <x:c r="U124" s="59"/>
      <x:c r="V124" s="59"/>
    </x:row>
    <x:row r="125">
      <x:c r="A125" s="59"/>
      <x:c r="B125" s="59"/>
      <x:c r="C125" s="59"/>
      <x:c r="D125" s="59"/>
      <x:c r="E125" s="59"/>
      <x:c r="F125" s="59"/>
      <x:c r="G125" s="59"/>
      <x:c r="H125" s="59"/>
      <x:c r="I125" s="59"/>
      <x:c r="J125" s="59"/>
      <x:c r="K125" s="59"/>
      <x:c r="L125" s="59"/>
      <x:c r="M125" s="59"/>
      <x:c r="N125" s="59"/>
      <x:c r="O125" s="59"/>
      <x:c r="P125" s="59"/>
      <x:c r="Q125" s="59"/>
      <x:c r="R125" s="59"/>
      <x:c r="S125" s="59"/>
      <x:c r="T125" s="59"/>
      <x:c r="U125" s="59"/>
      <x:c r="V125" s="59"/>
    </x:row>
    <x:row r="126">
      <x:c r="A126" s="59"/>
      <x:c r="B126" s="59"/>
      <x:c r="C126" s="59"/>
      <x:c r="D126" s="59"/>
      <x:c r="E126" s="59"/>
      <x:c r="F126" s="59"/>
      <x:c r="G126" s="59"/>
      <x:c r="H126" s="59"/>
      <x:c r="I126" s="59"/>
      <x:c r="J126" s="59"/>
      <x:c r="K126" s="59"/>
      <x:c r="L126" s="59"/>
      <x:c r="M126" s="59"/>
      <x:c r="N126" s="59"/>
      <x:c r="O126" s="59"/>
      <x:c r="P126" s="59"/>
      <x:c r="Q126" s="59"/>
      <x:c r="R126" s="59"/>
      <x:c r="S126" s="59"/>
      <x:c r="T126" s="59"/>
      <x:c r="U126" s="59"/>
      <x:c r="V126" s="59"/>
    </x:row>
    <x:row r="127">
      <x:c r="A127" s="59"/>
      <x:c r="B127" s="59"/>
      <x:c r="C127" s="59"/>
      <x:c r="D127" s="59"/>
      <x:c r="E127" s="59"/>
      <x:c r="F127" s="59"/>
      <x:c r="G127" s="59"/>
      <x:c r="H127" s="59"/>
      <x:c r="I127" s="59"/>
      <x:c r="J127" s="59"/>
      <x:c r="K127" s="59"/>
      <x:c r="L127" s="59"/>
      <x:c r="M127" s="59"/>
      <x:c r="N127" s="59"/>
      <x:c r="O127" s="59"/>
      <x:c r="P127" s="59"/>
      <x:c r="Q127" s="59"/>
      <x:c r="R127" s="59"/>
      <x:c r="S127" s="59"/>
      <x:c r="T127" s="59"/>
      <x:c r="U127" s="59"/>
      <x:c r="V127" s="59"/>
    </x:row>
    <x:row r="128">
      <x:c r="A128" s="59"/>
      <x:c r="B128" s="59"/>
      <x:c r="C128" s="59"/>
      <x:c r="D128" s="59"/>
      <x:c r="E128" s="59"/>
      <x:c r="F128" s="59"/>
      <x:c r="G128" s="59"/>
      <x:c r="H128" s="59"/>
      <x:c r="I128" s="59"/>
      <x:c r="J128" s="59"/>
      <x:c r="K128" s="59"/>
      <x:c r="L128" s="59"/>
      <x:c r="M128" s="59"/>
      <x:c r="N128" s="59"/>
      <x:c r="O128" s="59"/>
      <x:c r="P128" s="59"/>
      <x:c r="Q128" s="59"/>
      <x:c r="R128" s="59"/>
      <x:c r="S128" s="59"/>
      <x:c r="T128" s="59"/>
      <x:c r="U128" s="59"/>
      <x:c r="V128" s="59"/>
    </x:row>
    <x:row r="129">
      <x:c r="A129" s="59"/>
      <x:c r="B129" s="59"/>
      <x:c r="C129" s="59"/>
      <x:c r="D129" s="59"/>
      <x:c r="E129" s="59"/>
      <x:c r="F129" s="59"/>
      <x:c r="G129" s="59"/>
      <x:c r="H129" s="59"/>
      <x:c r="I129" s="59"/>
      <x:c r="J129" s="59"/>
      <x:c r="K129" s="59"/>
      <x:c r="L129" s="59"/>
      <x:c r="M129" s="59"/>
      <x:c r="N129" s="59"/>
      <x:c r="O129" s="59"/>
      <x:c r="P129" s="59"/>
      <x:c r="Q129" s="59"/>
      <x:c r="R129" s="59"/>
      <x:c r="S129" s="59"/>
      <x:c r="T129" s="59"/>
      <x:c r="U129" s="59"/>
      <x:c r="V129" s="59"/>
    </x:row>
    <x:row r="130">
      <x:c r="A130" s="59"/>
      <x:c r="B130" s="59"/>
      <x:c r="C130" s="59"/>
      <x:c r="D130" s="59"/>
      <x:c r="E130" s="59"/>
      <x:c r="F130" s="59"/>
      <x:c r="G130" s="59"/>
      <x:c r="H130" s="59"/>
      <x:c r="I130" s="59"/>
      <x:c r="J130" s="59"/>
      <x:c r="K130" s="59"/>
      <x:c r="L130" s="59"/>
      <x:c r="M130" s="59"/>
      <x:c r="N130" s="59"/>
      <x:c r="O130" s="59"/>
      <x:c r="P130" s="59"/>
      <x:c r="Q130" s="59"/>
      <x:c r="R130" s="59"/>
      <x:c r="S130" s="59"/>
      <x:c r="T130" s="59"/>
      <x:c r="U130" s="59"/>
      <x:c r="V130" s="59"/>
    </x:row>
    <x:row r="131">
      <x:c r="A131" s="59"/>
      <x:c r="B131" s="59"/>
      <x:c r="C131" s="59"/>
      <x:c r="D131" s="59"/>
      <x:c r="E131" s="59"/>
      <x:c r="F131" s="59"/>
      <x:c r="G131" s="59"/>
      <x:c r="H131" s="59"/>
      <x:c r="I131" s="59"/>
      <x:c r="J131" s="59"/>
      <x:c r="K131" s="59"/>
      <x:c r="L131" s="59"/>
      <x:c r="M131" s="59"/>
      <x:c r="N131" s="59"/>
      <x:c r="O131" s="59"/>
      <x:c r="P131" s="59"/>
      <x:c r="Q131" s="59"/>
      <x:c r="R131" s="59"/>
      <x:c r="S131" s="59"/>
      <x:c r="T131" s="59"/>
      <x:c r="U131" s="59"/>
      <x:c r="V131" s="59"/>
    </x:row>
    <x:row r="132">
      <x:c r="A132" s="59"/>
      <x:c r="B132" s="59"/>
      <x:c r="C132" s="59"/>
      <x:c r="D132" s="59"/>
      <x:c r="E132" s="59"/>
      <x:c r="F132" s="59"/>
      <x:c r="G132" s="59"/>
      <x:c r="H132" s="59"/>
      <x:c r="I132" s="59"/>
      <x:c r="J132" s="59"/>
      <x:c r="K132" s="59"/>
      <x:c r="L132" s="59"/>
      <x:c r="M132" s="59"/>
      <x:c r="N132" s="59"/>
      <x:c r="O132" s="59"/>
      <x:c r="P132" s="59"/>
      <x:c r="Q132" s="59"/>
      <x:c r="R132" s="59"/>
      <x:c r="S132" s="59"/>
      <x:c r="T132" s="59"/>
      <x:c r="U132" s="59"/>
      <x:c r="V132" s="59"/>
    </x:row>
    <x:row r="133">
      <x:c r="A133" s="59"/>
      <x:c r="B133" s="59"/>
      <x:c r="C133" s="59"/>
      <x:c r="D133" s="59"/>
      <x:c r="E133" s="59"/>
      <x:c r="F133" s="59"/>
      <x:c r="G133" s="59"/>
      <x:c r="H133" s="59"/>
      <x:c r="I133" s="59"/>
      <x:c r="J133" s="59"/>
      <x:c r="K133" s="59"/>
      <x:c r="L133" s="59"/>
      <x:c r="M133" s="59"/>
      <x:c r="N133" s="59"/>
      <x:c r="O133" s="59"/>
      <x:c r="P133" s="59"/>
      <x:c r="Q133" s="59"/>
      <x:c r="R133" s="59"/>
      <x:c r="S133" s="59"/>
      <x:c r="T133" s="59"/>
      <x:c r="U133" s="59"/>
      <x:c r="V133" s="59"/>
    </x:row>
    <x:row r="134">
      <x:c r="A134" s="59"/>
      <x:c r="B134" s="59"/>
      <x:c r="C134" s="59"/>
      <x:c r="D134" s="59"/>
      <x:c r="E134" s="59"/>
      <x:c r="F134" s="59"/>
      <x:c r="G134" s="59"/>
      <x:c r="H134" s="59"/>
      <x:c r="I134" s="59"/>
      <x:c r="J134" s="59"/>
      <x:c r="K134" s="59"/>
      <x:c r="L134" s="59"/>
      <x:c r="M134" s="59"/>
      <x:c r="N134" s="59"/>
      <x:c r="O134" s="59"/>
      <x:c r="P134" s="59"/>
      <x:c r="Q134" s="59"/>
      <x:c r="R134" s="59"/>
      <x:c r="S134" s="59"/>
      <x:c r="T134" s="59"/>
      <x:c r="U134" s="59"/>
      <x:c r="V134" s="59"/>
    </x:row>
    <x:row r="135">
      <x:c r="A135" s="59"/>
      <x:c r="B135" s="59"/>
      <x:c r="C135" s="59"/>
      <x:c r="D135" s="59"/>
      <x:c r="E135" s="59"/>
      <x:c r="F135" s="59"/>
      <x:c r="G135" s="59"/>
      <x:c r="H135" s="59"/>
      <x:c r="I135" s="59"/>
      <x:c r="J135" s="59"/>
      <x:c r="K135" s="59"/>
      <x:c r="L135" s="59"/>
      <x:c r="M135" s="59"/>
      <x:c r="N135" s="59"/>
      <x:c r="O135" s="59"/>
      <x:c r="P135" s="59"/>
      <x:c r="Q135" s="59"/>
      <x:c r="R135" s="59"/>
      <x:c r="S135" s="59"/>
      <x:c r="T135" s="59"/>
      <x:c r="U135" s="59"/>
      <x:c r="V135" s="59"/>
    </x:row>
    <x:row r="136">
      <x:c r="A136" s="59"/>
      <x:c r="B136" s="59"/>
      <x:c r="C136" s="59"/>
      <x:c r="D136" s="59"/>
      <x:c r="E136" s="59"/>
      <x:c r="F136" s="59"/>
      <x:c r="G136" s="59"/>
      <x:c r="H136" s="59"/>
      <x:c r="I136" s="59"/>
      <x:c r="J136" s="59"/>
      <x:c r="K136" s="59"/>
      <x:c r="L136" s="59"/>
      <x:c r="M136" s="59"/>
      <x:c r="N136" s="59"/>
      <x:c r="O136" s="59"/>
      <x:c r="P136" s="59"/>
      <x:c r="Q136" s="59"/>
      <x:c r="R136" s="59"/>
      <x:c r="S136" s="59"/>
      <x:c r="T136" s="59"/>
      <x:c r="U136" s="59"/>
      <x:c r="V136" s="59"/>
    </x:row>
    <x:row r="137">
      <x:c r="A137" s="59"/>
      <x:c r="B137" s="59"/>
      <x:c r="C137" s="59"/>
      <x:c r="D137" s="59"/>
      <x:c r="E137" s="59"/>
      <x:c r="F137" s="59"/>
      <x:c r="G137" s="59"/>
      <x:c r="H137" s="59"/>
      <x:c r="I137" s="59"/>
      <x:c r="J137" s="59"/>
      <x:c r="K137" s="59"/>
      <x:c r="L137" s="59"/>
      <x:c r="M137" s="59"/>
      <x:c r="N137" s="59"/>
      <x:c r="O137" s="59"/>
      <x:c r="P137" s="59"/>
      <x:c r="Q137" s="59"/>
      <x:c r="R137" s="59"/>
      <x:c r="S137" s="59"/>
      <x:c r="T137" s="59"/>
      <x:c r="U137" s="59"/>
      <x:c r="V137" s="59"/>
    </x:row>
    <x:row r="138">
      <x:c r="A138" s="59"/>
      <x:c r="B138" s="59"/>
      <x:c r="C138" s="59"/>
      <x:c r="D138" s="59"/>
      <x:c r="E138" s="59"/>
      <x:c r="F138" s="59"/>
      <x:c r="G138" s="59"/>
      <x:c r="H138" s="59"/>
      <x:c r="I138" s="59"/>
      <x:c r="J138" s="59"/>
      <x:c r="K138" s="59"/>
      <x:c r="L138" s="59"/>
      <x:c r="M138" s="59"/>
      <x:c r="N138" s="59"/>
      <x:c r="O138" s="59"/>
      <x:c r="P138" s="59"/>
      <x:c r="Q138" s="59"/>
      <x:c r="R138" s="59"/>
      <x:c r="S138" s="59"/>
      <x:c r="T138" s="59"/>
      <x:c r="U138" s="59"/>
      <x:c r="V138" s="59"/>
    </x:row>
    <x:row r="139">
      <x:c r="A139" s="59"/>
      <x:c r="B139" s="59"/>
      <x:c r="C139" s="59"/>
      <x:c r="D139" s="59"/>
      <x:c r="E139" s="59"/>
      <x:c r="F139" s="59"/>
      <x:c r="G139" s="59"/>
      <x:c r="H139" s="59"/>
      <x:c r="I139" s="59"/>
      <x:c r="J139" s="59"/>
      <x:c r="K139" s="59"/>
      <x:c r="L139" s="59"/>
      <x:c r="M139" s="59"/>
      <x:c r="N139" s="59"/>
      <x:c r="O139" s="59"/>
      <x:c r="P139" s="59"/>
      <x:c r="Q139" s="59"/>
      <x:c r="R139" s="59"/>
      <x:c r="S139" s="59"/>
      <x:c r="T139" s="59"/>
      <x:c r="U139" s="59"/>
      <x:c r="V139" s="59"/>
    </x:row>
    <x:row r="140">
      <x:c r="A140" s="59"/>
      <x:c r="B140" s="59"/>
      <x:c r="C140" s="59"/>
      <x:c r="D140" s="59"/>
      <x:c r="E140" s="59"/>
      <x:c r="F140" s="59"/>
      <x:c r="G140" s="59"/>
      <x:c r="H140" s="59"/>
      <x:c r="I140" s="59"/>
      <x:c r="J140" s="59"/>
      <x:c r="K140" s="59"/>
      <x:c r="L140" s="59"/>
      <x:c r="M140" s="59"/>
      <x:c r="N140" s="59"/>
      <x:c r="O140" s="59"/>
      <x:c r="P140" s="59"/>
      <x:c r="Q140" s="59"/>
      <x:c r="R140" s="59"/>
      <x:c r="S140" s="59"/>
      <x:c r="T140" s="59"/>
      <x:c r="U140" s="59"/>
      <x:c r="V140" s="59"/>
    </x:row>
    <x:row r="141">
      <x:c r="A141" s="59"/>
      <x:c r="B141" s="59"/>
      <x:c r="C141" s="59"/>
      <x:c r="D141" s="59"/>
      <x:c r="E141" s="59"/>
      <x:c r="F141" s="59"/>
      <x:c r="G141" s="59"/>
      <x:c r="H141" s="59"/>
      <x:c r="I141" s="59"/>
      <x:c r="J141" s="59"/>
      <x:c r="K141" s="59"/>
      <x:c r="L141" s="59"/>
      <x:c r="M141" s="59"/>
      <x:c r="N141" s="59"/>
      <x:c r="O141" s="59"/>
      <x:c r="P141" s="59"/>
      <x:c r="Q141" s="59"/>
      <x:c r="R141" s="59"/>
      <x:c r="S141" s="59"/>
      <x:c r="T141" s="59"/>
      <x:c r="U141" s="59"/>
      <x:c r="V141" s="59"/>
    </x:row>
    <x:row r="142">
      <x:c r="A142" s="59"/>
      <x:c r="B142" s="59"/>
      <x:c r="C142" s="59"/>
      <x:c r="D142" s="59"/>
      <x:c r="E142" s="59"/>
      <x:c r="F142" s="59"/>
      <x:c r="G142" s="59"/>
      <x:c r="H142" s="59"/>
      <x:c r="I142" s="59"/>
      <x:c r="J142" s="59"/>
      <x:c r="K142" s="59"/>
      <x:c r="L142" s="59"/>
      <x:c r="M142" s="59"/>
      <x:c r="N142" s="59"/>
      <x:c r="O142" s="59"/>
      <x:c r="P142" s="59"/>
      <x:c r="Q142" s="59"/>
      <x:c r="R142" s="59"/>
      <x:c r="S142" s="59"/>
      <x:c r="T142" s="59"/>
      <x:c r="U142" s="59"/>
      <x:c r="V142" s="59"/>
    </x:row>
    <x:row r="143">
      <x:c r="A143" s="59"/>
      <x:c r="B143" s="59"/>
      <x:c r="C143" s="59"/>
      <x:c r="D143" s="59"/>
      <x:c r="E143" s="59"/>
      <x:c r="F143" s="59"/>
      <x:c r="G143" s="59"/>
      <x:c r="H143" s="59"/>
      <x:c r="I143" s="59"/>
      <x:c r="J143" s="59"/>
      <x:c r="K143" s="59"/>
      <x:c r="L143" s="59"/>
      <x:c r="M143" s="59"/>
      <x:c r="N143" s="59"/>
      <x:c r="O143" s="59"/>
      <x:c r="P143" s="59"/>
      <x:c r="Q143" s="59"/>
      <x:c r="R143" s="59"/>
      <x:c r="S143" s="59"/>
      <x:c r="T143" s="59"/>
      <x:c r="U143" s="59"/>
      <x:c r="V143" s="59"/>
    </x:row>
    <x:row r="144">
      <x:c r="A144" s="59"/>
      <x:c r="B144" s="59"/>
      <x:c r="C144" s="59"/>
      <x:c r="D144" s="59"/>
      <x:c r="E144" s="59"/>
      <x:c r="F144" s="59"/>
      <x:c r="G144" s="59"/>
      <x:c r="H144" s="59"/>
      <x:c r="I144" s="59"/>
      <x:c r="J144" s="59"/>
      <x:c r="K144" s="59"/>
      <x:c r="L144" s="59"/>
      <x:c r="M144" s="59"/>
      <x:c r="N144" s="59"/>
      <x:c r="O144" s="59"/>
      <x:c r="P144" s="59"/>
      <x:c r="Q144" s="59"/>
      <x:c r="R144" s="59"/>
      <x:c r="S144" s="59"/>
      <x:c r="T144" s="59"/>
      <x:c r="U144" s="59"/>
      <x:c r="V144" s="59"/>
    </x:row>
    <x:row r="145">
      <x:c r="A145" s="59"/>
      <x:c r="B145" s="59"/>
      <x:c r="C145" s="59"/>
      <x:c r="D145" s="59"/>
      <x:c r="E145" s="59"/>
      <x:c r="F145" s="59"/>
      <x:c r="G145" s="59"/>
      <x:c r="H145" s="59"/>
      <x:c r="I145" s="59"/>
      <x:c r="J145" s="59"/>
      <x:c r="K145" s="59"/>
      <x:c r="L145" s="59"/>
      <x:c r="M145" s="59"/>
      <x:c r="N145" s="59"/>
      <x:c r="O145" s="59"/>
      <x:c r="P145" s="59"/>
      <x:c r="Q145" s="59"/>
      <x:c r="R145" s="59"/>
      <x:c r="S145" s="59"/>
      <x:c r="T145" s="59"/>
      <x:c r="U145" s="59"/>
      <x:c r="V145" s="59"/>
    </x:row>
    <x:row r="146">
      <x:c r="A146" s="59"/>
      <x:c r="B146" s="59"/>
      <x:c r="C146" s="59"/>
      <x:c r="D146" s="59"/>
      <x:c r="E146" s="59"/>
      <x:c r="F146" s="59"/>
      <x:c r="G146" s="59"/>
      <x:c r="H146" s="59"/>
      <x:c r="I146" s="59"/>
      <x:c r="J146" s="59"/>
      <x:c r="K146" s="59"/>
      <x:c r="L146" s="59"/>
      <x:c r="M146" s="59"/>
      <x:c r="N146" s="59"/>
      <x:c r="O146" s="59"/>
      <x:c r="P146" s="59"/>
      <x:c r="Q146" s="59"/>
      <x:c r="R146" s="59"/>
      <x:c r="S146" s="59"/>
      <x:c r="T146" s="59"/>
      <x:c r="U146" s="59"/>
      <x:c r="V146" s="59"/>
    </x:row>
    <x:row r="147">
      <x:c r="A147" s="59"/>
      <x:c r="B147" s="59"/>
      <x:c r="C147" s="59"/>
      <x:c r="D147" s="59"/>
      <x:c r="E147" s="59"/>
      <x:c r="F147" s="59"/>
      <x:c r="G147" s="59"/>
      <x:c r="H147" s="59"/>
      <x:c r="I147" s="59"/>
      <x:c r="J147" s="59"/>
      <x:c r="K147" s="59"/>
      <x:c r="L147" s="59"/>
      <x:c r="M147" s="59"/>
      <x:c r="N147" s="59"/>
      <x:c r="O147" s="59"/>
      <x:c r="P147" s="59"/>
      <x:c r="Q147" s="59"/>
      <x:c r="R147" s="59"/>
      <x:c r="S147" s="59"/>
      <x:c r="T147" s="59"/>
      <x:c r="U147" s="59"/>
      <x:c r="V147" s="59"/>
    </x:row>
    <x:row r="148">
      <x:c r="A148" s="59"/>
      <x:c r="B148" s="59"/>
      <x:c r="C148" s="59"/>
      <x:c r="D148" s="59"/>
      <x:c r="E148" s="59"/>
      <x:c r="F148" s="59"/>
      <x:c r="G148" s="59"/>
      <x:c r="H148" s="59"/>
      <x:c r="I148" s="59"/>
      <x:c r="J148" s="59"/>
      <x:c r="K148" s="59"/>
      <x:c r="L148" s="59"/>
      <x:c r="M148" s="59"/>
      <x:c r="N148" s="59"/>
      <x:c r="O148" s="59"/>
      <x:c r="P148" s="59"/>
      <x:c r="Q148" s="59"/>
      <x:c r="R148" s="59"/>
      <x:c r="S148" s="59"/>
      <x:c r="T148" s="59"/>
      <x:c r="U148" s="59"/>
      <x:c r="V148" s="59"/>
    </x:row>
    <x:row r="149">
      <x:c r="A149" s="59"/>
      <x:c r="B149" s="59"/>
      <x:c r="C149" s="59"/>
      <x:c r="D149" s="59"/>
      <x:c r="E149" s="59"/>
      <x:c r="F149" s="59"/>
      <x:c r="G149" s="59"/>
      <x:c r="H149" s="59"/>
      <x:c r="I149" s="59"/>
      <x:c r="J149" s="59"/>
      <x:c r="K149" s="59"/>
      <x:c r="L149" s="59"/>
      <x:c r="M149" s="59"/>
      <x:c r="N149" s="59"/>
      <x:c r="O149" s="59"/>
      <x:c r="P149" s="59"/>
      <x:c r="Q149" s="59"/>
      <x:c r="R149" s="59"/>
      <x:c r="S149" s="59"/>
      <x:c r="T149" s="59"/>
      <x:c r="U149" s="59"/>
      <x:c r="V149" s="59"/>
    </x:row>
    <x:row r="150">
      <x:c r="A150" s="59"/>
      <x:c r="B150" s="59"/>
      <x:c r="C150" s="59"/>
      <x:c r="D150" s="59"/>
      <x:c r="E150" s="59"/>
      <x:c r="F150" s="59"/>
      <x:c r="G150" s="59"/>
      <x:c r="H150" s="59"/>
      <x:c r="I150" s="59"/>
      <x:c r="J150" s="59"/>
      <x:c r="K150" s="59"/>
      <x:c r="L150" s="59"/>
      <x:c r="M150" s="59"/>
      <x:c r="N150" s="59"/>
      <x:c r="O150" s="59"/>
      <x:c r="P150" s="59"/>
      <x:c r="Q150" s="59"/>
      <x:c r="R150" s="59"/>
      <x:c r="S150" s="59"/>
      <x:c r="T150" s="59"/>
      <x:c r="U150" s="59"/>
      <x:c r="V150" s="59"/>
    </x:row>
    <x:row r="151">
      <x:c r="A151" s="59"/>
      <x:c r="B151" s="59"/>
      <x:c r="C151" s="59"/>
      <x:c r="D151" s="59"/>
      <x:c r="E151" s="59"/>
      <x:c r="F151" s="59"/>
      <x:c r="G151" s="59"/>
      <x:c r="H151" s="59"/>
      <x:c r="I151" s="59"/>
      <x:c r="J151" s="59"/>
      <x:c r="K151" s="59"/>
      <x:c r="L151" s="59"/>
      <x:c r="M151" s="59"/>
      <x:c r="N151" s="59"/>
      <x:c r="O151" s="59"/>
      <x:c r="P151" s="59"/>
      <x:c r="Q151" s="59"/>
      <x:c r="R151" s="59"/>
      <x:c r="S151" s="59"/>
      <x:c r="T151" s="59"/>
      <x:c r="U151" s="59"/>
      <x:c r="V151" s="59"/>
    </x:row>
    <x:row r="152">
      <x:c r="A152" s="59"/>
      <x:c r="B152" s="59"/>
      <x:c r="C152" s="59"/>
      <x:c r="D152" s="59"/>
      <x:c r="E152" s="59"/>
      <x:c r="F152" s="59"/>
      <x:c r="G152" s="59"/>
      <x:c r="H152" s="59"/>
      <x:c r="I152" s="59"/>
      <x:c r="J152" s="59"/>
      <x:c r="K152" s="59"/>
      <x:c r="L152" s="59"/>
      <x:c r="M152" s="59"/>
      <x:c r="N152" s="59"/>
      <x:c r="O152" s="59"/>
      <x:c r="P152" s="59"/>
      <x:c r="Q152" s="59"/>
      <x:c r="R152" s="59"/>
      <x:c r="S152" s="59"/>
      <x:c r="T152" s="59"/>
      <x:c r="U152" s="59"/>
      <x:c r="V152" s="59"/>
    </x:row>
    <x:row r="153">
      <x:c r="A153" s="59"/>
      <x:c r="B153" s="59"/>
      <x:c r="C153" s="59"/>
      <x:c r="D153" s="59"/>
      <x:c r="E153" s="59"/>
      <x:c r="F153" s="59"/>
      <x:c r="G153" s="59"/>
      <x:c r="H153" s="59"/>
      <x:c r="I153" s="59"/>
      <x:c r="J153" s="59"/>
      <x:c r="K153" s="59"/>
      <x:c r="L153" s="59"/>
      <x:c r="M153" s="59"/>
      <x:c r="N153" s="59"/>
      <x:c r="O153" s="59"/>
      <x:c r="P153" s="59"/>
      <x:c r="Q153" s="59"/>
      <x:c r="R153" s="59"/>
      <x:c r="S153" s="59"/>
      <x:c r="T153" s="59"/>
      <x:c r="U153" s="59"/>
      <x:c r="V153" s="59"/>
    </x:row>
    <x:row r="154">
      <x:c r="A154" s="59"/>
      <x:c r="B154" s="59"/>
      <x:c r="C154" s="59"/>
      <x:c r="D154" s="59"/>
      <x:c r="E154" s="59"/>
      <x:c r="F154" s="59"/>
      <x:c r="G154" s="59"/>
      <x:c r="H154" s="59"/>
      <x:c r="I154" s="59"/>
      <x:c r="J154" s="59"/>
      <x:c r="K154" s="59"/>
      <x:c r="L154" s="59"/>
      <x:c r="M154" s="59"/>
      <x:c r="N154" s="59"/>
      <x:c r="O154" s="59"/>
      <x:c r="P154" s="59"/>
      <x:c r="Q154" s="59"/>
      <x:c r="R154" s="59"/>
      <x:c r="S154" s="59"/>
      <x:c r="T154" s="59"/>
      <x:c r="U154" s="59"/>
      <x:c r="V154" s="59"/>
    </x:row>
    <x:row r="155">
      <x:c r="A155" s="59"/>
      <x:c r="B155" s="59"/>
      <x:c r="C155" s="59"/>
      <x:c r="D155" s="59"/>
      <x:c r="E155" s="59"/>
      <x:c r="F155" s="59"/>
      <x:c r="G155" s="59"/>
      <x:c r="H155" s="59"/>
      <x:c r="I155" s="59"/>
      <x:c r="J155" s="59"/>
      <x:c r="K155" s="59"/>
      <x:c r="L155" s="59"/>
      <x:c r="M155" s="59"/>
      <x:c r="N155" s="59"/>
      <x:c r="O155" s="59"/>
      <x:c r="P155" s="59"/>
      <x:c r="Q155" s="59"/>
      <x:c r="R155" s="59"/>
      <x:c r="S155" s="59"/>
      <x:c r="T155" s="59"/>
      <x:c r="U155" s="59"/>
      <x:c r="V155" s="59"/>
    </x:row>
    <x:row r="156">
      <x:c r="A156" s="59"/>
      <x:c r="B156" s="59"/>
      <x:c r="C156" s="59"/>
      <x:c r="D156" s="59"/>
      <x:c r="E156" s="59"/>
      <x:c r="F156" s="59"/>
      <x:c r="G156" s="59"/>
      <x:c r="H156" s="59"/>
      <x:c r="I156" s="59"/>
      <x:c r="J156" s="59"/>
      <x:c r="K156" s="59"/>
      <x:c r="L156" s="59"/>
      <x:c r="M156" s="59"/>
      <x:c r="N156" s="59"/>
      <x:c r="O156" s="59"/>
      <x:c r="P156" s="59"/>
      <x:c r="Q156" s="59"/>
      <x:c r="R156" s="59"/>
      <x:c r="S156" s="59"/>
      <x:c r="T156" s="59"/>
      <x:c r="U156" s="59"/>
      <x:c r="V156" s="59"/>
    </x:row>
    <x:row r="157">
      <x:c r="A157" s="59"/>
      <x:c r="B157" s="59"/>
      <x:c r="C157" s="59"/>
      <x:c r="D157" s="59"/>
      <x:c r="E157" s="59"/>
      <x:c r="F157" s="59"/>
      <x:c r="G157" s="59"/>
      <x:c r="H157" s="59"/>
      <x:c r="I157" s="59"/>
      <x:c r="J157" s="59"/>
      <x:c r="K157" s="59"/>
      <x:c r="L157" s="59"/>
      <x:c r="M157" s="59"/>
      <x:c r="N157" s="59"/>
      <x:c r="O157" s="59"/>
      <x:c r="P157" s="59"/>
      <x:c r="Q157" s="59"/>
      <x:c r="R157" s="59"/>
      <x:c r="S157" s="59"/>
      <x:c r="T157" s="59"/>
      <x:c r="U157" s="59"/>
      <x:c r="V157" s="59"/>
    </x:row>
    <x:row r="158">
      <x:c r="A158" s="59"/>
      <x:c r="B158" s="59"/>
      <x:c r="C158" s="59"/>
      <x:c r="D158" s="59"/>
      <x:c r="E158" s="59"/>
      <x:c r="F158" s="59"/>
      <x:c r="G158" s="59"/>
      <x:c r="H158" s="59"/>
      <x:c r="I158" s="59"/>
      <x:c r="J158" s="59"/>
      <x:c r="K158" s="59"/>
      <x:c r="L158" s="59"/>
      <x:c r="M158" s="59"/>
      <x:c r="N158" s="59"/>
      <x:c r="O158" s="59"/>
      <x:c r="P158" s="59"/>
      <x:c r="Q158" s="59"/>
      <x:c r="R158" s="59"/>
      <x:c r="S158" s="59"/>
      <x:c r="T158" s="59"/>
      <x:c r="U158" s="59"/>
      <x:c r="V158" s="59"/>
    </x:row>
    <x:row r="159">
      <x:c r="A159" s="59"/>
      <x:c r="B159" s="59"/>
      <x:c r="C159" s="59"/>
      <x:c r="D159" s="59"/>
      <x:c r="E159" s="59"/>
      <x:c r="F159" s="59"/>
      <x:c r="G159" s="59"/>
      <x:c r="H159" s="59"/>
      <x:c r="I159" s="59"/>
      <x:c r="J159" s="59"/>
      <x:c r="K159" s="59"/>
      <x:c r="L159" s="59"/>
      <x:c r="M159" s="59"/>
      <x:c r="N159" s="59"/>
      <x:c r="O159" s="59"/>
      <x:c r="P159" s="59"/>
      <x:c r="Q159" s="59"/>
      <x:c r="R159" s="59"/>
      <x:c r="S159" s="59"/>
      <x:c r="T159" s="59"/>
      <x:c r="U159" s="59"/>
      <x:c r="V159" s="59"/>
    </x:row>
    <x:row r="160">
      <x:c r="A160" s="59"/>
      <x:c r="B160" s="59"/>
      <x:c r="C160" s="59"/>
      <x:c r="D160" s="59"/>
      <x:c r="E160" s="59"/>
      <x:c r="F160" s="59"/>
      <x:c r="G160" s="59"/>
      <x:c r="H160" s="59"/>
      <x:c r="I160" s="59"/>
      <x:c r="J160" s="59"/>
      <x:c r="K160" s="59"/>
      <x:c r="L160" s="59"/>
      <x:c r="M160" s="59"/>
      <x:c r="N160" s="59"/>
      <x:c r="O160" s="59"/>
      <x:c r="P160" s="59"/>
      <x:c r="Q160" s="59"/>
      <x:c r="R160" s="59"/>
      <x:c r="S160" s="59"/>
      <x:c r="T160" s="59"/>
      <x:c r="U160" s="59"/>
      <x:c r="V160" s="59"/>
    </x:row>
    <x:row r="161">
      <x:c r="A161" s="59"/>
      <x:c r="B161" s="59"/>
      <x:c r="C161" s="59"/>
      <x:c r="D161" s="59"/>
      <x:c r="E161" s="59"/>
      <x:c r="F161" s="59"/>
      <x:c r="G161" s="59"/>
      <x:c r="H161" s="59"/>
      <x:c r="I161" s="59"/>
      <x:c r="J161" s="59"/>
      <x:c r="K161" s="59"/>
      <x:c r="L161" s="59"/>
      <x:c r="M161" s="59"/>
      <x:c r="N161" s="59"/>
      <x:c r="O161" s="59"/>
      <x:c r="P161" s="59"/>
      <x:c r="Q161" s="59"/>
      <x:c r="R161" s="59"/>
      <x:c r="S161" s="59"/>
      <x:c r="T161" s="59"/>
      <x:c r="U161" s="59"/>
      <x:c r="V161" s="59"/>
    </x:row>
    <x:row r="162">
      <x:c r="A162" s="59"/>
      <x:c r="B162" s="59"/>
      <x:c r="C162" s="59"/>
      <x:c r="D162" s="59"/>
      <x:c r="E162" s="59"/>
      <x:c r="F162" s="59"/>
      <x:c r="G162" s="59"/>
      <x:c r="H162" s="59"/>
      <x:c r="I162" s="59"/>
      <x:c r="J162" s="59"/>
      <x:c r="K162" s="59"/>
      <x:c r="L162" s="59"/>
      <x:c r="M162" s="59"/>
      <x:c r="N162" s="59"/>
      <x:c r="O162" s="59"/>
      <x:c r="P162" s="59"/>
      <x:c r="Q162" s="59"/>
      <x:c r="R162" s="59"/>
      <x:c r="S162" s="59"/>
      <x:c r="T162" s="59"/>
      <x:c r="U162" s="59"/>
      <x:c r="V162" s="59"/>
    </x:row>
    <x:row r="163">
      <x:c r="A163" s="59"/>
      <x:c r="B163" s="59"/>
      <x:c r="C163" s="59"/>
      <x:c r="D163" s="59"/>
      <x:c r="E163" s="59"/>
      <x:c r="F163" s="59"/>
      <x:c r="G163" s="59"/>
      <x:c r="H163" s="59"/>
      <x:c r="I163" s="59"/>
      <x:c r="J163" s="59"/>
      <x:c r="K163" s="59"/>
      <x:c r="L163" s="59"/>
      <x:c r="M163" s="59"/>
      <x:c r="N163" s="59"/>
      <x:c r="O163" s="59"/>
      <x:c r="P163" s="59"/>
      <x:c r="Q163" s="59"/>
      <x:c r="R163" s="59"/>
      <x:c r="S163" s="59"/>
      <x:c r="T163" s="59"/>
      <x:c r="U163" s="59"/>
      <x:c r="V163" s="59"/>
    </x:row>
    <x:row r="164">
      <x:c r="A164" s="59"/>
      <x:c r="B164" s="59"/>
      <x:c r="C164" s="59"/>
      <x:c r="D164" s="59"/>
      <x:c r="E164" s="59"/>
      <x:c r="F164" s="59"/>
      <x:c r="G164" s="59"/>
      <x:c r="H164" s="59"/>
      <x:c r="I164" s="59"/>
      <x:c r="J164" s="59"/>
      <x:c r="K164" s="59"/>
      <x:c r="L164" s="59"/>
      <x:c r="M164" s="59"/>
      <x:c r="N164" s="59"/>
      <x:c r="O164" s="59"/>
      <x:c r="P164" s="59"/>
      <x:c r="Q164" s="59"/>
      <x:c r="R164" s="59"/>
      <x:c r="S164" s="59"/>
      <x:c r="T164" s="59"/>
      <x:c r="U164" s="59"/>
      <x:c r="V164" s="59"/>
    </x:row>
    <x:row r="165">
      <x:c r="A165" s="59"/>
      <x:c r="B165" s="59"/>
      <x:c r="C165" s="59"/>
      <x:c r="D165" s="59"/>
      <x:c r="E165" s="59"/>
      <x:c r="F165" s="59"/>
      <x:c r="G165" s="59"/>
      <x:c r="H165" s="59"/>
      <x:c r="I165" s="59"/>
      <x:c r="J165" s="59"/>
      <x:c r="K165" s="59"/>
      <x:c r="L165" s="59"/>
      <x:c r="M165" s="59"/>
      <x:c r="N165" s="59"/>
      <x:c r="O165" s="59"/>
      <x:c r="P165" s="59"/>
      <x:c r="Q165" s="59"/>
      <x:c r="R165" s="59"/>
      <x:c r="S165" s="59"/>
      <x:c r="T165" s="59"/>
      <x:c r="U165" s="59"/>
      <x:c r="V165" s="59"/>
    </x:row>
    <x:row r="166">
      <x:c r="A166" s="59"/>
      <x:c r="B166" s="59"/>
      <x:c r="C166" s="59"/>
      <x:c r="D166" s="59"/>
      <x:c r="E166" s="59"/>
      <x:c r="F166" s="59"/>
      <x:c r="G166" s="59"/>
      <x:c r="H166" s="59"/>
      <x:c r="I166" s="59"/>
      <x:c r="J166" s="59"/>
      <x:c r="K166" s="59"/>
      <x:c r="L166" s="59"/>
      <x:c r="M166" s="59"/>
      <x:c r="N166" s="59"/>
      <x:c r="O166" s="59"/>
      <x:c r="P166" s="59"/>
      <x:c r="Q166" s="59"/>
      <x:c r="R166" s="59"/>
      <x:c r="S166" s="59"/>
      <x:c r="T166" s="59"/>
      <x:c r="U166" s="59"/>
      <x:c r="V166" s="59"/>
    </x:row>
    <x:row r="167">
      <x:c r="A167" s="59"/>
      <x:c r="B167" s="59"/>
      <x:c r="C167" s="59"/>
      <x:c r="D167" s="59"/>
      <x:c r="E167" s="59"/>
      <x:c r="F167" s="59"/>
      <x:c r="G167" s="59"/>
      <x:c r="H167" s="59"/>
      <x:c r="I167" s="59"/>
      <x:c r="J167" s="59"/>
      <x:c r="K167" s="59"/>
      <x:c r="L167" s="59"/>
      <x:c r="M167" s="59"/>
      <x:c r="N167" s="59"/>
      <x:c r="O167" s="59"/>
      <x:c r="P167" s="59"/>
      <x:c r="Q167" s="59"/>
      <x:c r="R167" s="59"/>
      <x:c r="S167" s="59"/>
      <x:c r="T167" s="59"/>
      <x:c r="U167" s="59"/>
      <x:c r="V167" s="59"/>
    </x:row>
    <x:row r="168">
      <x:c r="A168" s="59"/>
      <x:c r="B168" s="59"/>
      <x:c r="C168" s="59"/>
      <x:c r="D168" s="59"/>
      <x:c r="E168" s="59"/>
      <x:c r="F168" s="59"/>
      <x:c r="G168" s="59"/>
      <x:c r="H168" s="59"/>
      <x:c r="I168" s="59"/>
      <x:c r="J168" s="59"/>
      <x:c r="K168" s="59"/>
      <x:c r="L168" s="59"/>
      <x:c r="M168" s="59"/>
      <x:c r="N168" s="59"/>
      <x:c r="O168" s="59"/>
      <x:c r="P168" s="59"/>
      <x:c r="Q168" s="59"/>
      <x:c r="R168" s="59"/>
      <x:c r="S168" s="59"/>
      <x:c r="T168" s="59"/>
      <x:c r="U168" s="59"/>
      <x:c r="V168" s="59"/>
    </x:row>
    <x:row r="169">
      <x:c r="A169" s="59"/>
      <x:c r="B169" s="59"/>
      <x:c r="C169" s="59"/>
      <x:c r="D169" s="59"/>
      <x:c r="E169" s="59"/>
      <x:c r="F169" s="59"/>
      <x:c r="G169" s="59"/>
      <x:c r="H169" s="59"/>
      <x:c r="I169" s="59"/>
      <x:c r="J169" s="59"/>
      <x:c r="K169" s="59"/>
      <x:c r="L169" s="59"/>
      <x:c r="M169" s="59"/>
      <x:c r="N169" s="59"/>
      <x:c r="O169" s="59"/>
      <x:c r="P169" s="59"/>
      <x:c r="Q169" s="59"/>
      <x:c r="R169" s="59"/>
      <x:c r="S169" s="59"/>
      <x:c r="T169" s="59"/>
      <x:c r="U169" s="59"/>
      <x:c r="V169" s="59"/>
    </x:row>
    <x:row r="170">
      <x:c r="A170" s="59"/>
      <x:c r="B170" s="59"/>
      <x:c r="C170" s="59"/>
      <x:c r="D170" s="59"/>
      <x:c r="E170" s="59"/>
      <x:c r="F170" s="59"/>
      <x:c r="G170" s="59"/>
      <x:c r="H170" s="59"/>
      <x:c r="I170" s="59"/>
      <x:c r="J170" s="59"/>
      <x:c r="K170" s="59"/>
      <x:c r="L170" s="59"/>
      <x:c r="M170" s="59"/>
      <x:c r="N170" s="59"/>
      <x:c r="O170" s="59"/>
      <x:c r="P170" s="59"/>
      <x:c r="Q170" s="59"/>
      <x:c r="R170" s="59"/>
      <x:c r="S170" s="59"/>
      <x:c r="T170" s="59"/>
      <x:c r="U170" s="59"/>
      <x:c r="V170" s="59"/>
    </x:row>
    <x:row r="171">
      <x:c r="A171" s="59"/>
      <x:c r="B171" s="59"/>
      <x:c r="C171" s="59"/>
      <x:c r="D171" s="59"/>
      <x:c r="E171" s="59"/>
      <x:c r="F171" s="59"/>
      <x:c r="G171" s="59"/>
      <x:c r="H171" s="59"/>
      <x:c r="I171" s="59"/>
      <x:c r="J171" s="59"/>
      <x:c r="K171" s="59"/>
      <x:c r="L171" s="59"/>
      <x:c r="M171" s="59"/>
      <x:c r="N171" s="59"/>
      <x:c r="O171" s="59"/>
      <x:c r="P171" s="59"/>
      <x:c r="Q171" s="59"/>
      <x:c r="R171" s="59"/>
      <x:c r="S171" s="59"/>
      <x:c r="T171" s="59"/>
      <x:c r="U171" s="59"/>
      <x:c r="V171" s="59"/>
    </x:row>
    <x:row r="172">
      <x:c r="A172" s="59"/>
      <x:c r="B172" s="59"/>
      <x:c r="C172" s="59"/>
      <x:c r="D172" s="59"/>
      <x:c r="E172" s="59"/>
      <x:c r="F172" s="59"/>
      <x:c r="G172" s="59"/>
      <x:c r="H172" s="59"/>
      <x:c r="I172" s="59"/>
      <x:c r="J172" s="59"/>
      <x:c r="K172" s="59"/>
      <x:c r="L172" s="59"/>
      <x:c r="M172" s="59"/>
      <x:c r="N172" s="59"/>
      <x:c r="O172" s="59"/>
      <x:c r="P172" s="59"/>
      <x:c r="Q172" s="59"/>
      <x:c r="R172" s="59"/>
      <x:c r="S172" s="59"/>
      <x:c r="T172" s="59"/>
      <x:c r="U172" s="59"/>
      <x:c r="V172" s="59"/>
    </x:row>
    <x:row r="173">
      <x:c r="A173" s="59"/>
      <x:c r="B173" s="59"/>
      <x:c r="C173" s="59"/>
      <x:c r="D173" s="59"/>
      <x:c r="E173" s="59"/>
      <x:c r="F173" s="59"/>
      <x:c r="G173" s="59"/>
      <x:c r="H173" s="59"/>
      <x:c r="I173" s="59"/>
      <x:c r="J173" s="59"/>
      <x:c r="K173" s="59"/>
      <x:c r="L173" s="59"/>
      <x:c r="M173" s="59"/>
      <x:c r="N173" s="59"/>
      <x:c r="O173" s="59"/>
      <x:c r="P173" s="59"/>
      <x:c r="Q173" s="59"/>
      <x:c r="R173" s="59"/>
      <x:c r="S173" s="59"/>
      <x:c r="T173" s="59"/>
      <x:c r="U173" s="59"/>
      <x:c r="V173" s="59"/>
    </x:row>
    <x:row r="174">
      <x:c r="A174" s="59"/>
      <x:c r="B174" s="59"/>
      <x:c r="C174" s="59"/>
      <x:c r="D174" s="59"/>
      <x:c r="E174" s="59"/>
      <x:c r="F174" s="59"/>
      <x:c r="G174" s="59"/>
      <x:c r="H174" s="59"/>
      <x:c r="I174" s="59"/>
      <x:c r="J174" s="59"/>
      <x:c r="K174" s="59"/>
      <x:c r="L174" s="59"/>
      <x:c r="M174" s="59"/>
      <x:c r="N174" s="59"/>
      <x:c r="O174" s="59"/>
      <x:c r="P174" s="59"/>
      <x:c r="Q174" s="59"/>
      <x:c r="R174" s="59"/>
      <x:c r="S174" s="59"/>
      <x:c r="T174" s="59"/>
      <x:c r="U174" s="59"/>
      <x:c r="V174" s="59"/>
    </x:row>
    <x:row r="175">
      <x:c r="A175" s="59"/>
      <x:c r="B175" s="59"/>
      <x:c r="C175" s="59"/>
      <x:c r="D175" s="59"/>
      <x:c r="E175" s="59"/>
      <x:c r="F175" s="59"/>
      <x:c r="G175" s="59"/>
      <x:c r="H175" s="59"/>
      <x:c r="I175" s="59"/>
      <x:c r="J175" s="59"/>
      <x:c r="K175" s="59"/>
      <x:c r="L175" s="59"/>
      <x:c r="M175" s="59"/>
      <x:c r="N175" s="59"/>
      <x:c r="O175" s="59"/>
      <x:c r="P175" s="59"/>
      <x:c r="Q175" s="59"/>
      <x:c r="R175" s="59"/>
      <x:c r="S175" s="59"/>
      <x:c r="T175" s="59"/>
      <x:c r="U175" s="59"/>
      <x:c r="V175" s="59"/>
    </x:row>
    <x:row r="176">
      <x:c r="A176" s="59"/>
      <x:c r="B176" s="59"/>
      <x:c r="C176" s="59"/>
      <x:c r="D176" s="59"/>
      <x:c r="E176" s="59"/>
      <x:c r="F176" s="59"/>
      <x:c r="G176" s="59"/>
      <x:c r="H176" s="59"/>
      <x:c r="I176" s="59"/>
      <x:c r="J176" s="59"/>
      <x:c r="K176" s="59"/>
      <x:c r="L176" s="59"/>
      <x:c r="M176" s="59"/>
      <x:c r="N176" s="59"/>
      <x:c r="O176" s="59"/>
      <x:c r="P176" s="59"/>
      <x:c r="Q176" s="59"/>
      <x:c r="R176" s="59"/>
      <x:c r="S176" s="59"/>
      <x:c r="T176" s="59"/>
      <x:c r="U176" s="59"/>
      <x:c r="V176" s="59"/>
    </x:row>
    <x:row r="177">
      <x:c r="A177" s="59"/>
      <x:c r="B177" s="59"/>
      <x:c r="C177" s="59"/>
      <x:c r="D177" s="59"/>
      <x:c r="E177" s="59"/>
      <x:c r="F177" s="59"/>
      <x:c r="G177" s="59"/>
      <x:c r="H177" s="59"/>
      <x:c r="I177" s="59"/>
      <x:c r="J177" s="59"/>
      <x:c r="K177" s="59"/>
      <x:c r="L177" s="59"/>
      <x:c r="M177" s="59"/>
      <x:c r="N177" s="59"/>
      <x:c r="O177" s="59"/>
      <x:c r="P177" s="59"/>
      <x:c r="Q177" s="59"/>
      <x:c r="R177" s="59"/>
      <x:c r="S177" s="59"/>
      <x:c r="T177" s="59"/>
      <x:c r="U177" s="59"/>
      <x:c r="V177" s="59"/>
    </x:row>
    <x:row r="178">
      <x:c r="A178" s="59"/>
      <x:c r="B178" s="59"/>
      <x:c r="C178" s="59"/>
      <x:c r="D178" s="59"/>
      <x:c r="E178" s="59"/>
      <x:c r="F178" s="59"/>
      <x:c r="G178" s="59"/>
      <x:c r="H178" s="59"/>
      <x:c r="I178" s="59"/>
      <x:c r="J178" s="59"/>
      <x:c r="K178" s="59"/>
      <x:c r="L178" s="59"/>
      <x:c r="M178" s="59"/>
      <x:c r="N178" s="59"/>
      <x:c r="O178" s="59"/>
      <x:c r="P178" s="59"/>
      <x:c r="Q178" s="59"/>
      <x:c r="R178" s="59"/>
      <x:c r="S178" s="59"/>
      <x:c r="T178" s="59"/>
      <x:c r="U178" s="59"/>
      <x:c r="V178" s="59"/>
    </x:row>
    <x:row r="179">
      <x:c r="A179" s="59"/>
      <x:c r="B179" s="59"/>
      <x:c r="C179" s="59"/>
      <x:c r="D179" s="59"/>
      <x:c r="E179" s="59"/>
      <x:c r="F179" s="59"/>
      <x:c r="G179" s="59"/>
      <x:c r="H179" s="59"/>
      <x:c r="I179" s="59"/>
      <x:c r="J179" s="59"/>
      <x:c r="K179" s="59"/>
      <x:c r="L179" s="59"/>
      <x:c r="M179" s="59"/>
      <x:c r="N179" s="59"/>
      <x:c r="O179" s="59"/>
      <x:c r="P179" s="59"/>
      <x:c r="Q179" s="59"/>
      <x:c r="R179" s="59"/>
      <x:c r="S179" s="59"/>
      <x:c r="T179" s="59"/>
      <x:c r="U179" s="59"/>
      <x:c r="V179" s="59"/>
    </x:row>
    <x:row r="180">
      <x:c r="A180" s="59"/>
      <x:c r="B180" s="59"/>
      <x:c r="C180" s="59"/>
      <x:c r="D180" s="59"/>
      <x:c r="E180" s="59"/>
      <x:c r="F180" s="59"/>
      <x:c r="G180" s="59"/>
      <x:c r="H180" s="59"/>
      <x:c r="I180" s="59"/>
      <x:c r="J180" s="59"/>
      <x:c r="K180" s="59"/>
      <x:c r="L180" s="59"/>
      <x:c r="M180" s="59"/>
      <x:c r="N180" s="59"/>
      <x:c r="O180" s="59"/>
      <x:c r="P180" s="59"/>
      <x:c r="Q180" s="59"/>
      <x:c r="R180" s="59"/>
      <x:c r="S180" s="59"/>
      <x:c r="T180" s="59"/>
      <x:c r="U180" s="59"/>
      <x:c r="V180" s="59"/>
    </x:row>
    <x:row r="181">
      <x:c r="A181" s="59"/>
      <x:c r="B181" s="59"/>
      <x:c r="C181" s="59"/>
      <x:c r="D181" s="59"/>
      <x:c r="E181" s="59"/>
      <x:c r="F181" s="59"/>
      <x:c r="G181" s="59"/>
      <x:c r="H181" s="59"/>
      <x:c r="I181" s="59"/>
      <x:c r="J181" s="59"/>
      <x:c r="K181" s="59"/>
      <x:c r="L181" s="59"/>
      <x:c r="M181" s="59"/>
      <x:c r="N181" s="59"/>
      <x:c r="O181" s="59"/>
      <x:c r="P181" s="59"/>
      <x:c r="Q181" s="59"/>
      <x:c r="R181" s="59"/>
      <x:c r="S181" s="59"/>
      <x:c r="T181" s="59"/>
      <x:c r="U181" s="59"/>
      <x:c r="V181" s="59"/>
    </x:row>
    <x:row r="182">
      <x:c r="A182" s="59"/>
      <x:c r="B182" s="59"/>
      <x:c r="C182" s="59"/>
      <x:c r="D182" s="59"/>
      <x:c r="E182" s="59"/>
      <x:c r="F182" s="59"/>
      <x:c r="G182" s="59"/>
      <x:c r="H182" s="59"/>
      <x:c r="I182" s="59"/>
      <x:c r="J182" s="59"/>
      <x:c r="K182" s="59"/>
      <x:c r="L182" s="59"/>
      <x:c r="M182" s="59"/>
      <x:c r="N182" s="59"/>
      <x:c r="O182" s="59"/>
      <x:c r="P182" s="59"/>
      <x:c r="Q182" s="59"/>
      <x:c r="R182" s="59"/>
      <x:c r="S182" s="59"/>
      <x:c r="T182" s="59"/>
      <x:c r="U182" s="59"/>
      <x:c r="V182" s="59"/>
    </x:row>
    <x:row r="183">
      <x:c r="A183" s="59"/>
      <x:c r="B183" s="59"/>
      <x:c r="C183" s="59"/>
      <x:c r="D183" s="59"/>
      <x:c r="E183" s="59"/>
      <x:c r="F183" s="59"/>
      <x:c r="G183" s="59"/>
      <x:c r="H183" s="59"/>
      <x:c r="I183" s="59"/>
      <x:c r="J183" s="59"/>
      <x:c r="K183" s="59"/>
      <x:c r="L183" s="59"/>
      <x:c r="M183" s="59"/>
      <x:c r="N183" s="59"/>
      <x:c r="O183" s="59"/>
      <x:c r="P183" s="59"/>
      <x:c r="Q183" s="59"/>
      <x:c r="R183" s="59"/>
      <x:c r="S183" s="59"/>
      <x:c r="T183" s="59"/>
      <x:c r="U183" s="59"/>
      <x:c r="V183" s="59"/>
    </x:row>
    <x:row r="184">
      <x:c r="A184" s="59"/>
      <x:c r="B184" s="59"/>
      <x:c r="C184" s="59"/>
      <x:c r="D184" s="59"/>
      <x:c r="E184" s="59"/>
      <x:c r="F184" s="59"/>
      <x:c r="G184" s="59"/>
      <x:c r="H184" s="59"/>
      <x:c r="I184" s="59"/>
      <x:c r="J184" s="59"/>
      <x:c r="K184" s="59"/>
      <x:c r="L184" s="59"/>
      <x:c r="M184" s="59"/>
      <x:c r="N184" s="59"/>
      <x:c r="O184" s="59"/>
      <x:c r="P184" s="59"/>
      <x:c r="Q184" s="59"/>
      <x:c r="R184" s="59"/>
      <x:c r="S184" s="59"/>
      <x:c r="T184" s="59"/>
      <x:c r="U184" s="59"/>
      <x:c r="V184" s="59"/>
    </x:row>
    <x:row r="185">
      <x:c r="A185" s="59"/>
      <x:c r="B185" s="59"/>
      <x:c r="C185" s="59"/>
      <x:c r="D185" s="59"/>
      <x:c r="E185" s="59"/>
      <x:c r="F185" s="59"/>
      <x:c r="G185" s="59"/>
      <x:c r="H185" s="59"/>
      <x:c r="I185" s="59"/>
      <x:c r="J185" s="59"/>
      <x:c r="K185" s="59"/>
      <x:c r="L185" s="59"/>
      <x:c r="M185" s="59"/>
      <x:c r="N185" s="59"/>
      <x:c r="O185" s="59"/>
      <x:c r="P185" s="59"/>
      <x:c r="Q185" s="59"/>
      <x:c r="R185" s="59"/>
      <x:c r="S185" s="59"/>
      <x:c r="T185" s="59"/>
      <x:c r="U185" s="59"/>
      <x:c r="V185" s="59"/>
    </x:row>
    <x:row r="186">
      <x:c r="A186" s="59"/>
      <x:c r="B186" s="59"/>
      <x:c r="C186" s="59"/>
      <x:c r="D186" s="59"/>
      <x:c r="E186" s="59"/>
      <x:c r="F186" s="59"/>
      <x:c r="G186" s="59"/>
      <x:c r="H186" s="59"/>
      <x:c r="I186" s="59"/>
      <x:c r="J186" s="59"/>
      <x:c r="K186" s="59"/>
      <x:c r="L186" s="59"/>
      <x:c r="M186" s="59"/>
      <x:c r="N186" s="59"/>
      <x:c r="O186" s="59"/>
      <x:c r="P186" s="59"/>
      <x:c r="Q186" s="59"/>
      <x:c r="R186" s="59"/>
      <x:c r="S186" s="59"/>
      <x:c r="T186" s="59"/>
      <x:c r="U186" s="59"/>
      <x:c r="V186" s="59"/>
    </x:row>
    <x:row r="187">
      <x:c r="A187" s="59"/>
      <x:c r="B187" s="59"/>
      <x:c r="C187" s="59"/>
      <x:c r="D187" s="59"/>
      <x:c r="E187" s="59"/>
      <x:c r="F187" s="59"/>
      <x:c r="G187" s="59"/>
      <x:c r="H187" s="59"/>
      <x:c r="I187" s="59"/>
      <x:c r="J187" s="59"/>
      <x:c r="K187" s="59"/>
      <x:c r="L187" s="59"/>
      <x:c r="M187" s="59"/>
      <x:c r="N187" s="59"/>
      <x:c r="O187" s="59"/>
      <x:c r="P187" s="59"/>
      <x:c r="Q187" s="59"/>
      <x:c r="R187" s="59"/>
      <x:c r="S187" s="59"/>
      <x:c r="T187" s="59"/>
      <x:c r="U187" s="59"/>
      <x:c r="V187" s="59"/>
    </x:row>
    <x:row r="188">
      <x:c r="A188" s="59"/>
      <x:c r="B188" s="59"/>
      <x:c r="C188" s="59"/>
      <x:c r="D188" s="59"/>
      <x:c r="E188" s="59"/>
      <x:c r="F188" s="59"/>
      <x:c r="G188" s="59"/>
      <x:c r="H188" s="59"/>
      <x:c r="I188" s="59"/>
      <x:c r="J188" s="59"/>
      <x:c r="K188" s="59"/>
      <x:c r="L188" s="59"/>
      <x:c r="M188" s="59"/>
      <x:c r="N188" s="59"/>
      <x:c r="O188" s="59"/>
      <x:c r="P188" s="59"/>
      <x:c r="Q188" s="59"/>
      <x:c r="R188" s="59"/>
      <x:c r="S188" s="59"/>
      <x:c r="T188" s="59"/>
      <x:c r="U188" s="59"/>
      <x:c r="V188" s="59"/>
    </x:row>
    <x:row r="189">
      <x:c r="A189" s="59"/>
      <x:c r="B189" s="59"/>
      <x:c r="C189" s="59"/>
      <x:c r="D189" s="59"/>
      <x:c r="E189" s="59"/>
      <x:c r="F189" s="59"/>
      <x:c r="G189" s="59"/>
      <x:c r="H189" s="59"/>
      <x:c r="I189" s="59"/>
      <x:c r="J189" s="59"/>
      <x:c r="K189" s="59"/>
      <x:c r="L189" s="59"/>
      <x:c r="M189" s="59"/>
      <x:c r="N189" s="59"/>
      <x:c r="O189" s="59"/>
      <x:c r="P189" s="59"/>
      <x:c r="Q189" s="59"/>
      <x:c r="R189" s="59"/>
      <x:c r="S189" s="59"/>
      <x:c r="T189" s="59"/>
      <x:c r="U189" s="59"/>
      <x:c r="V189" s="59"/>
    </x:row>
    <x:row r="190">
      <x:c r="A190" s="59"/>
      <x:c r="B190" s="59"/>
      <x:c r="C190" s="59"/>
      <x:c r="D190" s="59"/>
      <x:c r="E190" s="59"/>
      <x:c r="F190" s="59"/>
      <x:c r="G190" s="59"/>
      <x:c r="H190" s="59"/>
      <x:c r="I190" s="59"/>
      <x:c r="J190" s="59"/>
      <x:c r="K190" s="59"/>
      <x:c r="L190" s="59"/>
      <x:c r="M190" s="59"/>
      <x:c r="N190" s="59"/>
      <x:c r="O190" s="59"/>
      <x:c r="P190" s="59"/>
      <x:c r="Q190" s="59"/>
      <x:c r="R190" s="59"/>
      <x:c r="S190" s="59"/>
      <x:c r="T190" s="59"/>
      <x:c r="U190" s="59"/>
      <x:c r="V190" s="59"/>
    </x:row>
    <x:row r="191">
      <x:c r="A191" s="59"/>
      <x:c r="B191" s="59"/>
      <x:c r="C191" s="59"/>
      <x:c r="D191" s="59"/>
      <x:c r="E191" s="59"/>
      <x:c r="F191" s="59"/>
      <x:c r="G191" s="59"/>
      <x:c r="H191" s="59"/>
      <x:c r="I191" s="59"/>
      <x:c r="J191" s="59"/>
      <x:c r="K191" s="59"/>
      <x:c r="L191" s="59"/>
      <x:c r="M191" s="59"/>
      <x:c r="N191" s="59"/>
      <x:c r="O191" s="59"/>
      <x:c r="P191" s="59"/>
      <x:c r="Q191" s="59"/>
      <x:c r="R191" s="59"/>
      <x:c r="S191" s="59"/>
      <x:c r="T191" s="59"/>
      <x:c r="U191" s="59"/>
      <x:c r="V191" s="59"/>
    </x:row>
    <x:row r="192">
      <x:c r="A192" s="59"/>
      <x:c r="B192" s="59"/>
      <x:c r="C192" s="59"/>
      <x:c r="D192" s="59"/>
      <x:c r="E192" s="59"/>
      <x:c r="F192" s="59"/>
      <x:c r="G192" s="59"/>
      <x:c r="H192" s="59"/>
      <x:c r="I192" s="59"/>
      <x:c r="J192" s="59"/>
      <x:c r="K192" s="59"/>
      <x:c r="L192" s="59"/>
      <x:c r="M192" s="59"/>
      <x:c r="N192" s="59"/>
      <x:c r="O192" s="59"/>
      <x:c r="P192" s="59"/>
      <x:c r="Q192" s="59"/>
      <x:c r="R192" s="59"/>
      <x:c r="S192" s="59"/>
      <x:c r="T192" s="59"/>
      <x:c r="U192" s="59"/>
      <x:c r="V192" s="59"/>
    </x:row>
    <x:row r="193">
      <x:c r="A193" s="59"/>
      <x:c r="B193" s="59"/>
      <x:c r="C193" s="59"/>
      <x:c r="D193" s="59"/>
      <x:c r="E193" s="59"/>
      <x:c r="F193" s="59"/>
      <x:c r="G193" s="59"/>
      <x:c r="H193" s="59"/>
      <x:c r="I193" s="59"/>
      <x:c r="J193" s="59"/>
      <x:c r="K193" s="59"/>
      <x:c r="L193" s="59"/>
      <x:c r="M193" s="59"/>
      <x:c r="N193" s="59"/>
      <x:c r="O193" s="59"/>
      <x:c r="P193" s="59"/>
      <x:c r="Q193" s="59"/>
      <x:c r="R193" s="59"/>
      <x:c r="S193" s="59"/>
      <x:c r="T193" s="59"/>
      <x:c r="U193" s="59"/>
      <x:c r="V193" s="59"/>
    </x:row>
    <x:row r="194">
      <x:c r="A194" s="59"/>
      <x:c r="B194" s="59"/>
      <x:c r="C194" s="59"/>
      <x:c r="D194" s="59"/>
      <x:c r="E194" s="59"/>
      <x:c r="F194" s="59"/>
      <x:c r="G194" s="59"/>
      <x:c r="H194" s="59"/>
      <x:c r="I194" s="59"/>
      <x:c r="J194" s="59"/>
      <x:c r="K194" s="59"/>
      <x:c r="L194" s="59"/>
      <x:c r="M194" s="59"/>
      <x:c r="N194" s="59"/>
      <x:c r="O194" s="59"/>
      <x:c r="P194" s="59"/>
      <x:c r="Q194" s="59"/>
      <x:c r="R194" s="59"/>
      <x:c r="S194" s="59"/>
      <x:c r="T194" s="59"/>
      <x:c r="U194" s="59"/>
      <x:c r="V194" s="59"/>
    </x:row>
    <x:row r="195">
      <x:c r="A195" s="59"/>
      <x:c r="B195" s="59"/>
      <x:c r="C195" s="59"/>
      <x:c r="D195" s="59"/>
      <x:c r="E195" s="59"/>
      <x:c r="F195" s="59"/>
      <x:c r="G195" s="59"/>
      <x:c r="H195" s="59"/>
      <x:c r="I195" s="59"/>
      <x:c r="J195" s="59"/>
      <x:c r="K195" s="59"/>
      <x:c r="L195" s="59"/>
      <x:c r="M195" s="59"/>
      <x:c r="N195" s="59"/>
      <x:c r="O195" s="59"/>
      <x:c r="P195" s="59"/>
      <x:c r="Q195" s="59"/>
      <x:c r="R195" s="59"/>
      <x:c r="S195" s="59"/>
      <x:c r="T195" s="59"/>
      <x:c r="U195" s="59"/>
      <x:c r="V195" s="59"/>
    </x:row>
    <x:row r="196">
      <x:c r="A196" s="59"/>
      <x:c r="B196" s="59"/>
      <x:c r="C196" s="59"/>
      <x:c r="D196" s="59"/>
      <x:c r="E196" s="59"/>
      <x:c r="F196" s="59"/>
      <x:c r="G196" s="59"/>
      <x:c r="H196" s="59"/>
      <x:c r="I196" s="59"/>
      <x:c r="J196" s="59"/>
      <x:c r="K196" s="59"/>
      <x:c r="L196" s="59"/>
      <x:c r="M196" s="59"/>
      <x:c r="N196" s="59"/>
      <x:c r="O196" s="59"/>
      <x:c r="P196" s="59"/>
      <x:c r="Q196" s="59"/>
      <x:c r="R196" s="59"/>
      <x:c r="S196" s="59"/>
      <x:c r="T196" s="59"/>
      <x:c r="U196" s="59"/>
      <x:c r="V196" s="59"/>
    </x:row>
    <x:row r="197">
      <x:c r="A197" s="59"/>
      <x:c r="B197" s="59"/>
      <x:c r="C197" s="59"/>
      <x:c r="D197" s="59"/>
      <x:c r="E197" s="59"/>
      <x:c r="F197" s="59"/>
      <x:c r="G197" s="59"/>
      <x:c r="H197" s="59"/>
      <x:c r="I197" s="59"/>
      <x:c r="J197" s="59"/>
      <x:c r="K197" s="59"/>
      <x:c r="L197" s="59"/>
      <x:c r="M197" s="59"/>
      <x:c r="N197" s="59"/>
      <x:c r="O197" s="59"/>
      <x:c r="P197" s="59"/>
      <x:c r="Q197" s="59"/>
      <x:c r="R197" s="59"/>
      <x:c r="S197" s="59"/>
      <x:c r="T197" s="59"/>
      <x:c r="U197" s="59"/>
      <x:c r="V197" s="59"/>
    </x:row>
    <x:row r="198">
      <x:c r="A198" s="59"/>
      <x:c r="B198" s="59"/>
      <x:c r="C198" s="59"/>
      <x:c r="D198" s="59"/>
      <x:c r="E198" s="59"/>
      <x:c r="F198" s="59"/>
      <x:c r="G198" s="59"/>
      <x:c r="H198" s="59"/>
      <x:c r="I198" s="59"/>
      <x:c r="J198" s="59"/>
      <x:c r="K198" s="59"/>
      <x:c r="L198" s="59"/>
      <x:c r="M198" s="59"/>
      <x:c r="N198" s="59"/>
      <x:c r="O198" s="59"/>
      <x:c r="P198" s="59"/>
      <x:c r="Q198" s="59"/>
      <x:c r="R198" s="59"/>
      <x:c r="S198" s="59"/>
      <x:c r="T198" s="59"/>
      <x:c r="U198" s="59"/>
      <x:c r="V198" s="59"/>
    </x:row>
    <x:row r="199">
      <x:c r="A199" s="59"/>
      <x:c r="B199" s="59"/>
      <x:c r="C199" s="59"/>
      <x:c r="D199" s="59"/>
      <x:c r="E199" s="59"/>
      <x:c r="F199" s="59"/>
      <x:c r="G199" s="59"/>
      <x:c r="H199" s="59"/>
      <x:c r="I199" s="59"/>
      <x:c r="J199" s="59"/>
      <x:c r="K199" s="59"/>
      <x:c r="L199" s="59"/>
      <x:c r="M199" s="59"/>
      <x:c r="N199" s="59"/>
      <x:c r="O199" s="59"/>
      <x:c r="P199" s="59"/>
      <x:c r="Q199" s="59"/>
      <x:c r="R199" s="59"/>
      <x:c r="S199" s="59"/>
      <x:c r="T199" s="59"/>
      <x:c r="U199" s="59"/>
      <x:c r="V199" s="59"/>
    </x:row>
    <x:row r="200">
      <x:c r="A200" s="59"/>
      <x:c r="B200" s="59"/>
      <x:c r="C200" s="59"/>
      <x:c r="D200" s="59"/>
      <x:c r="E200" s="59"/>
      <x:c r="F200" s="59"/>
      <x:c r="G200" s="59"/>
      <x:c r="H200" s="59"/>
      <x:c r="I200" s="59"/>
      <x:c r="J200" s="59"/>
      <x:c r="K200" s="59"/>
      <x:c r="L200" s="59"/>
      <x:c r="M200" s="59"/>
      <x:c r="N200" s="59"/>
      <x:c r="O200" s="59"/>
      <x:c r="P200" s="59"/>
      <x:c r="Q200" s="59"/>
      <x:c r="R200" s="59"/>
      <x:c r="S200" s="59"/>
      <x:c r="T200" s="59"/>
      <x:c r="U200" s="59"/>
      <x:c r="V200" s="59"/>
    </x:row>
    <x:row r="201">
      <x:c r="A201" s="59"/>
      <x:c r="B201" s="59"/>
      <x:c r="C201" s="59"/>
      <x:c r="D201" s="59"/>
      <x:c r="E201" s="59"/>
      <x:c r="F201" s="59"/>
      <x:c r="G201" s="59"/>
      <x:c r="H201" s="59"/>
      <x:c r="I201" s="59"/>
      <x:c r="J201" s="59"/>
      <x:c r="K201" s="59"/>
      <x:c r="L201" s="59"/>
      <x:c r="M201" s="59"/>
      <x:c r="N201" s="59"/>
      <x:c r="O201" s="59"/>
      <x:c r="P201" s="59"/>
      <x:c r="Q201" s="59"/>
      <x:c r="R201" s="59"/>
      <x:c r="S201" s="59"/>
      <x:c r="T201" s="59"/>
      <x:c r="U201" s="59"/>
      <x:c r="V201" s="59"/>
    </x:row>
    <x:row r="202">
      <x:c r="A202" s="59"/>
      <x:c r="B202" s="59"/>
      <x:c r="C202" s="59"/>
      <x:c r="D202" s="59"/>
      <x:c r="E202" s="59"/>
      <x:c r="F202" s="59"/>
      <x:c r="G202" s="59"/>
      <x:c r="H202" s="59"/>
      <x:c r="I202" s="59"/>
      <x:c r="J202" s="59"/>
      <x:c r="K202" s="59"/>
      <x:c r="L202" s="59"/>
      <x:c r="M202" s="59"/>
      <x:c r="N202" s="59"/>
      <x:c r="O202" s="59"/>
      <x:c r="P202" s="59"/>
      <x:c r="Q202" s="59"/>
      <x:c r="R202" s="59"/>
      <x:c r="S202" s="59"/>
      <x:c r="T202" s="59"/>
      <x:c r="U202" s="59"/>
      <x:c r="V202" s="59"/>
    </x:row>
    <x:row r="203">
      <x:c r="A203" s="59"/>
      <x:c r="B203" s="59"/>
      <x:c r="C203" s="59"/>
      <x:c r="D203" s="59"/>
      <x:c r="E203" s="59"/>
      <x:c r="F203" s="59"/>
      <x:c r="G203" s="59"/>
      <x:c r="H203" s="59"/>
      <x:c r="I203" s="59"/>
      <x:c r="J203" s="59"/>
      <x:c r="K203" s="59"/>
      <x:c r="L203" s="59"/>
      <x:c r="M203" s="59"/>
      <x:c r="N203" s="59"/>
      <x:c r="O203" s="59"/>
      <x:c r="P203" s="59"/>
      <x:c r="Q203" s="59"/>
      <x:c r="R203" s="59"/>
      <x:c r="S203" s="59"/>
      <x:c r="T203" s="59"/>
      <x:c r="U203" s="59"/>
      <x:c r="V203" s="59"/>
    </x:row>
    <x:row r="204">
      <x:c r="A204" s="59"/>
      <x:c r="B204" s="59"/>
      <x:c r="C204" s="59"/>
      <x:c r="D204" s="59"/>
      <x:c r="E204" s="59"/>
      <x:c r="F204" s="59"/>
      <x:c r="G204" s="59"/>
      <x:c r="H204" s="59"/>
      <x:c r="I204" s="59"/>
      <x:c r="J204" s="59"/>
      <x:c r="K204" s="59"/>
      <x:c r="L204" s="59"/>
      <x:c r="M204" s="59"/>
      <x:c r="N204" s="59"/>
      <x:c r="O204" s="59"/>
      <x:c r="P204" s="59"/>
      <x:c r="Q204" s="59"/>
      <x:c r="R204" s="59"/>
      <x:c r="S204" s="59"/>
      <x:c r="T204" s="59"/>
      <x:c r="U204" s="59"/>
      <x:c r="V204" s="59"/>
    </x:row>
    <x:row r="205">
      <x:c r="A205" s="59"/>
      <x:c r="B205" s="59"/>
      <x:c r="C205" s="59"/>
      <x:c r="D205" s="59"/>
      <x:c r="E205" s="59"/>
      <x:c r="F205" s="59"/>
      <x:c r="G205" s="59"/>
      <x:c r="H205" s="59"/>
      <x:c r="I205" s="59"/>
      <x:c r="J205" s="59"/>
      <x:c r="K205" s="59"/>
      <x:c r="L205" s="59"/>
      <x:c r="M205" s="59"/>
      <x:c r="N205" s="59"/>
      <x:c r="O205" s="59"/>
      <x:c r="P205" s="59"/>
      <x:c r="Q205" s="59"/>
      <x:c r="R205" s="59"/>
      <x:c r="S205" s="59"/>
      <x:c r="T205" s="59"/>
      <x:c r="U205" s="59"/>
      <x:c r="V205" s="59"/>
    </x:row>
    <x:row r="206">
      <x:c r="A206" s="59"/>
      <x:c r="B206" s="59"/>
      <x:c r="C206" s="59"/>
      <x:c r="D206" s="59"/>
      <x:c r="E206" s="59"/>
      <x:c r="F206" s="59"/>
      <x:c r="G206" s="59"/>
      <x:c r="H206" s="59"/>
      <x:c r="I206" s="59"/>
      <x:c r="J206" s="59"/>
      <x:c r="K206" s="59"/>
      <x:c r="L206" s="59"/>
      <x:c r="M206" s="59"/>
      <x:c r="N206" s="59"/>
      <x:c r="O206" s="59"/>
      <x:c r="P206" s="59"/>
      <x:c r="Q206" s="59"/>
      <x:c r="R206" s="59"/>
      <x:c r="S206" s="59"/>
      <x:c r="T206" s="59"/>
      <x:c r="U206" s="59"/>
      <x:c r="V206" s="59"/>
    </x:row>
    <x:row r="207">
      <x:c r="A207" s="59"/>
      <x:c r="B207" s="59"/>
      <x:c r="C207" s="59"/>
      <x:c r="D207" s="59"/>
      <x:c r="E207" s="59"/>
      <x:c r="F207" s="59"/>
      <x:c r="G207" s="59"/>
      <x:c r="H207" s="59"/>
      <x:c r="I207" s="59"/>
      <x:c r="J207" s="59"/>
      <x:c r="K207" s="59"/>
      <x:c r="L207" s="59"/>
      <x:c r="M207" s="59"/>
      <x:c r="N207" s="59"/>
      <x:c r="O207" s="59"/>
      <x:c r="P207" s="59"/>
      <x:c r="Q207" s="59"/>
      <x:c r="R207" s="59"/>
      <x:c r="S207" s="59"/>
      <x:c r="T207" s="59"/>
      <x:c r="U207" s="59"/>
      <x:c r="V207" s="59"/>
    </x:row>
    <x:row r="208">
      <x:c r="A208" s="59"/>
      <x:c r="B208" s="59"/>
      <x:c r="C208" s="59"/>
      <x:c r="D208" s="59"/>
      <x:c r="E208" s="59"/>
      <x:c r="F208" s="59"/>
      <x:c r="G208" s="59"/>
      <x:c r="H208" s="59"/>
      <x:c r="I208" s="59"/>
      <x:c r="J208" s="59"/>
      <x:c r="K208" s="59"/>
      <x:c r="L208" s="59"/>
      <x:c r="M208" s="59"/>
      <x:c r="N208" s="59"/>
      <x:c r="O208" s="59"/>
      <x:c r="P208" s="59"/>
      <x:c r="Q208" s="59"/>
      <x:c r="R208" s="59"/>
      <x:c r="S208" s="59"/>
      <x:c r="T208" s="59"/>
      <x:c r="U208" s="59"/>
      <x:c r="V208" s="59"/>
    </x:row>
    <x:row r="209">
      <x:c r="A209" s="59"/>
      <x:c r="B209" s="59"/>
      <x:c r="C209" s="59"/>
      <x:c r="D209" s="59"/>
      <x:c r="E209" s="59"/>
      <x:c r="F209" s="59"/>
      <x:c r="G209" s="59"/>
      <x:c r="H209" s="59"/>
      <x:c r="I209" s="59"/>
      <x:c r="J209" s="59"/>
      <x:c r="K209" s="59"/>
      <x:c r="L209" s="59"/>
      <x:c r="M209" s="59"/>
      <x:c r="N209" s="59"/>
      <x:c r="O209" s="59"/>
      <x:c r="P209" s="59"/>
      <x:c r="Q209" s="59"/>
      <x:c r="R209" s="59"/>
      <x:c r="S209" s="59"/>
      <x:c r="T209" s="59"/>
      <x:c r="U209" s="59"/>
      <x:c r="V209" s="59"/>
    </x:row>
    <x:row r="210">
      <x:c r="A210" s="59"/>
      <x:c r="B210" s="59"/>
      <x:c r="C210" s="59"/>
      <x:c r="D210" s="59"/>
      <x:c r="E210" s="59"/>
      <x:c r="F210" s="59"/>
      <x:c r="G210" s="59"/>
      <x:c r="H210" s="59"/>
      <x:c r="I210" s="59"/>
      <x:c r="J210" s="59"/>
      <x:c r="K210" s="59"/>
      <x:c r="L210" s="59"/>
      <x:c r="M210" s="59"/>
      <x:c r="N210" s="59"/>
      <x:c r="O210" s="59"/>
      <x:c r="P210" s="59"/>
      <x:c r="Q210" s="59"/>
      <x:c r="R210" s="59"/>
      <x:c r="S210" s="59"/>
      <x:c r="T210" s="59"/>
      <x:c r="U210" s="59"/>
      <x:c r="V210" s="59"/>
    </x:row>
    <x:row r="211">
      <x:c r="A211" s="59"/>
      <x:c r="B211" s="59"/>
      <x:c r="C211" s="59"/>
      <x:c r="D211" s="59"/>
      <x:c r="E211" s="59"/>
      <x:c r="F211" s="59"/>
      <x:c r="G211" s="59"/>
      <x:c r="H211" s="59"/>
      <x:c r="I211" s="59"/>
      <x:c r="J211" s="59"/>
      <x:c r="K211" s="59"/>
      <x:c r="L211" s="59"/>
      <x:c r="M211" s="59"/>
      <x:c r="N211" s="59"/>
      <x:c r="O211" s="59"/>
      <x:c r="P211" s="59"/>
      <x:c r="Q211" s="59"/>
      <x:c r="R211" s="59"/>
      <x:c r="S211" s="59"/>
      <x:c r="T211" s="59"/>
      <x:c r="U211" s="59"/>
      <x:c r="V211" s="59"/>
    </x:row>
    <x:row r="212">
      <x:c r="A212" s="59"/>
      <x:c r="B212" s="59"/>
      <x:c r="C212" s="59"/>
      <x:c r="D212" s="59"/>
      <x:c r="E212" s="59"/>
      <x:c r="F212" s="59"/>
      <x:c r="G212" s="59"/>
      <x:c r="H212" s="59"/>
      <x:c r="I212" s="59"/>
      <x:c r="J212" s="59"/>
      <x:c r="K212" s="59"/>
      <x:c r="L212" s="59"/>
      <x:c r="M212" s="59"/>
      <x:c r="N212" s="59"/>
      <x:c r="O212" s="59"/>
      <x:c r="P212" s="59"/>
      <x:c r="Q212" s="59"/>
      <x:c r="R212" s="59"/>
      <x:c r="S212" s="59"/>
      <x:c r="T212" s="59"/>
      <x:c r="U212" s="59"/>
      <x:c r="V212" s="59"/>
    </x:row>
    <x:row r="213">
      <x:c r="A213" s="59"/>
      <x:c r="B213" s="59"/>
      <x:c r="C213" s="59"/>
      <x:c r="D213" s="59"/>
      <x:c r="E213" s="59"/>
      <x:c r="F213" s="59"/>
      <x:c r="G213" s="59"/>
      <x:c r="H213" s="59"/>
      <x:c r="I213" s="59"/>
      <x:c r="J213" s="59"/>
      <x:c r="K213" s="59"/>
      <x:c r="L213" s="59"/>
      <x:c r="M213" s="59"/>
      <x:c r="N213" s="59"/>
      <x:c r="O213" s="59"/>
      <x:c r="P213" s="59"/>
      <x:c r="Q213" s="59"/>
      <x:c r="R213" s="59"/>
      <x:c r="S213" s="59"/>
      <x:c r="T213" s="59"/>
      <x:c r="U213" s="59"/>
      <x:c r="V213" s="59"/>
    </x:row>
    <x:row r="214">
      <x:c r="A214" s="59"/>
      <x:c r="B214" s="59"/>
      <x:c r="C214" s="59"/>
      <x:c r="D214" s="59"/>
      <x:c r="E214" s="59"/>
      <x:c r="F214" s="59"/>
      <x:c r="G214" s="59"/>
      <x:c r="H214" s="59"/>
      <x:c r="I214" s="59"/>
      <x:c r="J214" s="59"/>
      <x:c r="K214" s="59"/>
      <x:c r="L214" s="59"/>
      <x:c r="M214" s="59"/>
      <x:c r="N214" s="59"/>
      <x:c r="O214" s="59"/>
      <x:c r="P214" s="59"/>
      <x:c r="Q214" s="59"/>
      <x:c r="R214" s="59"/>
      <x:c r="S214" s="59"/>
      <x:c r="T214" s="59"/>
      <x:c r="U214" s="59"/>
      <x:c r="V214" s="59"/>
    </x:row>
    <x:row r="215">
      <x:c r="A215" s="59"/>
      <x:c r="B215" s="59"/>
      <x:c r="C215" s="59"/>
      <x:c r="D215" s="59"/>
      <x:c r="E215" s="59"/>
      <x:c r="F215" s="59"/>
      <x:c r="G215" s="59"/>
      <x:c r="H215" s="59"/>
      <x:c r="I215" s="59"/>
      <x:c r="J215" s="59"/>
      <x:c r="K215" s="59"/>
      <x:c r="L215" s="59"/>
      <x:c r="M215" s="59"/>
      <x:c r="N215" s="59"/>
      <x:c r="O215" s="59"/>
      <x:c r="P215" s="59"/>
      <x:c r="Q215" s="59"/>
      <x:c r="R215" s="59"/>
      <x:c r="S215" s="59"/>
      <x:c r="T215" s="59"/>
      <x:c r="U215" s="59"/>
      <x:c r="V215" s="59"/>
    </x:row>
    <x:row r="216">
      <x:c r="A216" s="59"/>
      <x:c r="B216" s="59"/>
      <x:c r="C216" s="59"/>
      <x:c r="D216" s="59"/>
      <x:c r="E216" s="59"/>
      <x:c r="F216" s="59"/>
      <x:c r="G216" s="59"/>
      <x:c r="H216" s="59"/>
      <x:c r="I216" s="59"/>
      <x:c r="J216" s="59"/>
      <x:c r="K216" s="59"/>
      <x:c r="L216" s="59"/>
      <x:c r="M216" s="59"/>
      <x:c r="N216" s="59"/>
      <x:c r="O216" s="59"/>
      <x:c r="P216" s="59"/>
      <x:c r="Q216" s="59"/>
      <x:c r="R216" s="59"/>
      <x:c r="S216" s="59"/>
      <x:c r="T216" s="59"/>
      <x:c r="U216" s="59"/>
      <x:c r="V216" s="59"/>
    </x:row>
    <x:row r="217">
      <x:c r="A217" s="59"/>
      <x:c r="B217" s="59"/>
      <x:c r="C217" s="59"/>
      <x:c r="D217" s="59"/>
      <x:c r="E217" s="59"/>
      <x:c r="F217" s="59"/>
      <x:c r="G217" s="59"/>
      <x:c r="H217" s="59"/>
      <x:c r="I217" s="59"/>
      <x:c r="J217" s="59"/>
      <x:c r="K217" s="59"/>
      <x:c r="L217" s="59"/>
      <x:c r="M217" s="59"/>
      <x:c r="N217" s="59"/>
      <x:c r="O217" s="59"/>
      <x:c r="P217" s="59"/>
      <x:c r="Q217" s="59"/>
      <x:c r="R217" s="59"/>
      <x:c r="S217" s="59"/>
      <x:c r="T217" s="59"/>
      <x:c r="U217" s="59"/>
      <x:c r="V217" s="59"/>
    </x:row>
    <x:row r="218">
      <x:c r="A218" s="59"/>
      <x:c r="B218" s="59"/>
      <x:c r="C218" s="59"/>
      <x:c r="D218" s="59"/>
      <x:c r="E218" s="59"/>
      <x:c r="F218" s="59"/>
      <x:c r="G218" s="59"/>
      <x:c r="H218" s="59"/>
      <x:c r="I218" s="59"/>
      <x:c r="J218" s="59"/>
      <x:c r="K218" s="59"/>
      <x:c r="L218" s="59"/>
      <x:c r="M218" s="59"/>
      <x:c r="N218" s="59"/>
      <x:c r="O218" s="59"/>
      <x:c r="P218" s="59"/>
      <x:c r="Q218" s="59"/>
      <x:c r="R218" s="59"/>
      <x:c r="S218" s="59"/>
      <x:c r="T218" s="59"/>
      <x:c r="U218" s="59"/>
      <x:c r="V218" s="59"/>
    </x:row>
    <x:row r="219">
      <x:c r="A219" s="59"/>
      <x:c r="B219" s="59"/>
      <x:c r="C219" s="59"/>
      <x:c r="D219" s="59"/>
      <x:c r="E219" s="59"/>
      <x:c r="F219" s="59"/>
      <x:c r="G219" s="59"/>
      <x:c r="H219" s="59"/>
      <x:c r="I219" s="59"/>
      <x:c r="J219" s="59"/>
      <x:c r="K219" s="59"/>
      <x:c r="L219" s="59"/>
      <x:c r="M219" s="59"/>
      <x:c r="N219" s="59"/>
      <x:c r="O219" s="59"/>
      <x:c r="P219" s="59"/>
      <x:c r="Q219" s="59"/>
      <x:c r="R219" s="59"/>
      <x:c r="S219" s="59"/>
      <x:c r="T219" s="59"/>
      <x:c r="U219" s="59"/>
      <x:c r="V219" s="59"/>
    </x:row>
    <x:row r="220">
      <x:c r="A220" s="59"/>
      <x:c r="B220" s="59"/>
      <x:c r="C220" s="59"/>
      <x:c r="D220" s="59"/>
      <x:c r="E220" s="59"/>
      <x:c r="F220" s="59"/>
      <x:c r="G220" s="59"/>
      <x:c r="H220" s="59"/>
      <x:c r="I220" s="59"/>
      <x:c r="J220" s="59"/>
      <x:c r="K220" s="59"/>
      <x:c r="L220" s="59"/>
      <x:c r="M220" s="59"/>
      <x:c r="N220" s="59"/>
      <x:c r="O220" s="59"/>
      <x:c r="P220" s="59"/>
      <x:c r="Q220" s="59"/>
      <x:c r="R220" s="59"/>
      <x:c r="S220" s="59"/>
      <x:c r="T220" s="59"/>
      <x:c r="U220" s="59"/>
      <x:c r="V220" s="59"/>
    </x:row>
    <x:row r="221">
      <x:c r="A221" s="59"/>
      <x:c r="B221" s="59"/>
      <x:c r="C221" s="59"/>
      <x:c r="D221" s="59"/>
      <x:c r="E221" s="59"/>
      <x:c r="F221" s="59"/>
      <x:c r="G221" s="59"/>
      <x:c r="H221" s="59"/>
      <x:c r="I221" s="59"/>
      <x:c r="J221" s="59"/>
      <x:c r="K221" s="59"/>
      <x:c r="L221" s="59"/>
      <x:c r="M221" s="59"/>
      <x:c r="N221" s="59"/>
      <x:c r="O221" s="59"/>
      <x:c r="P221" s="59"/>
      <x:c r="Q221" s="59"/>
      <x:c r="R221" s="59"/>
      <x:c r="S221" s="59"/>
      <x:c r="T221" s="59"/>
      <x:c r="U221" s="59"/>
      <x:c r="V221" s="59"/>
    </x:row>
    <x:row r="222">
      <x:c r="A222" s="59"/>
      <x:c r="B222" s="59"/>
      <x:c r="C222" s="59"/>
      <x:c r="D222" s="59"/>
      <x:c r="E222" s="59"/>
      <x:c r="F222" s="59"/>
      <x:c r="G222" s="59"/>
      <x:c r="H222" s="59"/>
      <x:c r="I222" s="59"/>
      <x:c r="J222" s="59"/>
      <x:c r="K222" s="59"/>
      <x:c r="L222" s="59"/>
      <x:c r="M222" s="59"/>
      <x:c r="N222" s="59"/>
      <x:c r="O222" s="59"/>
      <x:c r="P222" s="59"/>
      <x:c r="Q222" s="59"/>
      <x:c r="R222" s="59"/>
      <x:c r="S222" s="59"/>
      <x:c r="T222" s="59"/>
      <x:c r="U222" s="59"/>
      <x:c r="V222" s="59"/>
    </x:row>
    <x:row r="223">
      <x:c r="A223" s="59"/>
      <x:c r="B223" s="59"/>
      <x:c r="C223" s="59"/>
      <x:c r="D223" s="59"/>
      <x:c r="E223" s="59"/>
      <x:c r="F223" s="59"/>
      <x:c r="G223" s="59"/>
      <x:c r="H223" s="59"/>
      <x:c r="I223" s="59"/>
      <x:c r="J223" s="59"/>
      <x:c r="K223" s="59"/>
      <x:c r="L223" s="59"/>
      <x:c r="M223" s="59"/>
      <x:c r="N223" s="59"/>
      <x:c r="O223" s="59"/>
      <x:c r="P223" s="59"/>
      <x:c r="Q223" s="59"/>
      <x:c r="R223" s="59"/>
      <x:c r="S223" s="59"/>
      <x:c r="T223" s="59"/>
      <x:c r="U223" s="59"/>
      <x:c r="V223" s="59"/>
    </x:row>
    <x:row r="224">
      <x:c r="A224" s="59"/>
      <x:c r="B224" s="59"/>
      <x:c r="C224" s="59"/>
      <x:c r="D224" s="59"/>
      <x:c r="E224" s="59"/>
      <x:c r="F224" s="59"/>
      <x:c r="G224" s="59"/>
      <x:c r="H224" s="59"/>
      <x:c r="I224" s="59"/>
      <x:c r="J224" s="59"/>
      <x:c r="K224" s="59"/>
      <x:c r="L224" s="59"/>
      <x:c r="M224" s="59"/>
      <x:c r="N224" s="59"/>
      <x:c r="O224" s="59"/>
      <x:c r="P224" s="59"/>
      <x:c r="Q224" s="59"/>
      <x:c r="R224" s="59"/>
      <x:c r="S224" s="59"/>
      <x:c r="T224" s="59"/>
      <x:c r="U224" s="59"/>
      <x:c r="V224" s="59"/>
    </x:row>
    <x:row r="225">
      <x:c r="A225" s="59"/>
      <x:c r="B225" s="59"/>
      <x:c r="C225" s="59"/>
      <x:c r="D225" s="59"/>
      <x:c r="E225" s="59"/>
      <x:c r="F225" s="59"/>
      <x:c r="G225" s="59"/>
      <x:c r="H225" s="59"/>
      <x:c r="I225" s="59"/>
      <x:c r="J225" s="59"/>
      <x:c r="K225" s="59"/>
      <x:c r="L225" s="59"/>
      <x:c r="M225" s="59"/>
      <x:c r="N225" s="59"/>
      <x:c r="O225" s="59"/>
      <x:c r="P225" s="59"/>
      <x:c r="Q225" s="59"/>
      <x:c r="R225" s="59"/>
      <x:c r="S225" s="59"/>
      <x:c r="T225" s="59"/>
      <x:c r="U225" s="59"/>
      <x:c r="V225" s="59"/>
    </x:row>
    <x:row r="226">
      <x:c r="A226" s="59"/>
      <x:c r="B226" s="59"/>
      <x:c r="C226" s="59"/>
      <x:c r="D226" s="59"/>
      <x:c r="E226" s="59"/>
      <x:c r="F226" s="59"/>
      <x:c r="G226" s="59"/>
      <x:c r="H226" s="59"/>
      <x:c r="I226" s="59"/>
      <x:c r="J226" s="59"/>
      <x:c r="K226" s="59"/>
      <x:c r="L226" s="59"/>
      <x:c r="M226" s="59"/>
      <x:c r="N226" s="59"/>
      <x:c r="O226" s="59"/>
      <x:c r="P226" s="59"/>
      <x:c r="Q226" s="59"/>
      <x:c r="R226" s="59"/>
      <x:c r="S226" s="59"/>
      <x:c r="T226" s="59"/>
      <x:c r="U226" s="59"/>
      <x:c r="V226" s="59"/>
    </x:row>
    <x:row r="227">
      <x:c r="A227" s="59"/>
      <x:c r="B227" s="59"/>
      <x:c r="C227" s="59"/>
      <x:c r="D227" s="59"/>
      <x:c r="E227" s="59"/>
      <x:c r="F227" s="59"/>
      <x:c r="G227" s="59"/>
      <x:c r="H227" s="59"/>
      <x:c r="I227" s="59"/>
      <x:c r="J227" s="59"/>
      <x:c r="K227" s="59"/>
      <x:c r="L227" s="59"/>
      <x:c r="M227" s="59"/>
      <x:c r="N227" s="59"/>
      <x:c r="O227" s="59"/>
      <x:c r="P227" s="59"/>
      <x:c r="Q227" s="59"/>
      <x:c r="R227" s="59"/>
      <x:c r="S227" s="59"/>
      <x:c r="T227" s="59"/>
      <x:c r="U227" s="59"/>
      <x:c r="V227" s="59"/>
    </x:row>
  </x:sheetData>
  <x:mergeCells>
    <x:mergeCell ref="A4:I4"/>
    <x:mergeCell ref="A47:C47"/>
    <x:mergeCell ref="D47:E47"/>
    <x:mergeCell ref="F47:G47"/>
    <x:mergeCell ref="H47:I47"/>
    <x:mergeCell ref="G7:I7"/>
    <x:mergeCell ref="A9:B9"/>
    <x:mergeCell ref="A10:B10"/>
    <x:mergeCell ref="C9:D9"/>
    <x:mergeCell ref="C10:D10"/>
    <x:mergeCell ref="E9:F9"/>
    <x:mergeCell ref="E10:F10"/>
    <x:mergeCell ref="G9:I9"/>
    <x:mergeCell ref="G10:I10"/>
    <x:mergeCell ref="A1:I1"/>
    <x:mergeCell ref="A2:I2"/>
    <x:mergeCell ref="A6:B6"/>
    <x:mergeCell ref="A7:B7"/>
    <x:mergeCell ref="C6:D6"/>
    <x:mergeCell ref="C7:D7"/>
    <x:mergeCell ref="E6:F6"/>
    <x:mergeCell ref="E7:F7"/>
    <x:mergeCell ref="G6:I6"/>
  </x:mergeCells>
  <x:conditionalFormatting sqref="J5:K11">
    <x:cfRule type="expression" dxfId="17" priority="4">
      <x:formula>MOD(ROW()-6,2)=1</x:formula>
    </x:cfRule>
  </x:conditionalFormatting>
  <x:conditionalFormatting sqref="J15:K18">
    <x:cfRule type="expression" dxfId="16" priority="5">
      <x:formula>MOD(ROW()-16,2)=1</x:formula>
    </x:cfRule>
  </x:conditionalFormatting>
  <x:conditionalFormatting sqref="J22:K27">
    <x:cfRule type="expression" dxfId="15" priority="6">
      <x:formula>MOD(ROW()-23,2)=1</x:formula>
    </x:cfRule>
  </x:conditionalFormatting>
  <x:pageMargins left="0.7" right="0.7" top="0.75" bottom="0.75" header="0.3" footer="0.3"/>
  <x:drawing xmlns:r="http://schemas.openxmlformats.org/officeDocument/2006/relationships" r:id="Ra23c383ce753464a"/>
</x:worksheet>
</file>

<file path=xl/worksheets/sheet3.xml><?xml version="1.0" encoding="utf-8"?>
<x:worksheet xmlns:x="http://schemas.openxmlformats.org/spreadsheetml/2006/main">
  <x:sheetFormatPr defaultRowHeight="14.5"/>
  <x:cols>
    <x:col min="1" max="1" width="16.36328125" customWidth="1"/>
    <x:col min="2" max="2" width="13.08984375" customWidth="1"/>
    <x:col min="3" max="3" width="15.26953125" customWidth="1"/>
    <x:col min="4" max="4" width="13.6328125" customWidth="1"/>
    <x:col min="5" max="9" width="13.08984375" customWidth="1"/>
  </x:cols>
  <x:sheetData>
    <x:row r="1" ht="32" customHeight="1">
      <x:c r="A1" s="4" t="s">
        <x:v>50</x:v>
      </x:c>
      <x:c r="B1" s="4"/>
      <x:c r="C1" s="4"/>
      <x:c r="D1" s="4"/>
      <x:c r="E1" s="4"/>
      <x:c r="F1" s="4"/>
      <x:c r="G1" s="4"/>
      <x:c r="H1" s="4"/>
      <x:c r="I1" s="4"/>
      <x:c r="J1" s="59"/>
      <x:c r="K1" s="59"/>
      <x:c r="L1" s="59"/>
      <x:c r="M1" s="59"/>
      <x:c r="N1" s="59"/>
      <x:c r="O1" s="59"/>
      <x:c r="P1" s="59"/>
      <x:c r="Q1" s="59"/>
      <x:c r="R1" s="59"/>
      <x:c r="S1" s="59"/>
      <x:c r="T1" s="59"/>
      <x:c r="U1" s="59"/>
      <x:c r="V1" s="59"/>
      <x:c r="W1" s="59"/>
      <x:c r="X1" s="59"/>
    </x:row>
    <x:row r="2" ht="20" customHeight="1">
      <x:c r="A2" s="5" t="s">
        <x:v>51</x:v>
      </x:c>
      <x:c r="B2" s="5"/>
      <x:c r="C2" s="5"/>
      <x:c r="D2" s="5"/>
      <x:c r="E2" s="5"/>
      <x:c r="F2" s="5"/>
      <x:c r="G2" s="5"/>
      <x:c r="H2" s="5"/>
      <x:c r="I2" s="5"/>
      <x:c r="J2" s="59"/>
      <x:c r="K2" s="59"/>
      <x:c r="L2" s="59"/>
      <x:c r="M2" s="59"/>
      <x:c r="N2" s="59"/>
      <x:c r="O2" s="59"/>
      <x:c r="P2" s="59"/>
      <x:c r="Q2" s="59"/>
      <x:c r="R2" s="59"/>
      <x:c r="S2" s="59"/>
      <x:c r="T2" s="59"/>
      <x:c r="U2" s="59"/>
      <x:c r="V2" s="59"/>
      <x:c r="W2" s="59"/>
      <x:c r="X2" s="59"/>
    </x:row>
    <x:row r="3" ht="45" customHeight="1">
      <x:c r="A3" s="35" t="s">
        <x:v>52</x:v>
      </x:c>
      <x:c r="B3" s="35"/>
      <x:c r="C3" s="35"/>
      <x:c r="D3" s="35"/>
      <x:c r="E3" s="35"/>
      <x:c r="F3" s="35"/>
      <x:c r="G3" s="35"/>
      <x:c r="H3" s="35"/>
      <x:c r="I3" s="35"/>
      <x:c r="J3" s="59"/>
      <x:c r="K3" s="59"/>
      <x:c r="L3" s="59"/>
      <x:c r="M3" s="59"/>
      <x:c r="N3" s="59"/>
      <x:c r="O3" s="59"/>
      <x:c r="P3" s="59"/>
      <x:c r="Q3" s="59"/>
      <x:c r="R3" s="59"/>
      <x:c r="S3" s="59"/>
      <x:c r="T3" s="59"/>
      <x:c r="U3" s="59"/>
      <x:c r="V3" s="59"/>
      <x:c r="W3" s="59"/>
      <x:c r="X3" s="59"/>
    </x:row>
    <x:row r="4">
      <x:c r="A4" s="3"/>
      <x:c r="B4" s="3"/>
      <x:c r="C4" s="3"/>
      <x:c r="D4" s="3"/>
      <x:c r="E4" s="3"/>
      <x:c r="F4" s="3"/>
      <x:c r="G4" s="3"/>
      <x:c r="H4" s="3"/>
      <x:c r="I4" s="3"/>
      <x:c r="J4" s="59"/>
      <x:c r="K4" s="59"/>
      <x:c r="L4" s="59"/>
      <x:c r="M4" s="59"/>
      <x:c r="N4" s="59"/>
      <x:c r="O4" s="59"/>
      <x:c r="P4" s="59"/>
      <x:c r="Q4" s="59"/>
      <x:c r="R4" s="59"/>
      <x:c r="S4" s="59"/>
      <x:c r="T4" s="59"/>
      <x:c r="U4" s="59"/>
      <x:c r="V4" s="59"/>
      <x:c r="W4" s="59"/>
      <x:c r="X4" s="59"/>
    </x:row>
    <x:row r="5" ht="15">
      <x:c r="A5" s="42" t="s">
        <x:v>53</x:v>
      </x:c>
      <x:c r="B5" s="43" t="s">
        <x:v>54</x:v>
      </x:c>
      <x:c r="C5" s="43" t="s">
        <x:v>55</x:v>
      </x:c>
      <x:c r="D5" s="43" t="s">
        <x:v>40</x:v>
      </x:c>
      <x:c r="E5" s="43" t="s">
        <x:v>25</x:v>
      </x:c>
      <x:c r="F5" s="43" t="s">
        <x:v>26</x:v>
      </x:c>
      <x:c r="G5" s="43" t="s">
        <x:v>31</x:v>
      </x:c>
      <x:c r="H5" s="43" t="s">
        <x:v>32</x:v>
      </x:c>
      <x:c r="I5" s="44" t="s">
        <x:v>33</x:v>
      </x:c>
      <x:c r="J5" s="59"/>
      <x:c r="K5" s="59"/>
      <x:c r="L5" s="59"/>
      <x:c r="M5" s="59"/>
      <x:c r="N5" s="59"/>
      <x:c r="O5" s="59"/>
      <x:c r="P5" s="59"/>
      <x:c r="Q5" s="59"/>
      <x:c r="R5" s="59"/>
      <x:c r="S5" s="59"/>
      <x:c r="T5" s="59"/>
      <x:c r="U5" s="59"/>
      <x:c r="V5" s="59"/>
      <x:c r="W5" s="59"/>
      <x:c r="X5" s="59"/>
    </x:row>
    <x:row r="6">
      <x:c r="A6" s="36">
        <x:v>2023</x:v>
      </x:c>
      <x:c r="B6" s="16" t="n">
        <x:f>COUNTIF(WorkforceData[Training Year],A6)</x:f>
        <x:v>157</x:v>
      </x:c>
      <x:c r="C6" s="16" t="n">
        <x:f>SUMIFS(WorkforceData[Success Flag],WorkforceData[Training Year],A6)</x:f>
        <x:v>107</x:v>
      </x:c>
      <x:c r="D6" s="21" t="n">
        <x:f>C6/B6</x:f>
        <x:v>0.6815286624203821</x:v>
      </x:c>
      <x:c r="E6" s="16" t="n">
        <x:f>COUNTIFS(WorkforceData[Training Year],$A6,WorkforceData[Outcome Category],"Active")</x:f>
        <x:v>0</x:v>
      </x:c>
      <x:c r="F6" s="16" t="n">
        <x:f>COUNTIFS(WorkforceData[Training Year],$A6,WorkforceData[Outcome Category],"Promoted")</x:f>
        <x:v>28</x:v>
      </x:c>
      <x:c r="G6" s="16" t="n">
        <x:f>COUNTIFS(WorkforceData[Training Year],$A6,WorkforceData[Outcome Category],"Complete")</x:f>
        <x:v>12</x:v>
      </x:c>
      <x:c r="H6" s="16" t="n">
        <x:f>COUNTIFS(WorkforceData[Training Year],$A6,WorkforceData[Outcome Category],"Voluntary Exit")</x:f>
        <x:v>35</x:v>
      </x:c>
      <x:c r="I6" s="37" t="n">
        <x:f>COUNTIFS(WorkforceData[Training Year],$A6,WorkforceData[Outcome Category],"Terminated")</x:f>
        <x:v>15</x:v>
      </x:c>
      <x:c r="J6" s="59"/>
      <x:c r="K6" s="59"/>
      <x:c r="L6" s="59"/>
      <x:c r="M6" s="59"/>
      <x:c r="N6" s="59"/>
      <x:c r="O6" s="59"/>
      <x:c r="P6" s="59"/>
      <x:c r="Q6" s="59"/>
      <x:c r="R6" s="59"/>
      <x:c r="S6" s="59"/>
      <x:c r="T6" s="59"/>
      <x:c r="U6" s="59"/>
      <x:c r="V6" s="59"/>
      <x:c r="W6" s="59"/>
      <x:c r="X6" s="59"/>
    </x:row>
    <x:row r="7">
      <x:c r="A7" s="38">
        <x:v>2024</x:v>
      </x:c>
      <x:c r="B7" s="18" t="n">
        <x:f>COUNTIF(WorkforceData[Training Year],A7)</x:f>
        <x:v>378</x:v>
      </x:c>
      <x:c r="C7" s="18" t="n">
        <x:f>SUMIFS(WorkforceData[Success Flag],WorkforceData[Training Year],A7)</x:f>
        <x:v>270</x:v>
      </x:c>
      <x:c r="D7" s="22" t="n">
        <x:f>C7/B7</x:f>
        <x:v>0.7142857142857143</x:v>
      </x:c>
      <x:c r="E7" s="18" t="n">
        <x:f>COUNTIFS(WorkforceData[Training Year],$A7,WorkforceData[Outcome Category],"Active")</x:f>
        <x:v>0</x:v>
      </x:c>
      <x:c r="F7" s="18" t="n">
        <x:f>COUNTIFS(WorkforceData[Training Year],$A7,WorkforceData[Outcome Category],"Promoted")</x:f>
        <x:v>52</x:v>
      </x:c>
      <x:c r="G7" s="18" t="n">
        <x:f>COUNTIFS(WorkforceData[Training Year],$A7,WorkforceData[Outcome Category],"Complete")</x:f>
        <x:v>23</x:v>
      </x:c>
      <x:c r="H7" s="18" t="n">
        <x:f>COUNTIFS(WorkforceData[Training Year],$A7,WorkforceData[Outcome Category],"Voluntary Exit")</x:f>
        <x:v>84</x:v>
      </x:c>
      <x:c r="I7" s="39" t="n">
        <x:f>COUNTIFS(WorkforceData[Training Year],$A7,WorkforceData[Outcome Category],"Terminated")</x:f>
        <x:v>24</x:v>
      </x:c>
      <x:c r="J7" s="59"/>
      <x:c r="K7" s="59"/>
      <x:c r="L7" s="59"/>
      <x:c r="M7" s="59"/>
      <x:c r="N7" s="59"/>
      <x:c r="O7" s="59"/>
      <x:c r="P7" s="59"/>
      <x:c r="Q7" s="59"/>
      <x:c r="R7" s="59"/>
      <x:c r="S7" s="59"/>
      <x:c r="T7" s="59"/>
      <x:c r="U7" s="59"/>
      <x:c r="V7" s="59"/>
      <x:c r="W7" s="59"/>
      <x:c r="X7" s="59"/>
    </x:row>
    <x:row r="8">
      <x:c r="A8" s="38">
        <x:v>2025</x:v>
      </x:c>
      <x:c r="B8" s="18" t="n">
        <x:f>COUNTIF(WorkforceData[Training Year],A8)</x:f>
        <x:v>317</x:v>
      </x:c>
      <x:c r="C8" s="18" t="n">
        <x:f>SUMIFS(WorkforceData[Success Flag],WorkforceData[Training Year],A8)</x:f>
        <x:v>225</x:v>
      </x:c>
      <x:c r="D8" s="22" t="n">
        <x:f>C8/B8</x:f>
        <x:v>0.7097791798107256</x:v>
      </x:c>
      <x:c r="E8" s="18" t="n">
        <x:f>COUNTIFS(WorkforceData[Training Year],$A8,WorkforceData[Outcome Category],"Active")</x:f>
        <x:v>0</x:v>
      </x:c>
      <x:c r="F8" s="18" t="n">
        <x:f>COUNTIFS(WorkforceData[Training Year],$A8,WorkforceData[Outcome Category],"Promoted")</x:f>
        <x:v>40</x:v>
      </x:c>
      <x:c r="G8" s="18" t="n">
        <x:f>COUNTIFS(WorkforceData[Training Year],$A8,WorkforceData[Outcome Category],"Complete")</x:f>
        <x:v>20</x:v>
      </x:c>
      <x:c r="H8" s="18" t="n">
        <x:f>COUNTIFS(WorkforceData[Training Year],$A8,WorkforceData[Outcome Category],"Voluntary Exit")</x:f>
        <x:v>67</x:v>
      </x:c>
      <x:c r="I8" s="39" t="n">
        <x:f>COUNTIFS(WorkforceData[Training Year],$A8,WorkforceData[Outcome Category],"Terminated")</x:f>
        <x:v>25</x:v>
      </x:c>
      <x:c r="J8" s="59"/>
      <x:c r="K8" s="59"/>
      <x:c r="L8" s="59"/>
      <x:c r="M8" s="59"/>
      <x:c r="N8" s="59"/>
      <x:c r="O8" s="59"/>
      <x:c r="P8" s="59"/>
      <x:c r="Q8" s="59"/>
      <x:c r="R8" s="59"/>
      <x:c r="S8" s="59"/>
      <x:c r="T8" s="59"/>
      <x:c r="U8" s="59"/>
      <x:c r="V8" s="59"/>
      <x:c r="W8" s="59"/>
      <x:c r="X8" s="59"/>
    </x:row>
    <x:row r="9">
      <x:c r="A9" s="40">
        <x:v>2026</x:v>
      </x:c>
      <x:c r="B9" s="20" t="n">
        <x:f>COUNTIF(WorkforceData[Training Year],A9)</x:f>
        <x:v>198</x:v>
      </x:c>
      <x:c r="C9" s="20" t="n">
        <x:f>SUMIFS(WorkforceData[Success Flag],WorkforceData[Training Year],A9)</x:f>
        <x:v>129</x:v>
      </x:c>
      <x:c r="D9" s="23" t="n">
        <x:f>C9/B9</x:f>
        <x:v>0.6515151515151515</x:v>
      </x:c>
      <x:c r="E9" s="20" t="n">
        <x:f>COUNTIFS(WorkforceData[Training Year],$A9,WorkforceData[Outcome Category],"Active")</x:f>
        <x:v>0</x:v>
      </x:c>
      <x:c r="F9" s="20" t="n">
        <x:f>COUNTIFS(WorkforceData[Training Year],$A9,WorkforceData[Outcome Category],"Promoted")</x:f>
        <x:v>7</x:v>
      </x:c>
      <x:c r="G9" s="20" t="n">
        <x:f>COUNTIFS(WorkforceData[Training Year],$A9,WorkforceData[Outcome Category],"Complete")</x:f>
        <x:v>12</x:v>
      </x:c>
      <x:c r="H9" s="20" t="n">
        <x:f>COUNTIFS(WorkforceData[Training Year],$A9,WorkforceData[Outcome Category],"Voluntary Exit")</x:f>
        <x:v>40</x:v>
      </x:c>
      <x:c r="I9" s="41" t="n">
        <x:f>COUNTIFS(WorkforceData[Training Year],$A9,WorkforceData[Outcome Category],"Terminated")</x:f>
        <x:v>21</x:v>
      </x:c>
      <x:c r="J9" s="59"/>
      <x:c r="K9" s="59"/>
      <x:c r="L9" s="59"/>
      <x:c r="M9" s="59"/>
      <x:c r="N9" s="59"/>
      <x:c r="O9" s="59"/>
      <x:c r="P9" s="59"/>
      <x:c r="Q9" s="59"/>
      <x:c r="R9" s="59"/>
      <x:c r="S9" s="59"/>
      <x:c r="T9" s="59"/>
      <x:c r="U9" s="59"/>
      <x:c r="V9" s="59"/>
      <x:c r="W9" s="59"/>
      <x:c r="X9" s="59"/>
    </x:row>
    <x:row r="10">
      <x:c r="A10" s="3"/>
      <x:c r="B10" s="3"/>
      <x:c r="C10" s="3"/>
      <x:c r="D10" s="3"/>
      <x:c r="E10" s="3"/>
      <x:c r="F10" s="3"/>
      <x:c r="G10" s="3"/>
      <x:c r="H10" s="3"/>
      <x:c r="I10" s="3"/>
      <x:c r="J10" s="59"/>
      <x:c r="K10" s="59"/>
      <x:c r="L10" s="59"/>
      <x:c r="M10" s="59"/>
      <x:c r="N10" s="59"/>
      <x:c r="O10" s="59"/>
      <x:c r="P10" s="59"/>
      <x:c r="Q10" s="59"/>
      <x:c r="R10" s="59"/>
      <x:c r="S10" s="59"/>
      <x:c r="T10" s="59"/>
      <x:c r="U10" s="59"/>
      <x:c r="V10" s="59"/>
      <x:c r="W10" s="59"/>
      <x:c r="X10" s="59"/>
    </x:row>
    <x:row r="11">
      <x:c r="A11" s="8" t="str">
        <x:f>"Year-over-year success changed "&amp;TEXT(D9-D8,"+0.0%;-0.0%;0.0%")&amp;" from 2025 to 2026; Reminder that 2026 is a partially completed year."</x:f>
        <x:v>Year-over-year success changed -5.8% from 2025 to 2026; Reminder that 2026 is a partially completed year.</x:v>
      </x:c>
      <x:c r="B11" s="7"/>
      <x:c r="C11" s="7"/>
      <x:c r="D11" s="7"/>
      <x:c r="E11" s="7"/>
      <x:c r="F11" s="7"/>
      <x:c r="G11" s="7"/>
      <x:c r="H11" s="7"/>
      <x:c r="I11" s="7"/>
      <x:c r="J11" s="59"/>
      <x:c r="K11" s="59"/>
      <x:c r="L11" s="59"/>
      <x:c r="M11" s="59"/>
      <x:c r="N11" s="59"/>
      <x:c r="O11" s="59"/>
      <x:c r="P11" s="59"/>
      <x:c r="Q11" s="59"/>
      <x:c r="R11" s="59"/>
      <x:c r="S11" s="59"/>
      <x:c r="T11" s="59"/>
      <x:c r="U11" s="59"/>
      <x:c r="V11" s="59"/>
      <x:c r="W11" s="59"/>
      <x:c r="X11" s="59"/>
    </x:row>
    <x:row r="12">
      <x:c r="A12" s="59"/>
      <x:c r="B12" s="59"/>
      <x:c r="C12" s="59"/>
      <x:c r="D12" s="59"/>
      <x:c r="E12" s="59"/>
      <x:c r="F12" s="59"/>
      <x:c r="G12" s="59"/>
      <x:c r="H12" s="59"/>
      <x:c r="I12" s="59"/>
      <x:c r="J12" s="59"/>
      <x:c r="K12" s="59"/>
      <x:c r="L12" s="59"/>
      <x:c r="M12" s="59"/>
      <x:c r="N12" s="59"/>
      <x:c r="O12" s="59"/>
      <x:c r="P12" s="59"/>
      <x:c r="Q12" s="59"/>
      <x:c r="R12" s="59"/>
      <x:c r="S12" s="59"/>
      <x:c r="T12" s="59"/>
      <x:c r="U12" s="59"/>
      <x:c r="V12" s="59"/>
      <x:c r="W12" s="59"/>
      <x:c r="X12" s="59"/>
    </x:row>
    <x:row r="13">
      <x:c r="A13" s="59"/>
      <x:c r="B13" s="59"/>
      <x:c r="C13" s="59"/>
      <x:c r="D13" s="59"/>
      <x:c r="E13" s="59"/>
      <x:c r="F13" s="59"/>
      <x:c r="G13" s="59"/>
      <x:c r="H13" s="59"/>
      <x:c r="I13" s="59"/>
      <x:c r="J13" s="59"/>
      <x:c r="K13" s="59"/>
      <x:c r="L13" s="59"/>
      <x:c r="M13" s="59"/>
      <x:c r="N13" s="59"/>
      <x:c r="O13" s="59"/>
      <x:c r="P13" s="59"/>
      <x:c r="Q13" s="59"/>
      <x:c r="R13" s="59"/>
      <x:c r="S13" s="59"/>
      <x:c r="T13" s="59"/>
      <x:c r="U13" s="59"/>
      <x:c r="V13" s="59"/>
      <x:c r="W13" s="59"/>
      <x:c r="X13" s="59"/>
    </x:row>
    <x:row r="14">
      <x:c r="A14" s="59"/>
      <x:c r="B14" s="59"/>
      <x:c r="C14" s="59"/>
      <x:c r="D14" s="59"/>
      <x:c r="E14" s="59"/>
      <x:c r="F14" s="59"/>
      <x:c r="G14" s="59"/>
      <x:c r="H14" s="59"/>
      <x:c r="I14" s="59"/>
      <x:c r="J14" s="59"/>
      <x:c r="K14" s="59"/>
      <x:c r="L14" s="59"/>
      <x:c r="M14" s="59"/>
      <x:c r="N14" s="59"/>
      <x:c r="O14" s="59"/>
      <x:c r="P14" s="59"/>
      <x:c r="Q14" s="59"/>
      <x:c r="R14" s="59"/>
      <x:c r="S14" s="59"/>
      <x:c r="T14" s="59"/>
      <x:c r="U14" s="59"/>
      <x:c r="V14" s="59"/>
      <x:c r="W14" s="59"/>
      <x:c r="X14" s="59"/>
    </x:row>
    <x:row r="15">
      <x:c r="A15" s="59"/>
      <x:c r="B15" s="59"/>
      <x:c r="C15" s="59"/>
      <x:c r="D15" s="59"/>
      <x:c r="E15" s="59"/>
      <x:c r="F15" s="59"/>
      <x:c r="G15" s="59"/>
      <x:c r="H15" s="59"/>
      <x:c r="I15" s="59"/>
      <x:c r="J15" s="59"/>
      <x:c r="K15" s="59"/>
      <x:c r="L15" s="59"/>
      <x:c r="M15" s="59"/>
      <x:c r="N15" s="59"/>
      <x:c r="O15" s="59"/>
      <x:c r="P15" s="59"/>
      <x:c r="Q15" s="59"/>
      <x:c r="R15" s="59"/>
      <x:c r="S15" s="59"/>
      <x:c r="T15" s="59"/>
      <x:c r="U15" s="59"/>
      <x:c r="V15" s="59"/>
      <x:c r="W15" s="59"/>
      <x:c r="X15" s="59"/>
    </x:row>
    <x:row r="16">
      <x:c r="A16" s="59"/>
      <x:c r="B16" s="59"/>
      <x:c r="C16" s="59"/>
      <x:c r="D16" s="59"/>
      <x:c r="E16" s="59"/>
      <x:c r="F16" s="59"/>
      <x:c r="G16" s="59"/>
      <x:c r="H16" s="59"/>
      <x:c r="I16" s="59"/>
      <x:c r="J16" s="59"/>
      <x:c r="K16" s="59"/>
      <x:c r="L16" s="59"/>
      <x:c r="M16" s="59"/>
      <x:c r="N16" s="59"/>
      <x:c r="O16" s="59"/>
      <x:c r="P16" s="59"/>
      <x:c r="Q16" s="59"/>
      <x:c r="R16" s="59"/>
      <x:c r="S16" s="59"/>
      <x:c r="T16" s="59"/>
      <x:c r="U16" s="59"/>
      <x:c r="V16" s="59"/>
      <x:c r="W16" s="59"/>
      <x:c r="X16" s="59"/>
    </x:row>
    <x:row r="17">
      <x:c r="A17" s="59"/>
      <x:c r="B17" s="59"/>
      <x:c r="C17" s="59"/>
      <x:c r="D17" s="59"/>
      <x:c r="E17" s="59"/>
      <x:c r="F17" s="59"/>
      <x:c r="G17" s="59"/>
      <x:c r="H17" s="59"/>
      <x:c r="I17" s="59"/>
      <x:c r="J17" s="59"/>
      <x:c r="K17" s="59"/>
      <x:c r="L17" s="59"/>
      <x:c r="M17" s="59"/>
      <x:c r="N17" s="59"/>
      <x:c r="O17" s="59"/>
      <x:c r="P17" s="59"/>
      <x:c r="Q17" s="59"/>
      <x:c r="R17" s="59"/>
      <x:c r="S17" s="59"/>
      <x:c r="T17" s="59"/>
      <x:c r="U17" s="59"/>
      <x:c r="V17" s="59"/>
      <x:c r="W17" s="59"/>
      <x:c r="X17" s="59"/>
    </x:row>
    <x:row r="18">
      <x:c r="A18" s="59"/>
      <x:c r="B18" s="59"/>
      <x:c r="C18" s="59"/>
      <x:c r="D18" s="59"/>
      <x:c r="E18" s="59"/>
      <x:c r="F18" s="59"/>
      <x:c r="G18" s="59"/>
      <x:c r="H18" s="59"/>
      <x:c r="I18" s="59"/>
      <x:c r="J18" s="59"/>
      <x:c r="K18" s="59"/>
      <x:c r="L18" s="59"/>
      <x:c r="M18" s="59"/>
      <x:c r="N18" s="59"/>
      <x:c r="O18" s="59"/>
      <x:c r="P18" s="59"/>
      <x:c r="Q18" s="59"/>
      <x:c r="R18" s="59"/>
      <x:c r="S18" s="59"/>
      <x:c r="T18" s="59"/>
      <x:c r="U18" s="59"/>
      <x:c r="V18" s="59"/>
      <x:c r="W18" s="59"/>
      <x:c r="X18" s="59"/>
    </x:row>
    <x:row r="19">
      <x:c r="A19" s="59"/>
      <x:c r="B19" s="59"/>
      <x:c r="C19" s="59"/>
      <x:c r="D19" s="59"/>
      <x:c r="E19" s="59"/>
      <x:c r="F19" s="59"/>
      <x:c r="G19" s="59"/>
      <x:c r="H19" s="59"/>
      <x:c r="I19" s="59"/>
      <x:c r="J19" s="59"/>
      <x:c r="K19" s="59"/>
      <x:c r="L19" s="59"/>
      <x:c r="M19" s="59"/>
      <x:c r="N19" s="59"/>
      <x:c r="O19" s="59"/>
      <x:c r="P19" s="59"/>
      <x:c r="Q19" s="59"/>
      <x:c r="R19" s="59"/>
      <x:c r="S19" s="59"/>
      <x:c r="T19" s="59"/>
      <x:c r="U19" s="59"/>
      <x:c r="V19" s="59"/>
      <x:c r="W19" s="59"/>
      <x:c r="X19" s="59"/>
    </x:row>
    <x:row r="20">
      <x:c r="A20" s="59"/>
      <x:c r="B20" s="59"/>
      <x:c r="C20" s="59"/>
      <x:c r="D20" s="59"/>
      <x:c r="E20" s="59"/>
      <x:c r="F20" s="59"/>
      <x:c r="G20" s="59"/>
      <x:c r="H20" s="59"/>
      <x:c r="I20" s="59"/>
      <x:c r="J20" s="59"/>
      <x:c r="K20" s="59"/>
      <x:c r="L20" s="59"/>
      <x:c r="M20" s="59"/>
      <x:c r="N20" s="59"/>
      <x:c r="O20" s="59"/>
      <x:c r="P20" s="59"/>
      <x:c r="Q20" s="59"/>
      <x:c r="R20" s="59"/>
      <x:c r="S20" s="59"/>
      <x:c r="T20" s="59"/>
      <x:c r="U20" s="59"/>
      <x:c r="V20" s="59"/>
      <x:c r="W20" s="59"/>
      <x:c r="X20" s="59"/>
    </x:row>
    <x:row r="21">
      <x:c r="A21" s="59"/>
      <x:c r="B21" s="59"/>
      <x:c r="C21" s="59"/>
      <x:c r="D21" s="59"/>
      <x:c r="E21" s="59"/>
      <x:c r="F21" s="59"/>
      <x:c r="G21" s="59"/>
      <x:c r="H21" s="59"/>
      <x:c r="I21" s="59"/>
      <x:c r="J21" s="59"/>
      <x:c r="K21" s="59"/>
      <x:c r="L21" s="59"/>
      <x:c r="M21" s="59"/>
      <x:c r="N21" s="59"/>
      <x:c r="O21" s="59"/>
      <x:c r="P21" s="59"/>
      <x:c r="Q21" s="59"/>
      <x:c r="R21" s="59"/>
      <x:c r="S21" s="59"/>
      <x:c r="T21" s="59"/>
      <x:c r="U21" s="59"/>
      <x:c r="V21" s="59"/>
      <x:c r="W21" s="59"/>
      <x:c r="X21" s="59"/>
    </x:row>
    <x:row r="22">
      <x:c r="A22" s="59"/>
      <x:c r="B22" s="59"/>
      <x:c r="C22" s="59"/>
      <x:c r="D22" s="59"/>
      <x:c r="E22" s="59"/>
      <x:c r="F22" s="59"/>
      <x:c r="G22" s="59"/>
      <x:c r="H22" s="59"/>
      <x:c r="I22" s="59"/>
      <x:c r="J22" s="59"/>
      <x:c r="K22" s="59"/>
      <x:c r="L22" s="59"/>
      <x:c r="M22" s="59"/>
      <x:c r="N22" s="59"/>
      <x:c r="O22" s="59"/>
      <x:c r="P22" s="59"/>
      <x:c r="Q22" s="59"/>
      <x:c r="R22" s="59"/>
      <x:c r="S22" s="59"/>
      <x:c r="T22" s="59"/>
      <x:c r="U22" s="59"/>
      <x:c r="V22" s="59"/>
      <x:c r="W22" s="59"/>
      <x:c r="X22" s="59"/>
    </x:row>
    <x:row r="23">
      <x:c r="A23" s="59"/>
      <x:c r="B23" s="59"/>
      <x:c r="C23" s="59"/>
      <x:c r="D23" s="59"/>
      <x:c r="E23" s="59"/>
      <x:c r="F23" s="59"/>
      <x:c r="G23" s="59"/>
      <x:c r="H23" s="59"/>
      <x:c r="I23" s="59"/>
      <x:c r="J23" s="59"/>
      <x:c r="K23" s="59"/>
      <x:c r="L23" s="59"/>
      <x:c r="M23" s="59"/>
      <x:c r="N23" s="59"/>
      <x:c r="O23" s="59"/>
      <x:c r="P23" s="59"/>
      <x:c r="Q23" s="59"/>
      <x:c r="R23" s="59"/>
      <x:c r="S23" s="59"/>
      <x:c r="T23" s="59"/>
      <x:c r="U23" s="59"/>
      <x:c r="V23" s="59"/>
      <x:c r="W23" s="59"/>
      <x:c r="X23" s="59"/>
    </x:row>
    <x:row r="24">
      <x:c r="A24" s="59"/>
      <x:c r="B24" s="59"/>
      <x:c r="C24" s="59"/>
      <x:c r="D24" s="59"/>
      <x:c r="E24" s="59"/>
      <x:c r="F24" s="59"/>
      <x:c r="G24" s="59"/>
      <x:c r="H24" s="59"/>
      <x:c r="I24" s="59"/>
      <x:c r="J24" s="59"/>
      <x:c r="K24" s="59"/>
      <x:c r="L24" s="59"/>
      <x:c r="M24" s="59"/>
      <x:c r="N24" s="59"/>
      <x:c r="O24" s="59"/>
      <x:c r="P24" s="59"/>
      <x:c r="Q24" s="59"/>
      <x:c r="R24" s="59"/>
      <x:c r="S24" s="59"/>
      <x:c r="T24" s="59"/>
      <x:c r="U24" s="59"/>
      <x:c r="V24" s="59"/>
      <x:c r="W24" s="59"/>
      <x:c r="X24" s="59"/>
    </x:row>
    <x:row r="25">
      <x:c r="A25" s="59"/>
      <x:c r="B25" s="59"/>
      <x:c r="C25" s="59"/>
      <x:c r="D25" s="59"/>
      <x:c r="E25" s="59"/>
      <x:c r="F25" s="59"/>
      <x:c r="G25" s="59"/>
      <x:c r="H25" s="59"/>
      <x:c r="I25" s="59"/>
      <x:c r="J25" s="59"/>
      <x:c r="K25" s="59"/>
      <x:c r="L25" s="59"/>
      <x:c r="M25" s="59"/>
      <x:c r="N25" s="59"/>
      <x:c r="O25" s="59"/>
      <x:c r="P25" s="59"/>
      <x:c r="Q25" s="59"/>
      <x:c r="R25" s="59"/>
      <x:c r="S25" s="59"/>
      <x:c r="T25" s="59"/>
      <x:c r="U25" s="59"/>
      <x:c r="V25" s="59"/>
      <x:c r="W25" s="59"/>
      <x:c r="X25" s="59"/>
    </x:row>
    <x:row r="26">
      <x:c r="A26" s="59"/>
      <x:c r="B26" s="59"/>
      <x:c r="C26" s="59"/>
      <x:c r="D26" s="59"/>
      <x:c r="E26" s="59"/>
      <x:c r="F26" s="59"/>
      <x:c r="G26" s="59"/>
      <x:c r="H26" s="59"/>
      <x:c r="I26" s="59"/>
      <x:c r="J26" s="59"/>
      <x:c r="K26" s="59"/>
      <x:c r="L26" s="59"/>
      <x:c r="M26" s="59"/>
      <x:c r="N26" s="59"/>
      <x:c r="O26" s="59"/>
      <x:c r="P26" s="59"/>
      <x:c r="Q26" s="59"/>
      <x:c r="R26" s="59"/>
      <x:c r="S26" s="59"/>
      <x:c r="T26" s="59"/>
      <x:c r="U26" s="59"/>
      <x:c r="V26" s="59"/>
      <x:c r="W26" s="59"/>
      <x:c r="X26" s="59"/>
    </x:row>
    <x:row r="27">
      <x:c r="A27" s="59"/>
      <x:c r="B27" s="59"/>
      <x:c r="C27" s="59"/>
      <x:c r="D27" s="59"/>
      <x:c r="E27" s="59"/>
      <x:c r="F27" s="59"/>
      <x:c r="G27" s="59"/>
      <x:c r="H27" s="59"/>
      <x:c r="I27" s="59"/>
      <x:c r="J27" s="59"/>
      <x:c r="K27" s="59"/>
      <x:c r="L27" s="59"/>
      <x:c r="M27" s="59"/>
      <x:c r="N27" s="59"/>
      <x:c r="O27" s="59"/>
      <x:c r="P27" s="59"/>
      <x:c r="Q27" s="59"/>
      <x:c r="R27" s="59"/>
      <x:c r="S27" s="59"/>
      <x:c r="T27" s="59"/>
      <x:c r="U27" s="59"/>
      <x:c r="V27" s="59"/>
      <x:c r="W27" s="59"/>
      <x:c r="X27" s="59"/>
    </x:row>
    <x:row r="28">
      <x:c r="A28" s="59"/>
      <x:c r="B28" s="59"/>
      <x:c r="C28" s="59"/>
      <x:c r="D28" s="59"/>
      <x:c r="E28" s="59"/>
      <x:c r="F28" s="59"/>
      <x:c r="G28" s="59"/>
      <x:c r="H28" s="59"/>
      <x:c r="I28" s="59"/>
      <x:c r="J28" s="59"/>
      <x:c r="K28" s="59"/>
      <x:c r="L28" s="59"/>
      <x:c r="M28" s="59"/>
      <x:c r="N28" s="59"/>
      <x:c r="O28" s="59"/>
      <x:c r="P28" s="59"/>
      <x:c r="Q28" s="59"/>
      <x:c r="R28" s="59"/>
      <x:c r="S28" s="59"/>
      <x:c r="T28" s="59"/>
      <x:c r="U28" s="59"/>
      <x:c r="V28" s="59"/>
      <x:c r="W28" s="59"/>
      <x:c r="X28" s="59"/>
    </x:row>
    <x:row r="29">
      <x:c r="A29" s="59"/>
      <x:c r="B29" s="59"/>
      <x:c r="C29" s="59"/>
      <x:c r="D29" s="59"/>
      <x:c r="E29" s="59"/>
      <x:c r="F29" s="59"/>
      <x:c r="G29" s="59"/>
      <x:c r="H29" s="59"/>
      <x:c r="I29" s="59"/>
      <x:c r="J29" s="59"/>
      <x:c r="K29" s="59"/>
      <x:c r="L29" s="59"/>
      <x:c r="M29" s="59"/>
      <x:c r="N29" s="59"/>
      <x:c r="O29" s="59"/>
      <x:c r="P29" s="59"/>
      <x:c r="Q29" s="59"/>
      <x:c r="R29" s="59"/>
      <x:c r="S29" s="59"/>
      <x:c r="T29" s="59"/>
      <x:c r="U29" s="59"/>
      <x:c r="V29" s="59"/>
      <x:c r="W29" s="59"/>
      <x:c r="X29" s="59"/>
    </x:row>
    <x:row r="30">
      <x:c r="A30" s="59"/>
      <x:c r="B30" s="59"/>
      <x:c r="C30" s="59"/>
      <x:c r="D30" s="59"/>
      <x:c r="E30" s="59"/>
      <x:c r="F30" s="59"/>
      <x:c r="G30" s="59"/>
      <x:c r="H30" s="59"/>
      <x:c r="I30" s="59"/>
      <x:c r="J30" s="59"/>
      <x:c r="K30" s="59"/>
      <x:c r="L30" s="59"/>
      <x:c r="M30" s="59"/>
      <x:c r="N30" s="59"/>
      <x:c r="O30" s="59"/>
      <x:c r="P30" s="59"/>
      <x:c r="Q30" s="59"/>
      <x:c r="R30" s="59"/>
      <x:c r="S30" s="59"/>
      <x:c r="T30" s="59"/>
      <x:c r="U30" s="59"/>
      <x:c r="V30" s="59"/>
      <x:c r="W30" s="59"/>
      <x:c r="X30" s="59"/>
    </x:row>
    <x:row r="31">
      <x:c r="A31" s="59"/>
      <x:c r="B31" s="59"/>
      <x:c r="C31" s="59"/>
      <x:c r="D31" s="59"/>
      <x:c r="E31" s="59"/>
      <x:c r="F31" s="59"/>
      <x:c r="G31" s="59"/>
      <x:c r="H31" s="59"/>
      <x:c r="I31" s="59"/>
      <x:c r="J31" s="59"/>
      <x:c r="K31" s="59"/>
      <x:c r="L31" s="59"/>
      <x:c r="M31" s="59"/>
      <x:c r="N31" s="59"/>
      <x:c r="O31" s="59"/>
      <x:c r="P31" s="59"/>
      <x:c r="Q31" s="59"/>
      <x:c r="R31" s="59"/>
      <x:c r="S31" s="59"/>
      <x:c r="T31" s="59"/>
      <x:c r="U31" s="59"/>
      <x:c r="V31" s="59"/>
      <x:c r="W31" s="59"/>
      <x:c r="X31" s="59"/>
    </x:row>
    <x:row r="32">
      <x:c r="A32" s="59"/>
      <x:c r="B32" s="59"/>
      <x:c r="C32" s="59"/>
      <x:c r="D32" s="59"/>
      <x:c r="E32" s="59"/>
      <x:c r="F32" s="59"/>
      <x:c r="G32" s="59"/>
      <x:c r="H32" s="59"/>
      <x:c r="I32" s="59"/>
      <x:c r="J32" s="59"/>
      <x:c r="K32" s="59"/>
      <x:c r="L32" s="59"/>
      <x:c r="M32" s="59"/>
      <x:c r="N32" s="59"/>
      <x:c r="O32" s="59"/>
      <x:c r="P32" s="59"/>
      <x:c r="Q32" s="59"/>
      <x:c r="R32" s="59"/>
      <x:c r="S32" s="59"/>
      <x:c r="T32" s="59"/>
      <x:c r="U32" s="59"/>
      <x:c r="V32" s="59"/>
      <x:c r="W32" s="59"/>
      <x:c r="X32" s="59"/>
    </x:row>
    <x:row r="33">
      <x:c r="A33" s="59"/>
      <x:c r="B33" s="59"/>
      <x:c r="C33" s="59"/>
      <x:c r="D33" s="59"/>
      <x:c r="E33" s="59"/>
      <x:c r="F33" s="59"/>
      <x:c r="G33" s="59"/>
      <x:c r="H33" s="59"/>
      <x:c r="I33" s="59"/>
      <x:c r="J33" s="59"/>
      <x:c r="K33" s="59"/>
      <x:c r="L33" s="59"/>
      <x:c r="M33" s="59"/>
      <x:c r="N33" s="59"/>
      <x:c r="O33" s="59"/>
      <x:c r="P33" s="59"/>
      <x:c r="Q33" s="59"/>
      <x:c r="R33" s="59"/>
      <x:c r="S33" s="59"/>
      <x:c r="T33" s="59"/>
      <x:c r="U33" s="59"/>
      <x:c r="V33" s="59"/>
      <x:c r="W33" s="59"/>
      <x:c r="X33" s="59"/>
    </x:row>
    <x:row r="34">
      <x:c r="A34" s="59"/>
      <x:c r="B34" s="59"/>
      <x:c r="C34" s="59"/>
      <x:c r="D34" s="59"/>
      <x:c r="E34" s="59"/>
      <x:c r="F34" s="59"/>
      <x:c r="G34" s="59"/>
      <x:c r="H34" s="59"/>
      <x:c r="I34" s="59"/>
      <x:c r="J34" s="59"/>
      <x:c r="K34" s="59"/>
      <x:c r="L34" s="59"/>
      <x:c r="M34" s="59"/>
      <x:c r="N34" s="59"/>
      <x:c r="O34" s="59"/>
      <x:c r="P34" s="59"/>
      <x:c r="Q34" s="59"/>
      <x:c r="R34" s="59"/>
      <x:c r="S34" s="59"/>
      <x:c r="T34" s="59"/>
      <x:c r="U34" s="59"/>
      <x:c r="V34" s="59"/>
      <x:c r="W34" s="59"/>
      <x:c r="X34" s="59"/>
    </x:row>
    <x:row r="35">
      <x:c r="A35" s="59"/>
      <x:c r="B35" s="59"/>
      <x:c r="C35" s="59"/>
      <x:c r="D35" s="59"/>
      <x:c r="E35" s="59"/>
      <x:c r="F35" s="59"/>
      <x:c r="G35" s="59"/>
      <x:c r="H35" s="59"/>
      <x:c r="I35" s="59"/>
      <x:c r="J35" s="59"/>
      <x:c r="K35" s="59"/>
      <x:c r="L35" s="59"/>
      <x:c r="M35" s="59"/>
      <x:c r="N35" s="59"/>
      <x:c r="O35" s="59"/>
      <x:c r="P35" s="59"/>
      <x:c r="Q35" s="59"/>
      <x:c r="R35" s="59"/>
      <x:c r="S35" s="59"/>
      <x:c r="T35" s="59"/>
      <x:c r="U35" s="59"/>
      <x:c r="V35" s="59"/>
      <x:c r="W35" s="59"/>
      <x:c r="X35" s="59"/>
    </x:row>
    <x:row r="36">
      <x:c r="A36" s="59"/>
      <x:c r="B36" s="59"/>
      <x:c r="C36" s="59"/>
      <x:c r="D36" s="59"/>
      <x:c r="E36" s="59"/>
      <x:c r="F36" s="59"/>
      <x:c r="G36" s="59"/>
      <x:c r="H36" s="59"/>
      <x:c r="I36" s="59"/>
      <x:c r="J36" s="59"/>
      <x:c r="K36" s="59"/>
      <x:c r="L36" s="59"/>
      <x:c r="M36" s="59"/>
      <x:c r="N36" s="59"/>
      <x:c r="O36" s="59"/>
      <x:c r="P36" s="59"/>
      <x:c r="Q36" s="59"/>
      <x:c r="R36" s="59"/>
      <x:c r="S36" s="59"/>
      <x:c r="T36" s="59"/>
      <x:c r="U36" s="59"/>
      <x:c r="V36" s="59"/>
      <x:c r="W36" s="59"/>
      <x:c r="X36" s="59"/>
    </x:row>
    <x:row r="37">
      <x:c r="A37" s="59"/>
      <x:c r="B37" s="59"/>
      <x:c r="C37" s="59"/>
      <x:c r="D37" s="59"/>
      <x:c r="E37" s="59"/>
      <x:c r="F37" s="59"/>
      <x:c r="G37" s="59"/>
      <x:c r="H37" s="59"/>
      <x:c r="I37" s="59"/>
      <x:c r="J37" s="59"/>
      <x:c r="K37" s="59"/>
      <x:c r="L37" s="59"/>
      <x:c r="M37" s="59"/>
      <x:c r="N37" s="59"/>
      <x:c r="O37" s="59"/>
      <x:c r="P37" s="59"/>
      <x:c r="Q37" s="59"/>
      <x:c r="R37" s="59"/>
      <x:c r="S37" s="59"/>
      <x:c r="T37" s="59"/>
      <x:c r="U37" s="59"/>
      <x:c r="V37" s="59"/>
      <x:c r="W37" s="59"/>
      <x:c r="X37" s="59"/>
    </x:row>
    <x:row r="38">
      <x:c r="A38" s="59"/>
      <x:c r="B38" s="59"/>
      <x:c r="C38" s="59"/>
      <x:c r="D38" s="59"/>
      <x:c r="E38" s="59"/>
      <x:c r="F38" s="59"/>
      <x:c r="G38" s="59"/>
      <x:c r="H38" s="59"/>
      <x:c r="I38" s="59"/>
      <x:c r="J38" s="59"/>
      <x:c r="K38" s="59"/>
      <x:c r="L38" s="59"/>
      <x:c r="M38" s="59"/>
      <x:c r="N38" s="59"/>
      <x:c r="O38" s="59"/>
      <x:c r="P38" s="59"/>
      <x:c r="Q38" s="59"/>
      <x:c r="R38" s="59"/>
      <x:c r="S38" s="59"/>
      <x:c r="T38" s="59"/>
      <x:c r="U38" s="59"/>
      <x:c r="V38" s="59"/>
      <x:c r="W38" s="59"/>
      <x:c r="X38" s="59"/>
    </x:row>
    <x:row r="39">
      <x:c r="A39" s="59"/>
      <x:c r="B39" s="59"/>
      <x:c r="C39" s="59"/>
      <x:c r="D39" s="59"/>
      <x:c r="E39" s="59"/>
      <x:c r="F39" s="59"/>
      <x:c r="G39" s="59"/>
      <x:c r="H39" s="59"/>
      <x:c r="I39" s="59"/>
      <x:c r="J39" s="59"/>
      <x:c r="K39" s="59"/>
      <x:c r="L39" s="59"/>
      <x:c r="M39" s="59"/>
      <x:c r="N39" s="59"/>
      <x:c r="O39" s="59"/>
      <x:c r="P39" s="59"/>
      <x:c r="Q39" s="59"/>
      <x:c r="R39" s="59"/>
      <x:c r="S39" s="59"/>
      <x:c r="T39" s="59"/>
      <x:c r="U39" s="59"/>
      <x:c r="V39" s="59"/>
      <x:c r="W39" s="59"/>
      <x:c r="X39" s="59"/>
    </x:row>
    <x:row r="40">
      <x:c r="A40" s="59"/>
      <x:c r="B40" s="59"/>
      <x:c r="C40" s="59"/>
      <x:c r="D40" s="59"/>
      <x:c r="E40" s="59"/>
      <x:c r="F40" s="59"/>
      <x:c r="G40" s="59"/>
      <x:c r="H40" s="59"/>
      <x:c r="I40" s="59"/>
      <x:c r="J40" s="59"/>
      <x:c r="K40" s="59"/>
      <x:c r="L40" s="59"/>
      <x:c r="M40" s="59"/>
      <x:c r="N40" s="59"/>
      <x:c r="O40" s="59"/>
      <x:c r="P40" s="59"/>
      <x:c r="Q40" s="59"/>
      <x:c r="R40" s="59"/>
      <x:c r="S40" s="59"/>
      <x:c r="T40" s="59"/>
      <x:c r="U40" s="59"/>
      <x:c r="V40" s="59"/>
      <x:c r="W40" s="59"/>
      <x:c r="X40" s="59"/>
    </x:row>
    <x:row r="41">
      <x:c r="A41" s="59"/>
      <x:c r="B41" s="59"/>
      <x:c r="C41" s="59"/>
      <x:c r="D41" s="59"/>
      <x:c r="E41" s="59"/>
      <x:c r="F41" s="59"/>
      <x:c r="G41" s="59"/>
      <x:c r="H41" s="59"/>
      <x:c r="I41" s="59"/>
      <x:c r="J41" s="59"/>
      <x:c r="K41" s="59"/>
      <x:c r="L41" s="59"/>
      <x:c r="M41" s="59"/>
      <x:c r="N41" s="59"/>
      <x:c r="O41" s="59"/>
      <x:c r="P41" s="59"/>
      <x:c r="Q41" s="59"/>
      <x:c r="R41" s="59"/>
      <x:c r="S41" s="59"/>
      <x:c r="T41" s="59"/>
      <x:c r="U41" s="59"/>
      <x:c r="V41" s="59"/>
      <x:c r="W41" s="59"/>
      <x:c r="X41" s="59"/>
    </x:row>
    <x:row r="42">
      <x:c r="A42" s="59"/>
      <x:c r="B42" s="59"/>
      <x:c r="C42" s="59"/>
      <x:c r="D42" s="59"/>
      <x:c r="E42" s="59"/>
      <x:c r="F42" s="59"/>
      <x:c r="G42" s="59"/>
      <x:c r="H42" s="59"/>
      <x:c r="I42" s="59"/>
      <x:c r="J42" s="59"/>
      <x:c r="K42" s="59"/>
      <x:c r="L42" s="59"/>
      <x:c r="M42" s="59"/>
      <x:c r="N42" s="59"/>
      <x:c r="O42" s="59"/>
      <x:c r="P42" s="59"/>
      <x:c r="Q42" s="59"/>
      <x:c r="R42" s="59"/>
      <x:c r="S42" s="59"/>
      <x:c r="T42" s="59"/>
      <x:c r="U42" s="59"/>
      <x:c r="V42" s="59"/>
      <x:c r="W42" s="59"/>
      <x:c r="X42" s="59"/>
    </x:row>
    <x:row r="43">
      <x:c r="A43" s="59"/>
      <x:c r="B43" s="59"/>
      <x:c r="C43" s="59"/>
      <x:c r="D43" s="59"/>
      <x:c r="E43" s="59"/>
      <x:c r="F43" s="59"/>
      <x:c r="G43" s="59"/>
      <x:c r="H43" s="59"/>
      <x:c r="I43" s="59"/>
      <x:c r="J43" s="59"/>
      <x:c r="K43" s="59"/>
      <x:c r="L43" s="59"/>
      <x:c r="M43" s="59"/>
      <x:c r="N43" s="59"/>
      <x:c r="O43" s="59"/>
      <x:c r="P43" s="59"/>
      <x:c r="Q43" s="59"/>
      <x:c r="R43" s="59"/>
      <x:c r="S43" s="59"/>
      <x:c r="T43" s="59"/>
      <x:c r="U43" s="59"/>
      <x:c r="V43" s="59"/>
      <x:c r="W43" s="59"/>
      <x:c r="X43" s="59"/>
    </x:row>
    <x:row r="44">
      <x:c r="A44" s="59"/>
      <x:c r="B44" s="59"/>
      <x:c r="C44" s="59"/>
      <x:c r="D44" s="59"/>
      <x:c r="E44" s="59"/>
      <x:c r="F44" s="59"/>
      <x:c r="G44" s="59"/>
      <x:c r="H44" s="59"/>
      <x:c r="I44" s="59"/>
      <x:c r="J44" s="59"/>
      <x:c r="K44" s="59"/>
      <x:c r="L44" s="59"/>
      <x:c r="M44" s="59"/>
      <x:c r="N44" s="59"/>
      <x:c r="O44" s="59"/>
      <x:c r="P44" s="59"/>
      <x:c r="Q44" s="59"/>
      <x:c r="R44" s="59"/>
      <x:c r="S44" s="59"/>
      <x:c r="T44" s="59"/>
      <x:c r="U44" s="59"/>
      <x:c r="V44" s="59"/>
      <x:c r="W44" s="59"/>
      <x:c r="X44" s="59"/>
    </x:row>
    <x:row r="45">
      <x:c r="A45" s="59"/>
      <x:c r="B45" s="59"/>
      <x:c r="C45" s="59"/>
      <x:c r="D45" s="59"/>
      <x:c r="E45" s="59"/>
      <x:c r="F45" s="59"/>
      <x:c r="G45" s="59"/>
      <x:c r="H45" s="59"/>
      <x:c r="I45" s="59"/>
      <x:c r="J45" s="59"/>
      <x:c r="K45" s="59"/>
      <x:c r="L45" s="59"/>
      <x:c r="M45" s="59"/>
      <x:c r="N45" s="59"/>
      <x:c r="O45" s="59"/>
      <x:c r="P45" s="59"/>
      <x:c r="Q45" s="59"/>
      <x:c r="R45" s="59"/>
      <x:c r="S45" s="59"/>
      <x:c r="T45" s="59"/>
      <x:c r="U45" s="59"/>
      <x:c r="V45" s="59"/>
      <x:c r="W45" s="59"/>
      <x:c r="X45" s="59"/>
    </x:row>
    <x:row r="46">
      <x:c r="A46" s="59"/>
      <x:c r="B46" s="59"/>
      <x:c r="C46" s="59"/>
      <x:c r="D46" s="59"/>
      <x:c r="E46" s="59"/>
      <x:c r="F46" s="59"/>
      <x:c r="G46" s="59"/>
      <x:c r="H46" s="59"/>
      <x:c r="I46" s="59"/>
      <x:c r="J46" s="59"/>
      <x:c r="K46" s="59"/>
      <x:c r="L46" s="59"/>
      <x:c r="M46" s="59"/>
      <x:c r="N46" s="59"/>
      <x:c r="O46" s="59"/>
      <x:c r="P46" s="59"/>
      <x:c r="Q46" s="59"/>
      <x:c r="R46" s="59"/>
      <x:c r="S46" s="59"/>
      <x:c r="T46" s="59"/>
      <x:c r="U46" s="59"/>
      <x:c r="V46" s="59"/>
      <x:c r="W46" s="59"/>
      <x:c r="X46" s="59"/>
    </x:row>
    <x:row r="47">
      <x:c r="A47" s="59"/>
      <x:c r="B47" s="59"/>
      <x:c r="C47" s="59"/>
      <x:c r="D47" s="59"/>
      <x:c r="E47" s="59"/>
      <x:c r="F47" s="59"/>
      <x:c r="G47" s="59"/>
      <x:c r="H47" s="59"/>
      <x:c r="I47" s="59"/>
      <x:c r="J47" s="59"/>
      <x:c r="K47" s="59"/>
      <x:c r="L47" s="59"/>
      <x:c r="M47" s="59"/>
      <x:c r="N47" s="59"/>
      <x:c r="O47" s="59"/>
      <x:c r="P47" s="59"/>
      <x:c r="Q47" s="59"/>
      <x:c r="R47" s="59"/>
      <x:c r="S47" s="59"/>
      <x:c r="T47" s="59"/>
      <x:c r="U47" s="59"/>
      <x:c r="V47" s="59"/>
      <x:c r="W47" s="59"/>
      <x:c r="X47" s="59"/>
    </x:row>
    <x:row r="48">
      <x:c r="T48" s="59"/>
      <x:c r="U48" s="59"/>
      <x:c r="V48" s="59"/>
      <x:c r="W48" s="59"/>
      <x:c r="X48" s="59"/>
    </x:row>
  </x:sheetData>
  <x:mergeCells>
    <x:mergeCell ref="A1:I1"/>
    <x:mergeCell ref="A2:I2"/>
    <x:mergeCell ref="A3:I3"/>
    <x:mergeCell ref="A11:I11"/>
  </x:mergeCells>
  <x:conditionalFormatting sqref="A6:I9">
    <x:cfRule type="expression" dxfId="13" priority="1">
      <x:formula>MOD(ROW()-6,2)=1</x:formula>
    </x:cfRule>
  </x:conditionalFormatting>
  <x:pageMargins left="0.7" right="0.7" top="0.75" bottom="0.75" header="0.3" footer="0.3"/>
  <x:drawing xmlns:r="http://schemas.openxmlformats.org/officeDocument/2006/relationships" r:id="Rade9523bd37c46e1"/>
</x:worksheet>
</file>

<file path=xl/worksheets/sheet4.xml><?xml version="1.0" encoding="utf-8"?>
<x:worksheet xmlns:x="http://schemas.openxmlformats.org/spreadsheetml/2006/main">
  <x:sheetFormatPr defaultRowHeight="14.5"/>
  <x:cols>
    <x:col min="1" max="1" width="25.453125" customWidth="1"/>
    <x:col min="2" max="9" width="13.08984375" customWidth="1"/>
  </x:cols>
  <x:sheetData>
    <x:row r="1" ht="32" customHeight="1">
      <x:c r="A1" s="4" t="s">
        <x:v>56</x:v>
      </x:c>
      <x:c r="B1" s="4"/>
      <x:c r="C1" s="4"/>
      <x:c r="D1" s="4"/>
      <x:c r="E1" s="4"/>
      <x:c r="F1" s="4"/>
      <x:c r="G1" s="4"/>
      <x:c r="H1" s="4"/>
      <x:c r="I1" s="4"/>
      <x:c r="J1" s="59"/>
      <x:c r="K1" s="59"/>
      <x:c r="L1" s="59"/>
      <x:c r="M1" s="59"/>
      <x:c r="N1" s="59"/>
      <x:c r="O1" s="59"/>
      <x:c r="P1" s="59"/>
      <x:c r="Q1" s="59"/>
      <x:c r="R1" s="59"/>
      <x:c r="S1" s="59"/>
      <x:c r="T1" s="59"/>
      <x:c r="U1" s="59"/>
      <x:c r="V1" s="59"/>
      <x:c r="W1" s="59"/>
      <x:c r="X1" s="59"/>
    </x:row>
    <x:row r="2" ht="20" customHeight="1">
      <x:c r="A2" s="5" t="s">
        <x:v>57</x:v>
      </x:c>
      <x:c r="B2" s="5"/>
      <x:c r="C2" s="5"/>
      <x:c r="D2" s="5"/>
      <x:c r="E2" s="5"/>
      <x:c r="F2" s="5"/>
      <x:c r="G2" s="5"/>
      <x:c r="H2" s="5"/>
      <x:c r="I2" s="5"/>
      <x:c r="J2" s="59"/>
      <x:c r="K2" s="59"/>
      <x:c r="L2" s="59"/>
      <x:c r="M2" s="59"/>
      <x:c r="N2" s="59"/>
      <x:c r="O2" s="59"/>
      <x:c r="P2" s="59"/>
      <x:c r="Q2" s="59"/>
      <x:c r="R2" s="59"/>
      <x:c r="S2" s="59"/>
      <x:c r="T2" s="59"/>
      <x:c r="U2" s="59"/>
      <x:c r="V2" s="59"/>
      <x:c r="W2" s="59"/>
      <x:c r="X2" s="59"/>
    </x:row>
    <x:row r="3" ht="45" customHeight="1">
      <x:c r="A3" s="35" t="s">
        <x:v>58</x:v>
      </x:c>
      <x:c r="B3" s="35"/>
      <x:c r="C3" s="35"/>
      <x:c r="D3" s="35"/>
      <x:c r="E3" s="35"/>
      <x:c r="F3" s="35"/>
      <x:c r="G3" s="35"/>
      <x:c r="H3" s="35"/>
      <x:c r="I3" s="35"/>
      <x:c r="J3" s="59"/>
      <x:c r="K3" s="59"/>
      <x:c r="L3" s="59"/>
      <x:c r="M3" s="59"/>
      <x:c r="N3" s="59"/>
      <x:c r="O3" s="59"/>
      <x:c r="P3" s="59"/>
      <x:c r="Q3" s="59"/>
      <x:c r="R3" s="59"/>
      <x:c r="S3" s="59"/>
      <x:c r="T3" s="59"/>
      <x:c r="U3" s="59"/>
      <x:c r="V3" s="59"/>
      <x:c r="W3" s="59"/>
      <x:c r="X3" s="59"/>
    </x:row>
    <x:row r="4">
      <x:c r="A4" s="3"/>
      <x:c r="B4" s="3"/>
      <x:c r="C4" s="3"/>
      <x:c r="D4" s="3"/>
      <x:c r="E4" s="3"/>
      <x:c r="F4" s="3"/>
      <x:c r="G4" s="3"/>
      <x:c r="H4" s="3"/>
      <x:c r="I4" s="3"/>
      <x:c r="J4" s="59"/>
      <x:c r="K4" s="59"/>
      <x:c r="L4" s="59"/>
      <x:c r="M4" s="59"/>
      <x:c r="N4" s="59"/>
      <x:c r="O4" s="59"/>
      <x:c r="P4" s="59"/>
      <x:c r="Q4" s="59"/>
      <x:c r="R4" s="59"/>
      <x:c r="S4" s="59"/>
      <x:c r="T4" s="59"/>
      <x:c r="U4" s="59"/>
      <x:c r="V4" s="59"/>
      <x:c r="W4" s="59"/>
      <x:c r="X4" s="59"/>
    </x:row>
    <x:row r="5" ht="15">
      <x:c r="A5" s="42" t="s">
        <x:v>59</x:v>
      </x:c>
      <x:c r="B5" s="43" t="s">
        <x:v>54</x:v>
      </x:c>
      <x:c r="C5" s="43" t="s">
        <x:v>60</x:v>
      </x:c>
      <x:c r="D5" s="44" t="s">
        <x:v>61</x:v>
      </x:c>
      <x:c r="E5" s="3"/>
      <x:c r="F5" s="3"/>
      <x:c r="G5" s="3"/>
      <x:c r="H5" s="3"/>
      <x:c r="I5" s="3"/>
      <x:c r="J5" s="59"/>
      <x:c r="K5" s="59"/>
      <x:c r="L5" s="59"/>
      <x:c r="M5" s="59"/>
      <x:c r="N5" s="59"/>
      <x:c r="O5" s="59"/>
      <x:c r="P5" s="59"/>
      <x:c r="Q5" s="59"/>
      <x:c r="R5" s="59"/>
      <x:c r="S5" s="59"/>
      <x:c r="T5" s="59"/>
      <x:c r="U5" s="59"/>
      <x:c r="V5" s="59"/>
      <x:c r="W5" s="59"/>
      <x:c r="X5" s="59"/>
    </x:row>
    <x:row r="6">
      <x:c r="A6" s="36" t="s">
        <x:v>43</x:v>
      </x:c>
      <x:c r="B6" s="16" t="n">
        <x:f>COUNTIF(WorkforceData[Retention Band],A6)</x:f>
        <x:v>0</x:v>
      </x:c>
      <x:c r="C6" s="21" t="n">
        <x:f>B6/ROWS(WorkforceData[Employee Number])</x:f>
        <x:v>0</x:v>
      </x:c>
      <x:c r="D6" s="45" t="n">
        <x:f>IFERROR(SUMIFS(WorkforceData[Success Flag],WorkforceData[Retention Band],A6)/B6,0)</x:f>
        <x:v>0</x:v>
      </x:c>
      <x:c r="E6" s="3"/>
      <x:c r="F6" s="3"/>
      <x:c r="G6" s="3"/>
      <x:c r="H6" s="3"/>
      <x:c r="I6" s="3"/>
      <x:c r="J6" s="59"/>
      <x:c r="K6" s="59"/>
      <x:c r="L6" s="59"/>
      <x:c r="M6" s="59"/>
      <x:c r="N6" s="59"/>
      <x:c r="O6" s="59"/>
      <x:c r="P6" s="59"/>
      <x:c r="Q6" s="59"/>
      <x:c r="R6" s="59"/>
      <x:c r="S6" s="59"/>
      <x:c r="T6" s="59"/>
      <x:c r="U6" s="59"/>
      <x:c r="V6" s="59"/>
      <x:c r="W6" s="59"/>
      <x:c r="X6" s="59"/>
    </x:row>
    <x:row r="7">
      <x:c r="A7" s="38" t="s">
        <x:v>44</x:v>
      </x:c>
      <x:c r="B7" s="18" t="n">
        <x:f>COUNTIF(WorkforceData[Retention Band],A7)</x:f>
        <x:v>49</x:v>
      </x:c>
      <x:c r="C7" s="22" t="n">
        <x:f>B7/ROWS(WorkforceData[Employee Number])</x:f>
        <x:v>0.04666666666666667</x:v>
      </x:c>
      <x:c r="D7" s="46" t="n">
        <x:f>IFERROR(SUMIFS(WorkforceData[Success Flag],WorkforceData[Retention Band],A7)/B7,0)</x:f>
        <x:v>0</x:v>
      </x:c>
      <x:c r="E7" s="3"/>
      <x:c r="F7" s="3"/>
      <x:c r="G7" s="3"/>
      <x:c r="H7" s="3"/>
      <x:c r="I7" s="3"/>
      <x:c r="J7" s="59"/>
      <x:c r="K7" s="59"/>
      <x:c r="L7" s="59"/>
      <x:c r="M7" s="59"/>
      <x:c r="N7" s="59"/>
      <x:c r="O7" s="59"/>
      <x:c r="P7" s="59"/>
      <x:c r="Q7" s="59"/>
      <x:c r="R7" s="59"/>
      <x:c r="S7" s="59"/>
      <x:c r="T7" s="59"/>
      <x:c r="U7" s="59"/>
      <x:c r="V7" s="59"/>
      <x:c r="W7" s="59"/>
      <x:c r="X7" s="59"/>
    </x:row>
    <x:row r="8">
      <x:c r="A8" s="38" t="s">
        <x:v>62</x:v>
      </x:c>
      <x:c r="B8" s="18" t="n">
        <x:f>COUNTIF(WorkforceData[Retention Band],A8)</x:f>
        <x:v>98</x:v>
      </x:c>
      <x:c r="C8" s="22" t="n">
        <x:f>B8/ROWS(WorkforceData[Employee Number])</x:f>
        <x:v>0.09333333333333334</x:v>
      </x:c>
      <x:c r="D8" s="46" t="n">
        <x:f>IFERROR(SUMIFS(WorkforceData[Success Flag],WorkforceData[Retention Band],A8)/B8,0)</x:f>
        <x:v>0.04081632653061224</x:v>
      </x:c>
      <x:c r="E8" s="3"/>
      <x:c r="F8" s="3"/>
      <x:c r="G8" s="3"/>
      <x:c r="H8" s="3"/>
      <x:c r="I8" s="3"/>
      <x:c r="J8" s="59"/>
      <x:c r="K8" s="59"/>
      <x:c r="L8" s="59"/>
      <x:c r="M8" s="59"/>
      <x:c r="N8" s="59"/>
      <x:c r="O8" s="59"/>
      <x:c r="P8" s="59"/>
      <x:c r="Q8" s="59"/>
      <x:c r="R8" s="59"/>
      <x:c r="S8" s="59"/>
      <x:c r="T8" s="59"/>
      <x:c r="U8" s="59"/>
      <x:c r="V8" s="59"/>
      <x:c r="W8" s="59"/>
      <x:c r="X8" s="59"/>
    </x:row>
    <x:row r="9">
      <x:c r="A9" s="38" t="s">
        <x:v>63</x:v>
      </x:c>
      <x:c r="B9" s="18" t="n">
        <x:f>COUNTIF(WorkforceData[Retention Band],A9)</x:f>
        <x:v>98</x:v>
      </x:c>
      <x:c r="C9" s="22" t="n">
        <x:f>B9/ROWS(WorkforceData[Employee Number])</x:f>
        <x:v>0.09333333333333334</x:v>
      </x:c>
      <x:c r="D9" s="46" t="n">
        <x:f>IFERROR(SUMIFS(WorkforceData[Success Flag],WorkforceData[Retention Band],A9)/B9,0)</x:f>
        <x:v>0.19387755102040816</x:v>
      </x:c>
      <x:c r="E9" s="3"/>
      <x:c r="F9" s="3"/>
      <x:c r="G9" s="3"/>
      <x:c r="H9" s="3"/>
      <x:c r="I9" s="3"/>
      <x:c r="J9" s="59"/>
      <x:c r="K9" s="59"/>
      <x:c r="L9" s="59"/>
      <x:c r="M9" s="59"/>
      <x:c r="N9" s="59"/>
      <x:c r="O9" s="59"/>
      <x:c r="P9" s="59"/>
      <x:c r="Q9" s="59"/>
      <x:c r="R9" s="59"/>
      <x:c r="S9" s="59"/>
      <x:c r="T9" s="59"/>
      <x:c r="U9" s="59"/>
      <x:c r="V9" s="59"/>
      <x:c r="W9" s="59"/>
      <x:c r="X9" s="59"/>
    </x:row>
    <x:row r="10">
      <x:c r="A10" s="38" t="s">
        <x:v>64</x:v>
      </x:c>
      <x:c r="B10" s="18" t="n">
        <x:f>COUNTIF(WorkforceData[Retention Band],A10)</x:f>
        <x:v>54</x:v>
      </x:c>
      <x:c r="C10" s="22" t="n">
        <x:f>B10/ROWS(WorkforceData[Employee Number])</x:f>
        <x:v>0.05142857142857143</x:v>
      </x:c>
      <x:c r="D10" s="46" t="n">
        <x:f>IFERROR(SUMIFS(WorkforceData[Success Flag],WorkforceData[Retention Band],A10)/B10,0)</x:f>
        <x:v>0.1111111111111111</x:v>
      </x:c>
      <x:c r="E10" s="3"/>
      <x:c r="F10" s="3"/>
      <x:c r="G10" s="3"/>
      <x:c r="H10" s="3"/>
      <x:c r="I10" s="3"/>
      <x:c r="J10" s="59"/>
      <x:c r="K10" s="59"/>
      <x:c r="L10" s="59"/>
      <x:c r="M10" s="59"/>
      <x:c r="N10" s="59"/>
      <x:c r="O10" s="59"/>
      <x:c r="P10" s="59"/>
      <x:c r="Q10" s="59"/>
      <x:c r="R10" s="59"/>
      <x:c r="S10" s="59"/>
      <x:c r="T10" s="59"/>
      <x:c r="U10" s="59"/>
      <x:c r="V10" s="59"/>
      <x:c r="W10" s="59"/>
      <x:c r="X10" s="59"/>
    </x:row>
    <x:row r="11">
      <x:c r="A11" s="38" t="s">
        <x:v>65</x:v>
      </x:c>
      <x:c r="B11" s="18" t="n">
        <x:f>COUNTIF(WorkforceData[Retention Band],A11)</x:f>
        <x:v>67</x:v>
      </x:c>
      <x:c r="C11" s="22" t="n">
        <x:f>B11/ROWS(WorkforceData[Employee Number])</x:f>
        <x:v>0.06380952380952382</x:v>
      </x:c>
      <x:c r="D11" s="46" t="n">
        <x:f>IFERROR(SUMIFS(WorkforceData[Success Flag],WorkforceData[Retention Band],A11)/B11,0)</x:f>
        <x:v>0.26865671641791045</x:v>
      </x:c>
      <x:c r="E11" s="3"/>
      <x:c r="F11" s="3"/>
      <x:c r="G11" s="3"/>
      <x:c r="H11" s="3"/>
      <x:c r="I11" s="3"/>
      <x:c r="J11" s="59"/>
      <x:c r="K11" s="59"/>
      <x:c r="L11" s="59"/>
      <x:c r="M11" s="59"/>
      <x:c r="N11" s="59"/>
      <x:c r="O11" s="59"/>
      <x:c r="P11" s="59"/>
      <x:c r="Q11" s="59"/>
      <x:c r="R11" s="59"/>
      <x:c r="S11" s="59"/>
      <x:c r="T11" s="59"/>
      <x:c r="U11" s="59"/>
      <x:c r="V11" s="59"/>
      <x:c r="W11" s="59"/>
      <x:c r="X11" s="59"/>
    </x:row>
    <x:row r="12">
      <x:c r="A12" s="40" t="s">
        <x:v>66</x:v>
      </x:c>
      <x:c r="B12" s="20" t="n">
        <x:f>COUNTIF(WorkforceData[Retention Band],A12)</x:f>
        <x:v>684</x:v>
      </x:c>
      <x:c r="C12" s="23" t="n">
        <x:f>B12/ROWS(WorkforceData[Employee Number])</x:f>
        <x:v>0.6514285714285715</x:v>
      </x:c>
      <x:c r="D12" s="47" t="n">
        <x:f>IFERROR(SUMIFS(WorkforceData[Success Flag],WorkforceData[Retention Band],A12)/B12,0)</x:f>
        <x:v>1</x:v>
      </x:c>
      <x:c r="E12" s="3"/>
      <x:c r="F12" s="3"/>
      <x:c r="G12" s="3"/>
      <x:c r="H12" s="3"/>
      <x:c r="I12" s="3"/>
      <x:c r="J12" s="59"/>
      <x:c r="K12" s="59"/>
      <x:c r="L12" s="59"/>
      <x:c r="M12" s="59"/>
      <x:c r="N12" s="59"/>
      <x:c r="O12" s="59"/>
      <x:c r="P12" s="59"/>
      <x:c r="Q12" s="59"/>
      <x:c r="R12" s="59"/>
      <x:c r="S12" s="59"/>
      <x:c r="T12" s="59"/>
      <x:c r="U12" s="59"/>
      <x:c r="V12" s="59"/>
      <x:c r="W12" s="59"/>
      <x:c r="X12" s="59"/>
    </x:row>
    <x:row r="13">
      <x:c r="A13" s="3"/>
      <x:c r="B13" s="3"/>
      <x:c r="C13" s="3"/>
      <x:c r="D13" s="3"/>
      <x:c r="E13" s="3"/>
      <x:c r="F13" s="3"/>
      <x:c r="G13" s="3"/>
      <x:c r="H13" s="3"/>
      <x:c r="I13" s="3"/>
      <x:c r="J13" s="59"/>
      <x:c r="K13" s="59"/>
      <x:c r="L13" s="59"/>
      <x:c r="M13" s="59"/>
      <x:c r="N13" s="59"/>
      <x:c r="O13" s="59"/>
      <x:c r="P13" s="59"/>
      <x:c r="Q13" s="59"/>
      <x:c r="R13" s="59"/>
      <x:c r="S13" s="59"/>
      <x:c r="T13" s="59"/>
      <x:c r="U13" s="59"/>
      <x:c r="V13" s="59"/>
      <x:c r="W13" s="59"/>
      <x:c r="X13" s="59"/>
    </x:row>
    <x:row r="14">
      <x:c r="A14" s="48" t="str">
        <x:f>"The largest retention band is "&amp;_xlfn.XLOOKUP(MAX(B6:B12),B6:B12,A6:A12)&amp;" with "&amp;TEXT(MAX(B6:B12),"#,##0")&amp;" trainees. The 121+ band is 100% successful by definition—not an independent relationship."</x:f>
        <x:v>The largest retention band is 121+ Days with 684 trainees. The 121+ band is 100% successful by definition—not an independent relationship.</x:v>
      </x:c>
      <x:c r="B14" s="49"/>
      <x:c r="C14" s="49"/>
      <x:c r="D14" s="49"/>
      <x:c r="E14" s="49"/>
      <x:c r="F14" s="49"/>
      <x:c r="G14" s="49"/>
      <x:c r="H14" s="49"/>
      <x:c r="I14" s="49"/>
      <x:c r="J14" s="59"/>
      <x:c r="K14" s="59"/>
      <x:c r="L14" s="59"/>
      <x:c r="M14" s="59"/>
      <x:c r="N14" s="59"/>
      <x:c r="O14" s="59"/>
      <x:c r="P14" s="59"/>
      <x:c r="Q14" s="59"/>
      <x:c r="R14" s="59"/>
      <x:c r="S14" s="59"/>
      <x:c r="T14" s="59"/>
      <x:c r="U14" s="59"/>
      <x:c r="V14" s="59"/>
      <x:c r="W14" s="59"/>
      <x:c r="X14" s="59"/>
    </x:row>
    <x:row r="15">
      <x:c r="A15" s="59"/>
      <x:c r="B15" s="59"/>
      <x:c r="C15" s="59"/>
      <x:c r="D15" s="59"/>
      <x:c r="E15" s="59"/>
      <x:c r="F15" s="59"/>
      <x:c r="G15" s="59"/>
      <x:c r="H15" s="59"/>
      <x:c r="I15" s="59"/>
      <x:c r="J15" s="59"/>
      <x:c r="K15" s="59"/>
      <x:c r="L15" s="59"/>
      <x:c r="M15" s="59"/>
      <x:c r="N15" s="59"/>
      <x:c r="O15" s="59"/>
      <x:c r="P15" s="59"/>
      <x:c r="Q15" s="59"/>
      <x:c r="R15" s="59"/>
      <x:c r="S15" s="59"/>
      <x:c r="T15" s="59"/>
      <x:c r="U15" s="59"/>
      <x:c r="V15" s="59"/>
      <x:c r="W15" s="59"/>
      <x:c r="X15" s="59"/>
    </x:row>
    <x:row r="16">
      <x:c r="J16" s="59"/>
      <x:c r="K16" s="59"/>
      <x:c r="L16" s="59"/>
      <x:c r="M16" s="59"/>
      <x:c r="N16" s="59"/>
      <x:c r="O16" s="59"/>
      <x:c r="P16" s="59"/>
      <x:c r="Q16" s="59"/>
      <x:c r="R16" s="59"/>
      <x:c r="S16" s="59"/>
      <x:c r="T16" s="59"/>
      <x:c r="U16" s="59"/>
      <x:c r="V16" s="59"/>
      <x:c r="W16" s="59"/>
      <x:c r="X16" s="59"/>
    </x:row>
    <x:row r="17">
      <x:c r="J17" s="59"/>
      <x:c r="K17" s="59"/>
      <x:c r="L17" s="59"/>
      <x:c r="M17" s="59"/>
      <x:c r="N17" s="59"/>
      <x:c r="O17" s="59"/>
      <x:c r="P17" s="59"/>
      <x:c r="Q17" s="59"/>
      <x:c r="R17" s="59"/>
      <x:c r="S17" s="59"/>
      <x:c r="T17" s="59"/>
      <x:c r="U17" s="59"/>
      <x:c r="V17" s="59"/>
      <x:c r="W17" s="59"/>
      <x:c r="X17" s="59"/>
    </x:row>
    <x:row r="18">
      <x:c r="J18" s="59"/>
      <x:c r="K18" s="59"/>
      <x:c r="L18" s="59"/>
      <x:c r="M18" s="59"/>
      <x:c r="N18" s="59"/>
      <x:c r="O18" s="59"/>
      <x:c r="P18" s="59"/>
      <x:c r="Q18" s="59"/>
      <x:c r="R18" s="59"/>
      <x:c r="S18" s="59"/>
      <x:c r="T18" s="59"/>
      <x:c r="U18" s="59"/>
      <x:c r="V18" s="59"/>
      <x:c r="W18" s="59"/>
      <x:c r="X18" s="59"/>
    </x:row>
    <x:row r="19">
      <x:c r="J19" s="59"/>
      <x:c r="K19" s="59"/>
      <x:c r="L19" s="59"/>
      <x:c r="M19" s="59"/>
      <x:c r="N19" s="59"/>
      <x:c r="O19" s="59"/>
      <x:c r="P19" s="59"/>
      <x:c r="Q19" s="59"/>
      <x:c r="R19" s="59"/>
      <x:c r="S19" s="59"/>
      <x:c r="T19" s="59"/>
      <x:c r="U19" s="59"/>
      <x:c r="V19" s="59"/>
      <x:c r="W19" s="59"/>
      <x:c r="X19" s="59"/>
    </x:row>
    <x:row r="20">
      <x:c r="J20" s="59"/>
      <x:c r="K20" s="59"/>
      <x:c r="L20" s="59"/>
      <x:c r="M20" s="59"/>
      <x:c r="N20" s="59"/>
      <x:c r="O20" s="59"/>
      <x:c r="P20" s="59"/>
      <x:c r="Q20" s="59"/>
      <x:c r="R20" s="59"/>
      <x:c r="S20" s="59"/>
      <x:c r="T20" s="59"/>
      <x:c r="U20" s="59"/>
      <x:c r="V20" s="59"/>
      <x:c r="W20" s="59"/>
      <x:c r="X20" s="59"/>
    </x:row>
    <x:row r="21">
      <x:c r="J21" s="59"/>
      <x:c r="K21" s="59"/>
      <x:c r="L21" s="59"/>
      <x:c r="M21" s="59"/>
      <x:c r="N21" s="59"/>
      <x:c r="O21" s="59"/>
      <x:c r="P21" s="59"/>
      <x:c r="Q21" s="59"/>
      <x:c r="R21" s="59"/>
      <x:c r="S21" s="59"/>
      <x:c r="T21" s="59"/>
      <x:c r="U21" s="59"/>
      <x:c r="V21" s="59"/>
      <x:c r="W21" s="59"/>
      <x:c r="X21" s="59"/>
    </x:row>
    <x:row r="22">
      <x:c r="J22" s="59"/>
      <x:c r="K22" s="59"/>
      <x:c r="L22" s="59"/>
      <x:c r="M22" s="59"/>
      <x:c r="N22" s="59"/>
      <x:c r="O22" s="59"/>
      <x:c r="P22" s="59"/>
      <x:c r="Q22" s="59"/>
      <x:c r="R22" s="59"/>
      <x:c r="S22" s="59"/>
      <x:c r="T22" s="59"/>
      <x:c r="U22" s="59"/>
      <x:c r="V22" s="59"/>
      <x:c r="W22" s="59"/>
      <x:c r="X22" s="59"/>
    </x:row>
    <x:row r="23">
      <x:c r="J23" s="59"/>
      <x:c r="K23" s="59"/>
      <x:c r="L23" s="59"/>
      <x:c r="M23" s="59"/>
      <x:c r="N23" s="59"/>
      <x:c r="O23" s="59"/>
      <x:c r="P23" s="59"/>
      <x:c r="Q23" s="59"/>
      <x:c r="R23" s="59"/>
      <x:c r="S23" s="59"/>
      <x:c r="T23" s="59"/>
      <x:c r="U23" s="59"/>
      <x:c r="V23" s="59"/>
      <x:c r="W23" s="59"/>
      <x:c r="X23" s="59"/>
    </x:row>
    <x:row r="24">
      <x:c r="J24" s="59"/>
      <x:c r="K24" s="59"/>
      <x:c r="L24" s="59"/>
      <x:c r="M24" s="59"/>
      <x:c r="N24" s="59"/>
      <x:c r="O24" s="59"/>
      <x:c r="P24" s="59"/>
      <x:c r="Q24" s="59"/>
      <x:c r="R24" s="59"/>
      <x:c r="S24" s="59"/>
      <x:c r="T24" s="59"/>
      <x:c r="U24" s="59"/>
      <x:c r="V24" s="59"/>
      <x:c r="W24" s="59"/>
      <x:c r="X24" s="59"/>
    </x:row>
    <x:row r="25">
      <x:c r="J25" s="59"/>
      <x:c r="K25" s="59"/>
      <x:c r="L25" s="59"/>
      <x:c r="M25" s="59"/>
      <x:c r="N25" s="59"/>
      <x:c r="O25" s="59"/>
      <x:c r="P25" s="59"/>
      <x:c r="Q25" s="59"/>
      <x:c r="R25" s="59"/>
      <x:c r="S25" s="59"/>
      <x:c r="T25" s="59"/>
      <x:c r="U25" s="59"/>
      <x:c r="V25" s="59"/>
      <x:c r="W25" s="59"/>
      <x:c r="X25" s="59"/>
    </x:row>
    <x:row r="26">
      <x:c r="J26" s="59"/>
      <x:c r="K26" s="59"/>
      <x:c r="L26" s="59"/>
      <x:c r="M26" s="59"/>
      <x:c r="N26" s="59"/>
      <x:c r="O26" s="59"/>
      <x:c r="P26" s="59"/>
      <x:c r="Q26" s="59"/>
      <x:c r="R26" s="59"/>
      <x:c r="S26" s="59"/>
      <x:c r="T26" s="59"/>
      <x:c r="U26" s="59"/>
      <x:c r="V26" s="59"/>
      <x:c r="W26" s="59"/>
      <x:c r="X26" s="59"/>
    </x:row>
    <x:row r="27">
      <x:c r="J27" s="59"/>
      <x:c r="K27" s="59"/>
      <x:c r="L27" s="59"/>
      <x:c r="M27" s="59"/>
      <x:c r="N27" s="59"/>
      <x:c r="O27" s="59"/>
      <x:c r="P27" s="59"/>
      <x:c r="Q27" s="59"/>
      <x:c r="R27" s="59"/>
      <x:c r="S27" s="59"/>
      <x:c r="T27" s="59"/>
      <x:c r="U27" s="59"/>
      <x:c r="V27" s="59"/>
      <x:c r="W27" s="59"/>
      <x:c r="X27" s="59"/>
    </x:row>
    <x:row r="28">
      <x:c r="J28" s="59"/>
      <x:c r="K28" s="59"/>
      <x:c r="L28" s="59"/>
      <x:c r="M28" s="59"/>
      <x:c r="N28" s="59"/>
      <x:c r="O28" s="59"/>
      <x:c r="P28" s="59"/>
      <x:c r="Q28" s="59"/>
      <x:c r="R28" s="59"/>
      <x:c r="S28" s="59"/>
      <x:c r="T28" s="59"/>
      <x:c r="U28" s="59"/>
      <x:c r="V28" s="59"/>
      <x:c r="W28" s="59"/>
      <x:c r="X28" s="59"/>
    </x:row>
    <x:row r="29">
      <x:c r="J29" s="59"/>
      <x:c r="K29" s="59"/>
      <x:c r="L29" s="59"/>
      <x:c r="M29" s="59"/>
      <x:c r="N29" s="59"/>
      <x:c r="O29" s="59"/>
      <x:c r="P29" s="59"/>
      <x:c r="Q29" s="59"/>
      <x:c r="R29" s="59"/>
      <x:c r="S29" s="59"/>
      <x:c r="T29" s="59"/>
      <x:c r="U29" s="59"/>
      <x:c r="V29" s="59"/>
      <x:c r="W29" s="59"/>
      <x:c r="X29" s="59"/>
    </x:row>
    <x:row r="30">
      <x:c r="J30" s="59"/>
      <x:c r="K30" s="59"/>
      <x:c r="L30" s="59"/>
      <x:c r="M30" s="59"/>
      <x:c r="N30" s="59"/>
      <x:c r="O30" s="59"/>
      <x:c r="P30" s="59"/>
      <x:c r="Q30" s="59"/>
      <x:c r="R30" s="59"/>
      <x:c r="S30" s="59"/>
      <x:c r="T30" s="59"/>
      <x:c r="U30" s="59"/>
      <x:c r="V30" s="59"/>
      <x:c r="W30" s="59"/>
      <x:c r="X30" s="59"/>
    </x:row>
    <x:row r="31">
      <x:c r="J31" s="59"/>
      <x:c r="K31" s="59"/>
      <x:c r="L31" s="59"/>
      <x:c r="M31" s="59"/>
      <x:c r="N31" s="59"/>
      <x:c r="O31" s="59"/>
      <x:c r="P31" s="59"/>
      <x:c r="Q31" s="59"/>
      <x:c r="R31" s="59"/>
      <x:c r="S31" s="59"/>
      <x:c r="T31" s="59"/>
      <x:c r="U31" s="59"/>
      <x:c r="V31" s="59"/>
      <x:c r="W31" s="59"/>
      <x:c r="X31" s="59"/>
    </x:row>
    <x:row r="32">
      <x:c r="A32" s="59"/>
      <x:c r="B32" s="59"/>
      <x:c r="C32" s="59"/>
      <x:c r="D32" s="59"/>
      <x:c r="E32" s="59"/>
      <x:c r="F32" s="59"/>
      <x:c r="G32" s="59"/>
      <x:c r="H32" s="59"/>
      <x:c r="I32" s="59"/>
      <x:c r="J32" s="59"/>
      <x:c r="K32" s="59"/>
      <x:c r="L32" s="59"/>
      <x:c r="M32" s="59"/>
      <x:c r="N32" s="59"/>
      <x:c r="O32" s="59"/>
      <x:c r="P32" s="59"/>
      <x:c r="Q32" s="59"/>
      <x:c r="R32" s="59"/>
      <x:c r="S32" s="59"/>
      <x:c r="T32" s="59"/>
      <x:c r="U32" s="59"/>
      <x:c r="V32" s="59"/>
      <x:c r="W32" s="59"/>
      <x:c r="X32" s="59"/>
    </x:row>
    <x:row r="33">
      <x:c r="A33" s="59"/>
      <x:c r="B33" s="59"/>
      <x:c r="C33" s="59"/>
      <x:c r="D33" s="59"/>
      <x:c r="E33" s="59"/>
      <x:c r="F33" s="59"/>
      <x:c r="G33" s="59"/>
      <x:c r="H33" s="59"/>
      <x:c r="I33" s="59"/>
      <x:c r="J33" s="59"/>
      <x:c r="K33" s="59"/>
      <x:c r="L33" s="59"/>
      <x:c r="M33" s="59"/>
      <x:c r="N33" s="59"/>
      <x:c r="O33" s="59"/>
      <x:c r="P33" s="59"/>
      <x:c r="Q33" s="59"/>
      <x:c r="R33" s="59"/>
      <x:c r="S33" s="59"/>
      <x:c r="T33" s="59"/>
      <x:c r="U33" s="59"/>
      <x:c r="V33" s="59"/>
      <x:c r="W33" s="59"/>
      <x:c r="X33" s="59"/>
    </x:row>
    <x:row r="34">
      <x:c r="A34" s="59"/>
      <x:c r="B34" s="59"/>
      <x:c r="C34" s="59"/>
      <x:c r="D34" s="59"/>
      <x:c r="E34" s="59"/>
      <x:c r="F34" s="59"/>
      <x:c r="G34" s="59"/>
      <x:c r="H34" s="59"/>
      <x:c r="I34" s="59"/>
      <x:c r="J34" s="59"/>
      <x:c r="K34" s="59"/>
      <x:c r="L34" s="59"/>
      <x:c r="M34" s="59"/>
      <x:c r="N34" s="59"/>
      <x:c r="O34" s="59"/>
      <x:c r="P34" s="59"/>
      <x:c r="Q34" s="59"/>
      <x:c r="R34" s="59"/>
      <x:c r="S34" s="59"/>
      <x:c r="T34" s="59"/>
      <x:c r="U34" s="59"/>
      <x:c r="V34" s="59"/>
      <x:c r="W34" s="59"/>
      <x:c r="X34" s="59"/>
    </x:row>
    <x:row r="35">
      <x:c r="A35" s="59"/>
      <x:c r="B35" s="59"/>
      <x:c r="C35" s="59"/>
      <x:c r="D35" s="59"/>
      <x:c r="E35" s="59"/>
      <x:c r="F35" s="59"/>
      <x:c r="G35" s="59"/>
      <x:c r="H35" s="59"/>
      <x:c r="I35" s="59"/>
      <x:c r="J35" s="59"/>
      <x:c r="K35" s="59"/>
      <x:c r="L35" s="59"/>
      <x:c r="M35" s="59"/>
      <x:c r="N35" s="59"/>
      <x:c r="O35" s="59"/>
      <x:c r="P35" s="59"/>
      <x:c r="Q35" s="59"/>
      <x:c r="R35" s="59"/>
      <x:c r="S35" s="59"/>
      <x:c r="T35" s="59"/>
      <x:c r="U35" s="59"/>
      <x:c r="V35" s="59"/>
      <x:c r="W35" s="59"/>
      <x:c r="X35" s="59"/>
    </x:row>
    <x:row r="36">
      <x:c r="A36" s="59"/>
      <x:c r="B36" s="59"/>
      <x:c r="C36" s="59"/>
      <x:c r="D36" s="59"/>
      <x:c r="E36" s="59"/>
      <x:c r="F36" s="59"/>
      <x:c r="G36" s="59"/>
      <x:c r="H36" s="59"/>
      <x:c r="I36" s="59"/>
      <x:c r="J36" s="59"/>
      <x:c r="K36" s="59"/>
      <x:c r="L36" s="59"/>
      <x:c r="M36" s="59"/>
      <x:c r="N36" s="59"/>
      <x:c r="O36" s="59"/>
      <x:c r="P36" s="59"/>
      <x:c r="Q36" s="59"/>
      <x:c r="R36" s="59"/>
      <x:c r="S36" s="59"/>
      <x:c r="T36" s="59"/>
      <x:c r="U36" s="59"/>
      <x:c r="V36" s="59"/>
      <x:c r="W36" s="59"/>
      <x:c r="X36" s="59"/>
    </x:row>
    <x:row r="37">
      <x:c r="A37" s="59"/>
      <x:c r="B37" s="59"/>
      <x:c r="C37" s="59"/>
      <x:c r="D37" s="59"/>
      <x:c r="E37" s="59"/>
      <x:c r="F37" s="59"/>
      <x:c r="G37" s="59"/>
      <x:c r="H37" s="59"/>
      <x:c r="I37" s="59"/>
      <x:c r="J37" s="59"/>
      <x:c r="K37" s="59"/>
      <x:c r="L37" s="59"/>
      <x:c r="M37" s="59"/>
      <x:c r="N37" s="59"/>
      <x:c r="O37" s="59"/>
      <x:c r="P37" s="59"/>
      <x:c r="Q37" s="59"/>
      <x:c r="R37" s="59"/>
      <x:c r="S37" s="59"/>
      <x:c r="T37" s="59"/>
      <x:c r="U37" s="59"/>
      <x:c r="V37" s="59"/>
      <x:c r="W37" s="59"/>
      <x:c r="X37" s="59"/>
    </x:row>
    <x:row r="38">
      <x:c r="A38" s="59"/>
      <x:c r="B38" s="59"/>
      <x:c r="C38" s="59"/>
      <x:c r="D38" s="59"/>
      <x:c r="E38" s="59"/>
      <x:c r="F38" s="59"/>
      <x:c r="G38" s="59"/>
      <x:c r="H38" s="59"/>
      <x:c r="I38" s="59"/>
      <x:c r="J38" s="59"/>
      <x:c r="K38" s="59"/>
      <x:c r="L38" s="59"/>
      <x:c r="M38" s="59"/>
      <x:c r="N38" s="59"/>
      <x:c r="O38" s="59"/>
      <x:c r="P38" s="59"/>
      <x:c r="Q38" s="59"/>
      <x:c r="R38" s="59"/>
      <x:c r="S38" s="59"/>
      <x:c r="T38" s="59"/>
      <x:c r="U38" s="59"/>
      <x:c r="V38" s="59"/>
      <x:c r="W38" s="59"/>
      <x:c r="X38" s="59"/>
    </x:row>
    <x:row r="39">
      <x:c r="A39" s="59"/>
      <x:c r="B39" s="59"/>
      <x:c r="C39" s="59"/>
      <x:c r="D39" s="59"/>
      <x:c r="E39" s="59"/>
      <x:c r="F39" s="59"/>
      <x:c r="G39" s="59"/>
      <x:c r="H39" s="59"/>
      <x:c r="I39" s="59"/>
      <x:c r="J39" s="59"/>
      <x:c r="K39" s="59"/>
      <x:c r="L39" s="59"/>
      <x:c r="M39" s="59"/>
      <x:c r="N39" s="59"/>
      <x:c r="O39" s="59"/>
      <x:c r="P39" s="59"/>
      <x:c r="Q39" s="59"/>
      <x:c r="R39" s="59"/>
      <x:c r="S39" s="59"/>
      <x:c r="T39" s="59"/>
      <x:c r="U39" s="59"/>
      <x:c r="V39" s="59"/>
      <x:c r="W39" s="59"/>
      <x:c r="X39" s="59"/>
    </x:row>
    <x:row r="40">
      <x:c r="A40" s="59"/>
      <x:c r="B40" s="59"/>
      <x:c r="C40" s="59"/>
      <x:c r="D40" s="59"/>
      <x:c r="E40" s="59"/>
      <x:c r="F40" s="59"/>
      <x:c r="G40" s="59"/>
      <x:c r="H40" s="59"/>
      <x:c r="I40" s="59"/>
      <x:c r="J40" s="59"/>
      <x:c r="K40" s="59"/>
      <x:c r="L40" s="59"/>
      <x:c r="M40" s="59"/>
      <x:c r="N40" s="59"/>
      <x:c r="O40" s="59"/>
      <x:c r="P40" s="59"/>
      <x:c r="Q40" s="59"/>
      <x:c r="R40" s="59"/>
      <x:c r="S40" s="59"/>
      <x:c r="T40" s="59"/>
      <x:c r="U40" s="59"/>
      <x:c r="V40" s="59"/>
      <x:c r="W40" s="59"/>
      <x:c r="X40" s="59"/>
    </x:row>
    <x:row r="41">
      <x:c r="A41" s="59"/>
      <x:c r="B41" s="59"/>
      <x:c r="C41" s="59"/>
      <x:c r="D41" s="59"/>
      <x:c r="E41" s="59"/>
      <x:c r="F41" s="59"/>
      <x:c r="G41" s="59"/>
      <x:c r="H41" s="59"/>
      <x:c r="I41" s="59"/>
      <x:c r="J41" s="59"/>
      <x:c r="K41" s="59"/>
      <x:c r="L41" s="59"/>
      <x:c r="M41" s="59"/>
      <x:c r="N41" s="59"/>
      <x:c r="O41" s="59"/>
      <x:c r="P41" s="59"/>
      <x:c r="Q41" s="59"/>
      <x:c r="R41" s="59"/>
      <x:c r="S41" s="59"/>
      <x:c r="T41" s="59"/>
      <x:c r="U41" s="59"/>
      <x:c r="V41" s="59"/>
      <x:c r="W41" s="59"/>
      <x:c r="X41" s="59"/>
    </x:row>
    <x:row r="42">
      <x:c r="A42" s="59"/>
      <x:c r="B42" s="59"/>
      <x:c r="C42" s="59"/>
      <x:c r="D42" s="59"/>
      <x:c r="E42" s="59"/>
      <x:c r="F42" s="59"/>
      <x:c r="G42" s="59"/>
      <x:c r="H42" s="59"/>
      <x:c r="I42" s="59"/>
      <x:c r="J42" s="59"/>
      <x:c r="K42" s="59"/>
      <x:c r="L42" s="59"/>
      <x:c r="M42" s="59"/>
      <x:c r="N42" s="59"/>
      <x:c r="O42" s="59"/>
      <x:c r="P42" s="59"/>
      <x:c r="Q42" s="59"/>
      <x:c r="R42" s="59"/>
      <x:c r="S42" s="59"/>
      <x:c r="T42" s="59"/>
      <x:c r="U42" s="59"/>
      <x:c r="V42" s="59"/>
      <x:c r="W42" s="59"/>
      <x:c r="X42" s="59"/>
    </x:row>
    <x:row r="43">
      <x:c r="A43" s="59"/>
      <x:c r="B43" s="59"/>
      <x:c r="C43" s="59"/>
      <x:c r="D43" s="59"/>
      <x:c r="E43" s="59"/>
      <x:c r="F43" s="59"/>
      <x:c r="G43" s="59"/>
      <x:c r="H43" s="59"/>
      <x:c r="I43" s="59"/>
      <x:c r="J43" s="59"/>
      <x:c r="K43" s="59"/>
      <x:c r="L43" s="59"/>
      <x:c r="M43" s="59"/>
      <x:c r="N43" s="59"/>
      <x:c r="O43" s="59"/>
      <x:c r="P43" s="59"/>
      <x:c r="Q43" s="59"/>
      <x:c r="R43" s="59"/>
      <x:c r="S43" s="59"/>
      <x:c r="T43" s="59"/>
      <x:c r="U43" s="59"/>
      <x:c r="V43" s="59"/>
      <x:c r="W43" s="59"/>
      <x:c r="X43" s="59"/>
    </x:row>
    <x:row r="44">
      <x:c r="A44" s="59"/>
      <x:c r="B44" s="59"/>
      <x:c r="C44" s="59"/>
      <x:c r="D44" s="59"/>
      <x:c r="E44" s="59"/>
      <x:c r="F44" s="59"/>
      <x:c r="G44" s="59"/>
      <x:c r="H44" s="59"/>
      <x:c r="I44" s="59"/>
      <x:c r="J44" s="59"/>
      <x:c r="K44" s="59"/>
      <x:c r="L44" s="59"/>
      <x:c r="M44" s="59"/>
      <x:c r="N44" s="59"/>
      <x:c r="O44" s="59"/>
      <x:c r="P44" s="59"/>
      <x:c r="Q44" s="59"/>
      <x:c r="R44" s="59"/>
      <x:c r="S44" s="59"/>
      <x:c r="T44" s="59"/>
      <x:c r="U44" s="59"/>
      <x:c r="V44" s="59"/>
      <x:c r="W44" s="59"/>
      <x:c r="X44" s="59"/>
    </x:row>
    <x:row r="45">
      <x:c r="A45" s="59"/>
      <x:c r="B45" s="59"/>
      <x:c r="C45" s="59"/>
      <x:c r="D45" s="59"/>
      <x:c r="E45" s="59"/>
      <x:c r="F45" s="59"/>
      <x:c r="G45" s="59"/>
      <x:c r="H45" s="59"/>
      <x:c r="I45" s="59"/>
      <x:c r="J45" s="59"/>
      <x:c r="K45" s="59"/>
      <x:c r="L45" s="59"/>
      <x:c r="M45" s="59"/>
      <x:c r="N45" s="59"/>
      <x:c r="O45" s="59"/>
      <x:c r="P45" s="59"/>
      <x:c r="Q45" s="59"/>
      <x:c r="R45" s="59"/>
      <x:c r="S45" s="59"/>
      <x:c r="T45" s="59"/>
      <x:c r="U45" s="59"/>
      <x:c r="V45" s="59"/>
      <x:c r="W45" s="59"/>
      <x:c r="X45" s="59"/>
    </x:row>
    <x:row r="46">
      <x:c r="A46" s="59"/>
      <x:c r="B46" s="59"/>
      <x:c r="C46" s="59"/>
      <x:c r="D46" s="59"/>
      <x:c r="E46" s="59"/>
      <x:c r="F46" s="59"/>
      <x:c r="G46" s="59"/>
      <x:c r="H46" s="59"/>
      <x:c r="I46" s="59"/>
      <x:c r="J46" s="59"/>
      <x:c r="K46" s="59"/>
      <x:c r="L46" s="59"/>
      <x:c r="M46" s="59"/>
      <x:c r="N46" s="59"/>
      <x:c r="O46" s="59"/>
      <x:c r="P46" s="59"/>
      <x:c r="Q46" s="59"/>
      <x:c r="R46" s="59"/>
      <x:c r="S46" s="59"/>
      <x:c r="T46" s="59"/>
      <x:c r="U46" s="59"/>
      <x:c r="V46" s="59"/>
      <x:c r="W46" s="59"/>
      <x:c r="X46" s="59"/>
    </x:row>
    <x:row r="47">
      <x:c r="A47" s="59"/>
      <x:c r="B47" s="59"/>
      <x:c r="C47" s="59"/>
      <x:c r="D47" s="59"/>
      <x:c r="E47" s="59"/>
      <x:c r="F47" s="59"/>
      <x:c r="G47" s="59"/>
      <x:c r="H47" s="59"/>
      <x:c r="I47" s="59"/>
      <x:c r="J47" s="59"/>
      <x:c r="K47" s="59"/>
      <x:c r="L47" s="59"/>
      <x:c r="M47" s="59"/>
      <x:c r="N47" s="59"/>
      <x:c r="O47" s="59"/>
      <x:c r="P47" s="59"/>
      <x:c r="Q47" s="59"/>
      <x:c r="R47" s="59"/>
      <x:c r="S47" s="59"/>
      <x:c r="T47" s="59"/>
      <x:c r="U47" s="59"/>
      <x:c r="V47" s="59"/>
      <x:c r="W47" s="59"/>
      <x:c r="X47" s="59"/>
    </x:row>
    <x:row r="48">
      <x:c r="A48" s="59"/>
      <x:c r="B48" s="59"/>
      <x:c r="C48" s="59"/>
      <x:c r="D48" s="59"/>
      <x:c r="E48" s="59"/>
      <x:c r="F48" s="59"/>
      <x:c r="G48" s="59"/>
      <x:c r="H48" s="59"/>
      <x:c r="I48" s="59"/>
      <x:c r="J48" s="59"/>
      <x:c r="K48" s="59"/>
      <x:c r="L48" s="59"/>
      <x:c r="M48" s="59"/>
      <x:c r="N48" s="59"/>
      <x:c r="O48" s="59"/>
      <x:c r="P48" s="59"/>
      <x:c r="Q48" s="59"/>
      <x:c r="R48" s="59"/>
      <x:c r="S48" s="59"/>
      <x:c r="T48" s="59"/>
      <x:c r="U48" s="59"/>
      <x:c r="V48" s="59"/>
      <x:c r="W48" s="59"/>
      <x:c r="X48" s="59"/>
    </x:row>
    <x:row r="49">
      <x:c r="A49" s="59"/>
      <x:c r="B49" s="59"/>
      <x:c r="C49" s="59"/>
      <x:c r="D49" s="59"/>
      <x:c r="E49" s="59"/>
      <x:c r="F49" s="59"/>
      <x:c r="G49" s="59"/>
      <x:c r="H49" s="59"/>
      <x:c r="I49" s="59"/>
      <x:c r="J49" s="59"/>
      <x:c r="K49" s="59"/>
      <x:c r="L49" s="59"/>
      <x:c r="M49" s="59"/>
      <x:c r="N49" s="59"/>
      <x:c r="O49" s="59"/>
      <x:c r="P49" s="59"/>
      <x:c r="Q49" s="59"/>
      <x:c r="R49" s="59"/>
      <x:c r="S49" s="59"/>
      <x:c r="T49" s="59"/>
      <x:c r="U49" s="59"/>
      <x:c r="V49" s="59"/>
      <x:c r="W49" s="59"/>
      <x:c r="X49" s="59"/>
    </x:row>
    <x:row r="50">
      <x:c r="A50" s="59"/>
      <x:c r="B50" s="59"/>
      <x:c r="C50" s="59"/>
      <x:c r="D50" s="59"/>
      <x:c r="E50" s="59"/>
      <x:c r="F50" s="59"/>
      <x:c r="G50" s="59"/>
      <x:c r="H50" s="59"/>
      <x:c r="I50" s="59"/>
      <x:c r="J50" s="59"/>
      <x:c r="K50" s="59"/>
      <x:c r="L50" s="59"/>
      <x:c r="M50" s="59"/>
      <x:c r="N50" s="59"/>
      <x:c r="O50" s="59"/>
      <x:c r="P50" s="59"/>
      <x:c r="Q50" s="59"/>
      <x:c r="R50" s="59"/>
      <x:c r="S50" s="59"/>
      <x:c r="T50" s="59"/>
      <x:c r="U50" s="59"/>
      <x:c r="V50" s="59"/>
      <x:c r="W50" s="59"/>
      <x:c r="X50" s="59"/>
    </x:row>
    <x:row r="51">
      <x:c r="A51" s="59"/>
      <x:c r="B51" s="59"/>
      <x:c r="C51" s="59"/>
      <x:c r="D51" s="59"/>
      <x:c r="E51" s="59"/>
      <x:c r="F51" s="59"/>
      <x:c r="G51" s="59"/>
      <x:c r="H51" s="59"/>
      <x:c r="I51" s="59"/>
      <x:c r="J51" s="59"/>
      <x:c r="K51" s="59"/>
      <x:c r="L51" s="59"/>
      <x:c r="M51" s="59"/>
      <x:c r="N51" s="59"/>
      <x:c r="O51" s="59"/>
      <x:c r="P51" s="59"/>
      <x:c r="Q51" s="59"/>
      <x:c r="R51" s="59"/>
      <x:c r="S51" s="59"/>
      <x:c r="T51" s="59"/>
      <x:c r="U51" s="59"/>
      <x:c r="V51" s="59"/>
      <x:c r="W51" s="59"/>
      <x:c r="X51" s="59"/>
    </x:row>
    <x:row r="52">
      <x:c r="A52" s="59"/>
      <x:c r="B52" s="59"/>
      <x:c r="C52" s="59"/>
      <x:c r="D52" s="59"/>
      <x:c r="E52" s="59"/>
      <x:c r="F52" s="59"/>
      <x:c r="G52" s="59"/>
      <x:c r="H52" s="59"/>
      <x:c r="I52" s="59"/>
      <x:c r="J52" s="59"/>
      <x:c r="K52" s="59"/>
      <x:c r="L52" s="59"/>
      <x:c r="M52" s="59"/>
      <x:c r="N52" s="59"/>
      <x:c r="O52" s="59"/>
      <x:c r="P52" s="59"/>
      <x:c r="Q52" s="59"/>
      <x:c r="R52" s="59"/>
      <x:c r="S52" s="59"/>
      <x:c r="T52" s="59"/>
      <x:c r="U52" s="59"/>
      <x:c r="V52" s="59"/>
      <x:c r="W52" s="59"/>
      <x:c r="X52" s="59"/>
    </x:row>
    <x:row r="53">
      <x:c r="A53" s="59"/>
      <x:c r="B53" s="59"/>
      <x:c r="C53" s="59"/>
      <x:c r="D53" s="59"/>
      <x:c r="E53" s="59"/>
      <x:c r="F53" s="59"/>
      <x:c r="G53" s="59"/>
      <x:c r="H53" s="59"/>
      <x:c r="I53" s="59"/>
      <x:c r="J53" s="59"/>
      <x:c r="K53" s="59"/>
      <x:c r="L53" s="59"/>
      <x:c r="M53" s="59"/>
      <x:c r="N53" s="59"/>
      <x:c r="O53" s="59"/>
      <x:c r="P53" s="59"/>
      <x:c r="Q53" s="59"/>
      <x:c r="R53" s="59"/>
      <x:c r="S53" s="59"/>
      <x:c r="T53" s="59"/>
      <x:c r="U53" s="59"/>
      <x:c r="V53" s="59"/>
      <x:c r="W53" s="59"/>
      <x:c r="X53" s="59"/>
    </x:row>
    <x:row r="54">
      <x:c r="A54" s="59"/>
      <x:c r="B54" s="59"/>
      <x:c r="C54" s="59"/>
      <x:c r="D54" s="59"/>
      <x:c r="E54" s="59"/>
      <x:c r="F54" s="59"/>
      <x:c r="G54" s="59"/>
      <x:c r="H54" s="59"/>
      <x:c r="I54" s="59"/>
      <x:c r="J54" s="59"/>
      <x:c r="K54" s="59"/>
      <x:c r="L54" s="59"/>
      <x:c r="M54" s="59"/>
      <x:c r="N54" s="59"/>
      <x:c r="O54" s="59"/>
      <x:c r="P54" s="59"/>
      <x:c r="Q54" s="59"/>
      <x:c r="R54" s="59"/>
    </x:row>
  </x:sheetData>
  <x:mergeCells>
    <x:mergeCell ref="A1:I1"/>
    <x:mergeCell ref="A2:I2"/>
    <x:mergeCell ref="A3:I3"/>
    <x:mergeCell ref="A14:I14"/>
  </x:mergeCells>
  <x:conditionalFormatting sqref="A6:D12">
    <x:cfRule type="expression" dxfId="11" priority="1">
      <x:formula>MOD(ROW()-6,2)=1</x:formula>
    </x:cfRule>
  </x:conditionalFormatting>
  <x:pageMargins left="0.7" right="0.7" top="0.75" bottom="0.75" header="0.3" footer="0.3"/>
  <x:drawing xmlns:r="http://schemas.openxmlformats.org/officeDocument/2006/relationships" r:id="R9e43d0c96c3342d7"/>
</x:worksheet>
</file>

<file path=xl/worksheets/sheet5.xml><?xml version="1.0" encoding="utf-8"?>
<x:worksheet xmlns:x="http://schemas.openxmlformats.org/spreadsheetml/2006/main">
  <x:sheetFormatPr defaultRowHeight="14.5"/>
  <x:cols>
    <x:col min="1" max="1" width="25.453125" customWidth="1"/>
    <x:col min="2" max="3" width="13.08984375" customWidth="1"/>
    <x:col min="4" max="4" width="13.6328125" customWidth="1"/>
    <x:col min="5" max="5" width="17.81640625" customWidth="1"/>
    <x:col min="6" max="9" width="13.08984375" customWidth="1"/>
  </x:cols>
  <x:sheetData>
    <x:row r="1" ht="32" customHeight="1">
      <x:c r="A1" s="4" t="s">
        <x:v>67</x:v>
      </x:c>
      <x:c r="B1" s="4"/>
      <x:c r="C1" s="4"/>
      <x:c r="D1" s="4"/>
      <x:c r="E1" s="4"/>
      <x:c r="F1" s="4"/>
      <x:c r="G1" s="4"/>
      <x:c r="H1" s="4"/>
      <x:c r="I1" s="4"/>
      <x:c r="J1" s="59"/>
      <x:c r="K1" s="59"/>
      <x:c r="L1" s="59"/>
      <x:c r="M1" s="59"/>
      <x:c r="N1" s="59"/>
      <x:c r="O1" s="59"/>
      <x:c r="P1" s="59"/>
      <x:c r="Q1" s="59"/>
      <x:c r="R1" s="59"/>
      <x:c r="S1" s="59"/>
      <x:c r="T1" s="59"/>
      <x:c r="U1" s="59"/>
      <x:c r="V1" s="59"/>
      <x:c r="W1" s="59"/>
    </x:row>
    <x:row r="2" ht="20" customHeight="1">
      <x:c r="A2" s="5" t="s">
        <x:v>68</x:v>
      </x:c>
      <x:c r="B2" s="5"/>
      <x:c r="C2" s="5"/>
      <x:c r="D2" s="5"/>
      <x:c r="E2" s="5"/>
      <x:c r="F2" s="5"/>
      <x:c r="G2" s="5"/>
      <x:c r="H2" s="5"/>
      <x:c r="I2" s="5"/>
      <x:c r="J2" s="59"/>
      <x:c r="K2" s="59"/>
      <x:c r="L2" s="59"/>
      <x:c r="M2" s="59"/>
      <x:c r="N2" s="59"/>
      <x:c r="O2" s="59"/>
      <x:c r="P2" s="59"/>
      <x:c r="Q2" s="59"/>
      <x:c r="R2" s="59"/>
      <x:c r="S2" s="59"/>
      <x:c r="T2" s="59"/>
      <x:c r="U2" s="59"/>
      <x:c r="V2" s="59"/>
      <x:c r="W2" s="59"/>
    </x:row>
    <x:row r="3" ht="45" customHeight="1">
      <x:c r="A3" s="35" t="s">
        <x:v>69</x:v>
      </x:c>
      <x:c r="B3" s="35"/>
      <x:c r="C3" s="35"/>
      <x:c r="D3" s="35"/>
      <x:c r="E3" s="35"/>
      <x:c r="F3" s="35"/>
      <x:c r="G3" s="35"/>
      <x:c r="H3" s="35"/>
      <x:c r="I3" s="35"/>
      <x:c r="J3" s="59"/>
      <x:c r="K3" s="59"/>
      <x:c r="L3" s="59"/>
      <x:c r="M3" s="59"/>
      <x:c r="N3" s="59"/>
      <x:c r="O3" s="59"/>
      <x:c r="P3" s="59"/>
      <x:c r="Q3" s="59"/>
      <x:c r="R3" s="59"/>
      <x:c r="S3" s="59"/>
      <x:c r="T3" s="59"/>
      <x:c r="U3" s="59"/>
      <x:c r="V3" s="59"/>
      <x:c r="W3" s="59"/>
    </x:row>
    <x:row r="4">
      <x:c r="A4" s="3"/>
      <x:c r="B4" s="3"/>
      <x:c r="C4" s="3"/>
      <x:c r="D4" s="3"/>
      <x:c r="E4" s="3"/>
      <x:c r="F4" s="3"/>
      <x:c r="G4" s="3"/>
      <x:c r="H4" s="3"/>
      <x:c r="I4" s="3"/>
      <x:c r="J4" s="59"/>
      <x:c r="K4" s="59"/>
      <x:c r="L4" s="59"/>
      <x:c r="M4" s="59"/>
      <x:c r="N4" s="59"/>
      <x:c r="O4" s="59"/>
      <x:c r="P4" s="59"/>
      <x:c r="Q4" s="59"/>
      <x:c r="R4" s="59"/>
      <x:c r="S4" s="59"/>
      <x:c r="T4" s="59"/>
      <x:c r="U4" s="59"/>
      <x:c r="V4" s="59"/>
      <x:c r="W4" s="59"/>
    </x:row>
    <x:row r="5" ht="15">
      <x:c r="A5" s="42" t="s">
        <x:v>41</x:v>
      </x:c>
      <x:c r="B5" s="43" t="s">
        <x:v>54</x:v>
      </x:c>
      <x:c r="C5" s="43" t="s">
        <x:v>60</x:v>
      </x:c>
      <x:c r="D5" s="43" t="s">
        <x:v>40</x:v>
      </x:c>
      <x:c r="E5" s="44" t="s">
        <x:v>70</x:v>
      </x:c>
      <x:c r="F5" s="3"/>
      <x:c r="G5" s="3"/>
      <x:c r="H5" s="3"/>
      <x:c r="I5" s="3"/>
      <x:c r="J5" s="59"/>
      <x:c r="K5" s="59"/>
      <x:c r="L5" s="59"/>
      <x:c r="M5" s="59"/>
      <x:c r="N5" s="59"/>
      <x:c r="O5" s="59"/>
      <x:c r="P5" s="59"/>
      <x:c r="Q5" s="59"/>
      <x:c r="R5" s="59"/>
      <x:c r="S5" s="59"/>
      <x:c r="T5" s="59"/>
      <x:c r="U5" s="59"/>
      <x:c r="V5" s="59"/>
      <x:c r="W5" s="59"/>
    </x:row>
    <x:row r="6">
      <x:c r="A6" s="36" t="s">
        <x:v>42</x:v>
      </x:c>
      <x:c r="B6" s="16" t="n">
        <x:f>COUNTIF(WorkforceData[Assignment Timing],A6)</x:f>
        <x:v>708</x:v>
      </x:c>
      <x:c r="C6" s="21" t="n">
        <x:f>B6/ROWS(WorkforceData[Employee Number])</x:f>
        <x:v>0.6742857142857143</x:v>
      </x:c>
      <x:c r="D6" s="21" t="n">
        <x:f>IFERROR(SUMIFS(WorkforceData[Success Flag],WorkforceData[Assignment Timing],A6)/B6,0)</x:f>
        <x:v>0.6977401129943502</x:v>
      </x:c>
      <x:c r="E6" s="37" t="n">
        <x:f>IFERROR(SUMIFS(WorkforceData[Total Days Worked],WorkforceData[Assignment Timing],A6)/COUNTIFS(WorkforceData[Assignment Timing],A6,WorkforceData[Total Days Worked],"&gt;=0"),0)</x:f>
        <x:v>348.566384180791</x:v>
      </x:c>
      <x:c r="F6" s="3"/>
      <x:c r="G6" s="3"/>
      <x:c r="H6" s="3"/>
      <x:c r="I6" s="3"/>
      <x:c r="J6" s="59"/>
      <x:c r="K6" s="59"/>
      <x:c r="L6" s="59"/>
      <x:c r="M6" s="59"/>
      <x:c r="N6" s="59"/>
      <x:c r="O6" s="59"/>
      <x:c r="P6" s="59"/>
      <x:c r="Q6" s="59"/>
      <x:c r="R6" s="59"/>
      <x:c r="S6" s="59"/>
      <x:c r="T6" s="59"/>
      <x:c r="U6" s="59"/>
      <x:c r="V6" s="59"/>
      <x:c r="W6" s="59"/>
    </x:row>
    <x:row r="7">
      <x:c r="A7" s="38" t="s">
        <x:v>43</x:v>
      </x:c>
      <x:c r="B7" s="18" t="n">
        <x:f>COUNTIF(WorkforceData[Assignment Timing],A7)</x:f>
        <x:v>16</x:v>
      </x:c>
      <x:c r="C7" s="22" t="n">
        <x:f>B7/ROWS(WorkforceData[Employee Number])</x:f>
        <x:v>0.015238095238095238</x:v>
      </x:c>
      <x:c r="D7" s="22" t="n">
        <x:f>IFERROR(SUMIFS(WorkforceData[Success Flag],WorkforceData[Assignment Timing],A7)/B7,0)</x:f>
        <x:v>0.6875</x:v>
      </x:c>
      <x:c r="E7" s="39" t="n">
        <x:f>IFERROR(SUMIFS(WorkforceData[Total Days Worked],WorkforceData[Assignment Timing],A7)/COUNTIFS(WorkforceData[Assignment Timing],A7,WorkforceData[Total Days Worked],"&gt;=0"),0)</x:f>
        <x:v>397.75</x:v>
      </x:c>
      <x:c r="F7" s="3"/>
      <x:c r="G7" s="3"/>
      <x:c r="H7" s="3"/>
      <x:c r="I7" s="3"/>
      <x:c r="J7" s="59"/>
      <x:c r="K7" s="59"/>
      <x:c r="L7" s="59"/>
      <x:c r="M7" s="59"/>
      <x:c r="N7" s="59"/>
      <x:c r="O7" s="59"/>
      <x:c r="P7" s="59"/>
      <x:c r="Q7" s="59"/>
      <x:c r="R7" s="59"/>
      <x:c r="S7" s="59"/>
      <x:c r="T7" s="59"/>
      <x:c r="U7" s="59"/>
      <x:c r="V7" s="59"/>
      <x:c r="W7" s="59"/>
    </x:row>
    <x:row r="8">
      <x:c r="A8" s="38" t="s">
        <x:v>44</x:v>
      </x:c>
      <x:c r="B8" s="18" t="n">
        <x:f>COUNTIF(WorkforceData[Assignment Timing],A8)</x:f>
        <x:v>133</x:v>
      </x:c>
      <x:c r="C8" s="22" t="n">
        <x:f>B8/ROWS(WorkforceData[Employee Number])</x:f>
        <x:v>0.12666666666666668</x:v>
      </x:c>
      <x:c r="D8" s="22" t="n">
        <x:f>IFERROR(SUMIFS(WorkforceData[Success Flag],WorkforceData[Assignment Timing],A8)/B8,0)</x:f>
        <x:v>0.6917293233082706</x:v>
      </x:c>
      <x:c r="E8" s="39" t="n">
        <x:f>IFERROR(SUMIFS(WorkforceData[Total Days Worked],WorkforceData[Assignment Timing],A8)/COUNTIFS(WorkforceData[Assignment Timing],A8,WorkforceData[Total Days Worked],"&gt;=0"),0)</x:f>
        <x:v>378.97744360902254</x:v>
      </x:c>
      <x:c r="F8" s="3"/>
      <x:c r="G8" s="3"/>
      <x:c r="H8" s="3"/>
      <x:c r="I8" s="3"/>
      <x:c r="J8" s="59"/>
      <x:c r="K8" s="59"/>
      <x:c r="L8" s="59"/>
      <x:c r="M8" s="59"/>
      <x:c r="N8" s="59"/>
      <x:c r="O8" s="59"/>
      <x:c r="P8" s="59"/>
      <x:c r="Q8" s="59"/>
      <x:c r="R8" s="59"/>
      <x:c r="S8" s="59"/>
      <x:c r="T8" s="59"/>
      <x:c r="U8" s="59"/>
      <x:c r="V8" s="59"/>
      <x:c r="W8" s="59"/>
    </x:row>
    <x:row r="9">
      <x:c r="A9" s="38" t="s">
        <x:v>45</x:v>
      </x:c>
      <x:c r="B9" s="18" t="n">
        <x:f>COUNTIF(WorkforceData[Assignment Timing],A9)</x:f>
        <x:v>75</x:v>
      </x:c>
      <x:c r="C9" s="22" t="n">
        <x:f>B9/ROWS(WorkforceData[Employee Number])</x:f>
        <x:v>0.07142857142857142</x:v>
      </x:c>
      <x:c r="D9" s="22" t="n">
        <x:f>IFERROR(SUMIFS(WorkforceData[Success Flag],WorkforceData[Assignment Timing],A9)/B9,0)</x:f>
        <x:v>0.64</x:v>
      </x:c>
      <x:c r="E9" s="39" t="n">
        <x:f>IFERROR(SUMIFS(WorkforceData[Total Days Worked],WorkforceData[Assignment Timing],A9)/COUNTIFS(WorkforceData[Assignment Timing],A9,WorkforceData[Total Days Worked],"&gt;=0"),0)</x:f>
        <x:v>348.32</x:v>
      </x:c>
      <x:c r="F9" s="3"/>
      <x:c r="G9" s="3"/>
      <x:c r="H9" s="3"/>
      <x:c r="I9" s="3"/>
      <x:c r="J9" s="59"/>
      <x:c r="K9" s="59"/>
      <x:c r="L9" s="59"/>
      <x:c r="M9" s="59"/>
      <x:c r="N9" s="59"/>
      <x:c r="O9" s="59"/>
      <x:c r="P9" s="59"/>
      <x:c r="Q9" s="59"/>
      <x:c r="R9" s="59"/>
      <x:c r="S9" s="59"/>
      <x:c r="T9" s="59"/>
      <x:c r="U9" s="59"/>
      <x:c r="V9" s="59"/>
      <x:c r="W9" s="59"/>
    </x:row>
    <x:row r="10">
      <x:c r="A10" s="38" t="s">
        <x:v>46</x:v>
      </x:c>
      <x:c r="B10" s="18" t="n">
        <x:f>COUNTIF(WorkforceData[Assignment Timing],A10)</x:f>
        <x:v>24</x:v>
      </x:c>
      <x:c r="C10" s="22" t="n">
        <x:f>B10/ROWS(WorkforceData[Employee Number])</x:f>
        <x:v>0.022857142857142857</x:v>
      </x:c>
      <x:c r="D10" s="22" t="n">
        <x:f>IFERROR(SUMIFS(WorkforceData[Success Flag],WorkforceData[Assignment Timing],A10)/B10,0)</x:f>
        <x:v>0.625</x:v>
      </x:c>
      <x:c r="E10" s="39" t="n">
        <x:f>IFERROR(SUMIFS(WorkforceData[Total Days Worked],WorkforceData[Assignment Timing],A10)/COUNTIFS(WorkforceData[Assignment Timing],A10,WorkforceData[Total Days Worked],"&gt;=0"),0)</x:f>
        <x:v>396.375</x:v>
      </x:c>
      <x:c r="F10" s="3"/>
      <x:c r="G10" s="3"/>
      <x:c r="H10" s="3"/>
      <x:c r="I10" s="3"/>
      <x:c r="J10" s="59"/>
      <x:c r="K10" s="59"/>
      <x:c r="L10" s="59"/>
      <x:c r="M10" s="59"/>
      <x:c r="N10" s="59"/>
      <x:c r="O10" s="59"/>
      <x:c r="P10" s="59"/>
      <x:c r="Q10" s="59"/>
      <x:c r="R10" s="59"/>
      <x:c r="S10" s="59"/>
      <x:c r="T10" s="59"/>
      <x:c r="U10" s="59"/>
      <x:c r="V10" s="59"/>
      <x:c r="W10" s="59"/>
    </x:row>
    <x:row r="11">
      <x:c r="A11" s="38" t="s">
        <x:v>47</x:v>
      </x:c>
      <x:c r="B11" s="18" t="n">
        <x:f>COUNTIF(WorkforceData[Assignment Timing],A11)</x:f>
        <x:v>72</x:v>
      </x:c>
      <x:c r="C11" s="22" t="n">
        <x:f>B11/ROWS(WorkforceData[Employee Number])</x:f>
        <x:v>0.06857142857142857</x:v>
      </x:c>
      <x:c r="D11" s="22" t="n">
        <x:f>IFERROR(SUMIFS(WorkforceData[Success Flag],WorkforceData[Assignment Timing],A11)/B11,0)</x:f>
        <x:v>0.8472222222222222</x:v>
      </x:c>
      <x:c r="E11" s="39" t="n">
        <x:f>IFERROR(SUMIFS(WorkforceData[Total Days Worked],WorkforceData[Assignment Timing],A11)/COUNTIFS(WorkforceData[Assignment Timing],A11,WorkforceData[Total Days Worked],"&gt;=0"),0)</x:f>
        <x:v>441.1666666666667</x:v>
      </x:c>
      <x:c r="F11" s="3"/>
      <x:c r="G11" s="3"/>
      <x:c r="H11" s="3"/>
      <x:c r="I11" s="3"/>
      <x:c r="J11" s="59"/>
      <x:c r="K11" s="59"/>
      <x:c r="L11" s="59"/>
      <x:c r="M11" s="59"/>
      <x:c r="N11" s="59"/>
      <x:c r="O11" s="59"/>
      <x:c r="P11" s="59"/>
      <x:c r="Q11" s="59"/>
      <x:c r="R11" s="59"/>
      <x:c r="S11" s="59"/>
      <x:c r="T11" s="59"/>
      <x:c r="U11" s="59"/>
      <x:c r="V11" s="59"/>
      <x:c r="W11" s="59"/>
    </x:row>
    <x:row r="12">
      <x:c r="A12" s="40" t="s">
        <x:v>71</x:v>
      </x:c>
      <x:c r="B12" s="20" t="n">
        <x:f>COUNTIF(WorkforceData[Assignment Timing],A12)</x:f>
        <x:v>22</x:v>
      </x:c>
      <x:c r="C12" s="23" t="n">
        <x:f>B12/ROWS(WorkforceData[Employee Number])</x:f>
        <x:v>0.02095238095238095</x:v>
      </x:c>
      <x:c r="D12" s="23" t="n">
        <x:f>IFERROR(SUMIFS(WorkforceData[Success Flag],WorkforceData[Assignment Timing],A12)/B12,0)</x:f>
        <x:v>0.45454545454545453</x:v>
      </x:c>
      <x:c r="E12" s="41" t="n">
        <x:f>IFERROR(SUMIFS(WorkforceData[Total Days Worked],WorkforceData[Assignment Timing],A12)/COUNTIFS(WorkforceData[Assignment Timing],A12,WorkforceData[Total Days Worked],"&gt;=0"),0)</x:f>
        <x:v>227.63636363636363</x:v>
      </x:c>
      <x:c r="F12" s="3"/>
      <x:c r="G12" s="3"/>
      <x:c r="H12" s="3"/>
      <x:c r="I12" s="3"/>
      <x:c r="J12" s="59"/>
      <x:c r="K12" s="59"/>
      <x:c r="L12" s="59"/>
      <x:c r="M12" s="59"/>
      <x:c r="N12" s="59"/>
      <x:c r="O12" s="59"/>
      <x:c r="P12" s="59"/>
      <x:c r="Q12" s="59"/>
      <x:c r="R12" s="59"/>
      <x:c r="S12" s="59"/>
      <x:c r="T12" s="59"/>
      <x:c r="U12" s="59"/>
      <x:c r="V12" s="59"/>
      <x:c r="W12" s="59"/>
    </x:row>
    <x:row r="13">
      <x:c r="A13" s="3"/>
      <x:c r="B13" s="3"/>
      <x:c r="C13" s="3"/>
      <x:c r="D13" s="3"/>
      <x:c r="E13" s="3"/>
      <x:c r="F13" s="3"/>
      <x:c r="G13" s="3"/>
      <x:c r="H13" s="3"/>
      <x:c r="I13" s="3"/>
      <x:c r="J13" s="59"/>
      <x:c r="K13" s="59"/>
      <x:c r="L13" s="59"/>
      <x:c r="M13" s="59"/>
      <x:c r="N13" s="59"/>
      <x:c r="O13" s="59"/>
      <x:c r="P13" s="59"/>
      <x:c r="Q13" s="59"/>
      <x:c r="R13" s="59"/>
      <x:c r="S13" s="59"/>
      <x:c r="T13" s="59"/>
      <x:c r="U13" s="59"/>
      <x:c r="V13" s="59"/>
      <x:c r="W13" s="59"/>
    </x:row>
    <x:row r="14">
      <x:c r="A14" s="48" t="str">
        <x:f>"Assignment timing differences are descriptive, not causal. The 21+ day band has "&amp;TEXT(D11,"0.0%")&amp;" success, but timing was not randomized and the adjusted association was not robust after multiple testing."</x:f>
        <x:v>Assignment timing differences are descriptive, not causal. The 21+ day band has 84.7% success, but timing was not randomized and the adjusted association was not robust after multiple testing.</x:v>
      </x:c>
      <x:c r="B14" s="49"/>
      <x:c r="C14" s="49"/>
      <x:c r="D14" s="49"/>
      <x:c r="E14" s="49"/>
      <x:c r="F14" s="49"/>
      <x:c r="G14" s="49"/>
      <x:c r="H14" s="49"/>
      <x:c r="I14" s="49"/>
      <x:c r="J14" s="59"/>
      <x:c r="K14" s="59"/>
      <x:c r="L14" s="59"/>
      <x:c r="M14" s="59"/>
      <x:c r="N14" s="59"/>
      <x:c r="O14" s="59"/>
      <x:c r="P14" s="59"/>
      <x:c r="Q14" s="59"/>
      <x:c r="R14" s="59"/>
      <x:c r="S14" s="59"/>
      <x:c r="T14" s="59"/>
      <x:c r="U14" s="59"/>
      <x:c r="V14" s="59"/>
      <x:c r="W14" s="59"/>
    </x:row>
    <x:row r="15">
      <x:c r="A15" s="59"/>
      <x:c r="B15" s="59"/>
      <x:c r="C15" s="59"/>
      <x:c r="D15" s="59"/>
      <x:c r="E15" s="59"/>
      <x:c r="F15" s="59"/>
      <x:c r="G15" s="59"/>
      <x:c r="H15" s="59"/>
      <x:c r="I15" s="59"/>
      <x:c r="J15" s="59"/>
      <x:c r="K15" s="59"/>
      <x:c r="L15" s="59"/>
      <x:c r="M15" s="59"/>
      <x:c r="N15" s="59"/>
      <x:c r="O15" s="59"/>
      <x:c r="P15" s="59"/>
      <x:c r="Q15" s="59"/>
      <x:c r="R15" s="59"/>
      <x:c r="S15" s="59"/>
      <x:c r="T15" s="59"/>
      <x:c r="U15" s="59"/>
      <x:c r="V15" s="59"/>
      <x:c r="W15" s="59"/>
    </x:row>
    <x:row r="16">
      <x:c r="A16" s="59"/>
      <x:c r="B16" s="59"/>
      <x:c r="C16" s="59"/>
      <x:c r="D16" s="59"/>
      <x:c r="E16" s="59"/>
      <x:c r="F16" s="59"/>
      <x:c r="G16" s="59"/>
      <x:c r="H16" s="59"/>
      <x:c r="I16" s="59"/>
      <x:c r="J16" s="59"/>
      <x:c r="K16" s="59"/>
      <x:c r="L16" s="59"/>
      <x:c r="M16" s="59"/>
      <x:c r="N16" s="59"/>
      <x:c r="O16" s="59"/>
      <x:c r="P16" s="59"/>
      <x:c r="Q16" s="59"/>
      <x:c r="R16" s="59"/>
      <x:c r="S16" s="59"/>
      <x:c r="T16" s="59"/>
      <x:c r="U16" s="59"/>
      <x:c r="V16" s="59"/>
      <x:c r="W16" s="59"/>
    </x:row>
    <x:row r="17">
      <x:c r="A17" s="59"/>
      <x:c r="B17" s="59"/>
      <x:c r="C17" s="59"/>
      <x:c r="D17" s="59"/>
      <x:c r="E17" s="59"/>
      <x:c r="F17" s="59"/>
      <x:c r="G17" s="59"/>
      <x:c r="H17" s="59"/>
      <x:c r="I17" s="59"/>
      <x:c r="J17" s="59"/>
      <x:c r="K17" s="59"/>
      <x:c r="L17" s="59"/>
      <x:c r="M17" s="59"/>
      <x:c r="N17" s="59"/>
      <x:c r="O17" s="59"/>
      <x:c r="P17" s="59"/>
      <x:c r="Q17" s="59"/>
      <x:c r="R17" s="59"/>
      <x:c r="S17" s="59"/>
      <x:c r="T17" s="59"/>
      <x:c r="U17" s="59"/>
      <x:c r="V17" s="59"/>
      <x:c r="W17" s="59"/>
    </x:row>
    <x:row r="18">
      <x:c r="A18" s="59"/>
      <x:c r="B18" s="59"/>
      <x:c r="C18" s="59"/>
      <x:c r="D18" s="59"/>
      <x:c r="E18" s="59"/>
      <x:c r="F18" s="59"/>
      <x:c r="G18" s="59"/>
      <x:c r="H18" s="59"/>
      <x:c r="I18" s="59"/>
      <x:c r="J18" s="59"/>
      <x:c r="K18" s="59"/>
      <x:c r="L18" s="59"/>
      <x:c r="M18" s="59"/>
      <x:c r="N18" s="59"/>
      <x:c r="O18" s="59"/>
      <x:c r="P18" s="59"/>
      <x:c r="Q18" s="59"/>
      <x:c r="R18" s="59"/>
      <x:c r="S18" s="59"/>
      <x:c r="T18" s="59"/>
      <x:c r="U18" s="59"/>
      <x:c r="V18" s="59"/>
      <x:c r="W18" s="59"/>
    </x:row>
    <x:row r="19">
      <x:c r="A19" s="59"/>
      <x:c r="B19" s="59"/>
      <x:c r="C19" s="59"/>
      <x:c r="D19" s="59"/>
      <x:c r="E19" s="59"/>
      <x:c r="F19" s="59"/>
      <x:c r="G19" s="59"/>
      <x:c r="H19" s="59"/>
      <x:c r="I19" s="59"/>
      <x:c r="J19" s="59"/>
      <x:c r="K19" s="59"/>
      <x:c r="L19" s="59"/>
      <x:c r="M19" s="59"/>
      <x:c r="N19" s="59"/>
      <x:c r="O19" s="59"/>
      <x:c r="P19" s="59"/>
      <x:c r="Q19" s="59"/>
      <x:c r="R19" s="59"/>
      <x:c r="S19" s="59"/>
      <x:c r="T19" s="59"/>
      <x:c r="U19" s="59"/>
      <x:c r="V19" s="59"/>
      <x:c r="W19" s="59"/>
    </x:row>
    <x:row r="20">
      <x:c r="A20" s="59"/>
      <x:c r="B20" s="59"/>
      <x:c r="C20" s="59"/>
      <x:c r="D20" s="59"/>
      <x:c r="E20" s="59"/>
      <x:c r="F20" s="59"/>
      <x:c r="G20" s="59"/>
      <x:c r="H20" s="59"/>
      <x:c r="I20" s="59"/>
      <x:c r="J20" s="59"/>
      <x:c r="K20" s="59"/>
      <x:c r="L20" s="59"/>
      <x:c r="M20" s="59"/>
      <x:c r="N20" s="59"/>
      <x:c r="O20" s="59"/>
      <x:c r="P20" s="59"/>
      <x:c r="Q20" s="59"/>
      <x:c r="R20" s="59"/>
      <x:c r="S20" s="59"/>
      <x:c r="T20" s="59"/>
      <x:c r="U20" s="59"/>
      <x:c r="V20" s="59"/>
      <x:c r="W20" s="59"/>
    </x:row>
    <x:row r="21">
      <x:c r="A21" s="59"/>
      <x:c r="B21" s="59"/>
      <x:c r="C21" s="59"/>
      <x:c r="D21" s="59"/>
      <x:c r="E21" s="59"/>
      <x:c r="F21" s="59"/>
      <x:c r="G21" s="59"/>
      <x:c r="H21" s="59"/>
      <x:c r="I21" s="59"/>
      <x:c r="J21" s="59"/>
      <x:c r="K21" s="59"/>
      <x:c r="L21" s="59"/>
      <x:c r="M21" s="59"/>
      <x:c r="N21" s="59"/>
      <x:c r="O21" s="59"/>
      <x:c r="P21" s="59"/>
      <x:c r="Q21" s="59"/>
      <x:c r="R21" s="59"/>
      <x:c r="S21" s="59"/>
      <x:c r="T21" s="59"/>
      <x:c r="U21" s="59"/>
      <x:c r="V21" s="59"/>
      <x:c r="W21" s="59"/>
    </x:row>
    <x:row r="22">
      <x:c r="A22" s="59"/>
      <x:c r="B22" s="59"/>
      <x:c r="C22" s="59"/>
      <x:c r="D22" s="59"/>
      <x:c r="E22" s="59"/>
      <x:c r="F22" s="59"/>
      <x:c r="G22" s="59"/>
      <x:c r="H22" s="59"/>
      <x:c r="I22" s="59"/>
      <x:c r="J22" s="59"/>
      <x:c r="K22" s="59"/>
      <x:c r="L22" s="59"/>
      <x:c r="M22" s="59"/>
      <x:c r="N22" s="59"/>
      <x:c r="O22" s="59"/>
      <x:c r="P22" s="59"/>
      <x:c r="Q22" s="59"/>
      <x:c r="R22" s="59"/>
      <x:c r="S22" s="59"/>
      <x:c r="T22" s="59"/>
      <x:c r="U22" s="59"/>
      <x:c r="V22" s="59"/>
      <x:c r="W22" s="59"/>
    </x:row>
    <x:row r="23">
      <x:c r="A23" s="59"/>
      <x:c r="B23" s="59"/>
      <x:c r="C23" s="59"/>
      <x:c r="D23" s="59"/>
      <x:c r="E23" s="59"/>
      <x:c r="F23" s="59"/>
      <x:c r="G23" s="59"/>
      <x:c r="H23" s="59"/>
      <x:c r="I23" s="59"/>
      <x:c r="J23" s="59"/>
      <x:c r="K23" s="59"/>
      <x:c r="L23" s="59"/>
      <x:c r="M23" s="59"/>
      <x:c r="N23" s="59"/>
      <x:c r="O23" s="59"/>
      <x:c r="P23" s="59"/>
      <x:c r="Q23" s="59"/>
      <x:c r="R23" s="59"/>
      <x:c r="S23" s="59"/>
      <x:c r="T23" s="59"/>
      <x:c r="U23" s="59"/>
      <x:c r="V23" s="59"/>
      <x:c r="W23" s="59"/>
    </x:row>
    <x:row r="24">
      <x:c r="A24" s="59"/>
      <x:c r="B24" s="59"/>
      <x:c r="C24" s="59"/>
      <x:c r="D24" s="59"/>
      <x:c r="E24" s="59"/>
      <x:c r="F24" s="59"/>
      <x:c r="G24" s="59"/>
      <x:c r="H24" s="59"/>
      <x:c r="I24" s="59"/>
      <x:c r="J24" s="59"/>
      <x:c r="K24" s="59"/>
      <x:c r="L24" s="59"/>
      <x:c r="M24" s="59"/>
      <x:c r="N24" s="59"/>
      <x:c r="O24" s="59"/>
      <x:c r="P24" s="59"/>
      <x:c r="Q24" s="59"/>
      <x:c r="R24" s="59"/>
      <x:c r="S24" s="59"/>
      <x:c r="T24" s="59"/>
      <x:c r="U24" s="59"/>
      <x:c r="V24" s="59"/>
      <x:c r="W24" s="59"/>
    </x:row>
    <x:row r="25">
      <x:c r="A25" s="59"/>
      <x:c r="B25" s="59"/>
      <x:c r="C25" s="59"/>
      <x:c r="D25" s="59"/>
      <x:c r="E25" s="59"/>
      <x:c r="F25" s="59"/>
      <x:c r="G25" s="59"/>
      <x:c r="H25" s="59"/>
      <x:c r="I25" s="59"/>
      <x:c r="J25" s="59"/>
      <x:c r="K25" s="59"/>
      <x:c r="L25" s="59"/>
      <x:c r="M25" s="59"/>
      <x:c r="N25" s="59"/>
      <x:c r="O25" s="59"/>
      <x:c r="P25" s="59"/>
      <x:c r="Q25" s="59"/>
      <x:c r="R25" s="59"/>
      <x:c r="S25" s="59"/>
      <x:c r="T25" s="59"/>
      <x:c r="U25" s="59"/>
      <x:c r="V25" s="59"/>
      <x:c r="W25" s="59"/>
    </x:row>
    <x:row r="26">
      <x:c r="A26" s="59"/>
      <x:c r="B26" s="59"/>
      <x:c r="C26" s="59"/>
      <x:c r="D26" s="59"/>
      <x:c r="E26" s="59"/>
      <x:c r="F26" s="59"/>
      <x:c r="G26" s="59"/>
      <x:c r="H26" s="59"/>
      <x:c r="I26" s="59"/>
      <x:c r="J26" s="59"/>
      <x:c r="K26" s="59"/>
      <x:c r="L26" s="59"/>
      <x:c r="M26" s="59"/>
      <x:c r="N26" s="59"/>
      <x:c r="O26" s="59"/>
      <x:c r="P26" s="59"/>
      <x:c r="Q26" s="59"/>
      <x:c r="R26" s="59"/>
      <x:c r="S26" s="59"/>
      <x:c r="T26" s="59"/>
      <x:c r="U26" s="59"/>
      <x:c r="V26" s="59"/>
      <x:c r="W26" s="59"/>
    </x:row>
    <x:row r="27">
      <x:c r="A27" s="59"/>
      <x:c r="B27" s="59"/>
      <x:c r="C27" s="59"/>
      <x:c r="D27" s="59"/>
      <x:c r="E27" s="59"/>
      <x:c r="F27" s="59"/>
      <x:c r="G27" s="59"/>
      <x:c r="H27" s="59"/>
      <x:c r="I27" s="59"/>
      <x:c r="J27" s="59"/>
      <x:c r="K27" s="59"/>
      <x:c r="L27" s="59"/>
      <x:c r="M27" s="59"/>
      <x:c r="N27" s="59"/>
      <x:c r="O27" s="59"/>
      <x:c r="P27" s="59"/>
      <x:c r="Q27" s="59"/>
      <x:c r="R27" s="59"/>
      <x:c r="S27" s="59"/>
      <x:c r="T27" s="59"/>
      <x:c r="U27" s="59"/>
      <x:c r="V27" s="59"/>
      <x:c r="W27" s="59"/>
    </x:row>
    <x:row r="28">
      <x:c r="A28" s="59"/>
      <x:c r="B28" s="59"/>
      <x:c r="C28" s="59"/>
      <x:c r="D28" s="59"/>
      <x:c r="E28" s="59"/>
      <x:c r="F28" s="59"/>
      <x:c r="G28" s="59"/>
      <x:c r="H28" s="59"/>
      <x:c r="I28" s="59"/>
      <x:c r="J28" s="59"/>
      <x:c r="K28" s="59"/>
      <x:c r="L28" s="59"/>
      <x:c r="M28" s="59"/>
      <x:c r="N28" s="59"/>
      <x:c r="O28" s="59"/>
      <x:c r="P28" s="59"/>
      <x:c r="Q28" s="59"/>
      <x:c r="R28" s="59"/>
      <x:c r="S28" s="59"/>
      <x:c r="T28" s="59"/>
      <x:c r="U28" s="59"/>
      <x:c r="V28" s="59"/>
      <x:c r="W28" s="59"/>
    </x:row>
    <x:row r="29">
      <x:c r="A29" s="59"/>
      <x:c r="B29" s="59"/>
      <x:c r="C29" s="59"/>
      <x:c r="D29" s="59"/>
      <x:c r="E29" s="59"/>
      <x:c r="F29" s="59"/>
      <x:c r="G29" s="59"/>
      <x:c r="H29" s="59"/>
      <x:c r="I29" s="59"/>
      <x:c r="J29" s="59"/>
      <x:c r="K29" s="59"/>
      <x:c r="L29" s="59"/>
      <x:c r="M29" s="59"/>
      <x:c r="N29" s="59"/>
      <x:c r="O29" s="59"/>
      <x:c r="P29" s="59"/>
      <x:c r="Q29" s="59"/>
      <x:c r="R29" s="59"/>
      <x:c r="S29" s="59"/>
      <x:c r="T29" s="59"/>
      <x:c r="U29" s="59"/>
      <x:c r="V29" s="59"/>
      <x:c r="W29" s="59"/>
    </x:row>
    <x:row r="30">
      <x:c r="A30" s="59"/>
      <x:c r="B30" s="59"/>
      <x:c r="C30" s="59"/>
      <x:c r="D30" s="59"/>
      <x:c r="E30" s="59"/>
      <x:c r="F30" s="59"/>
      <x:c r="G30" s="59"/>
      <x:c r="H30" s="59"/>
      <x:c r="I30" s="59"/>
      <x:c r="J30" s="59"/>
      <x:c r="K30" s="59"/>
      <x:c r="L30" s="59"/>
      <x:c r="M30" s="59"/>
      <x:c r="N30" s="59"/>
      <x:c r="O30" s="59"/>
      <x:c r="P30" s="59"/>
      <x:c r="Q30" s="59"/>
      <x:c r="R30" s="59"/>
      <x:c r="S30" s="59"/>
      <x:c r="T30" s="59"/>
      <x:c r="U30" s="59"/>
      <x:c r="V30" s="59"/>
      <x:c r="W30" s="59"/>
    </x:row>
    <x:row r="31">
      <x:c r="A31" s="59"/>
      <x:c r="B31" s="59"/>
      <x:c r="C31" s="59"/>
      <x:c r="D31" s="59"/>
      <x:c r="E31" s="59"/>
      <x:c r="F31" s="59"/>
      <x:c r="G31" s="59"/>
      <x:c r="H31" s="59"/>
      <x:c r="I31" s="59"/>
      <x:c r="J31" s="59"/>
      <x:c r="K31" s="59"/>
      <x:c r="L31" s="59"/>
      <x:c r="M31" s="59"/>
      <x:c r="N31" s="59"/>
      <x:c r="O31" s="59"/>
      <x:c r="P31" s="59"/>
      <x:c r="Q31" s="59"/>
      <x:c r="R31" s="59"/>
      <x:c r="S31" s="59"/>
      <x:c r="T31" s="59"/>
      <x:c r="U31" s="59"/>
      <x:c r="V31" s="59"/>
      <x:c r="W31" s="59"/>
    </x:row>
    <x:row r="32">
      <x:c r="A32" s="59"/>
      <x:c r="B32" s="59"/>
      <x:c r="C32" s="59"/>
      <x:c r="D32" s="59"/>
      <x:c r="E32" s="59"/>
      <x:c r="F32" s="59"/>
      <x:c r="G32" s="59"/>
      <x:c r="H32" s="59"/>
      <x:c r="I32" s="59"/>
      <x:c r="J32" s="59"/>
      <x:c r="K32" s="59"/>
      <x:c r="L32" s="59"/>
      <x:c r="M32" s="59"/>
      <x:c r="N32" s="59"/>
      <x:c r="O32" s="59"/>
      <x:c r="P32" s="59"/>
      <x:c r="Q32" s="59"/>
      <x:c r="R32" s="59"/>
      <x:c r="S32" s="59"/>
      <x:c r="T32" s="59"/>
      <x:c r="U32" s="59"/>
      <x:c r="V32" s="59"/>
      <x:c r="W32" s="59"/>
    </x:row>
    <x:row r="33">
      <x:c r="A33" s="59"/>
      <x:c r="B33" s="59"/>
      <x:c r="C33" s="59"/>
      <x:c r="D33" s="59"/>
      <x:c r="E33" s="59"/>
      <x:c r="F33" s="59"/>
      <x:c r="G33" s="59"/>
      <x:c r="H33" s="59"/>
      <x:c r="I33" s="59"/>
      <x:c r="J33" s="59"/>
      <x:c r="K33" s="59"/>
      <x:c r="L33" s="59"/>
      <x:c r="M33" s="59"/>
      <x:c r="N33" s="59"/>
      <x:c r="O33" s="59"/>
      <x:c r="P33" s="59"/>
      <x:c r="Q33" s="59"/>
      <x:c r="R33" s="59"/>
      <x:c r="S33" s="59"/>
      <x:c r="T33" s="59"/>
      <x:c r="U33" s="59"/>
      <x:c r="V33" s="59"/>
      <x:c r="W33" s="59"/>
    </x:row>
    <x:row r="34">
      <x:c r="A34" s="59"/>
      <x:c r="B34" s="59"/>
      <x:c r="C34" s="59"/>
      <x:c r="D34" s="59"/>
      <x:c r="E34" s="59"/>
      <x:c r="F34" s="59"/>
      <x:c r="G34" s="59"/>
      <x:c r="H34" s="59"/>
      <x:c r="I34" s="59"/>
      <x:c r="J34" s="59"/>
      <x:c r="K34" s="59"/>
      <x:c r="L34" s="59"/>
      <x:c r="M34" s="59"/>
      <x:c r="N34" s="59"/>
      <x:c r="O34" s="59"/>
      <x:c r="P34" s="59"/>
      <x:c r="Q34" s="59"/>
      <x:c r="R34" s="59"/>
      <x:c r="S34" s="59"/>
      <x:c r="T34" s="59"/>
      <x:c r="U34" s="59"/>
      <x:c r="V34" s="59"/>
      <x:c r="W34" s="59"/>
    </x:row>
    <x:row r="35">
      <x:c r="A35" s="59"/>
      <x:c r="B35" s="59"/>
      <x:c r="C35" s="59"/>
      <x:c r="D35" s="59"/>
      <x:c r="E35" s="59"/>
      <x:c r="F35" s="59"/>
      <x:c r="G35" s="59"/>
      <x:c r="H35" s="59"/>
      <x:c r="I35" s="59"/>
      <x:c r="J35" s="59"/>
      <x:c r="K35" s="59"/>
      <x:c r="L35" s="59"/>
      <x:c r="M35" s="59"/>
      <x:c r="N35" s="59"/>
      <x:c r="O35" s="59"/>
      <x:c r="P35" s="59"/>
      <x:c r="Q35" s="59"/>
      <x:c r="R35" s="59"/>
      <x:c r="S35" s="59"/>
      <x:c r="T35" s="59"/>
      <x:c r="U35" s="59"/>
      <x:c r="V35" s="59"/>
      <x:c r="W35" s="59"/>
    </x:row>
    <x:row r="36">
      <x:c r="A36" s="59"/>
      <x:c r="B36" s="59"/>
      <x:c r="C36" s="59"/>
      <x:c r="D36" s="59"/>
      <x:c r="E36" s="59"/>
      <x:c r="F36" s="59"/>
      <x:c r="G36" s="59"/>
      <x:c r="H36" s="59"/>
      <x:c r="I36" s="59"/>
      <x:c r="J36" s="59"/>
      <x:c r="K36" s="59"/>
      <x:c r="L36" s="59"/>
      <x:c r="M36" s="59"/>
      <x:c r="N36" s="59"/>
      <x:c r="O36" s="59"/>
      <x:c r="P36" s="59"/>
      <x:c r="Q36" s="59"/>
      <x:c r="R36" s="59"/>
      <x:c r="S36" s="59"/>
      <x:c r="T36" s="59"/>
      <x:c r="U36" s="59"/>
      <x:c r="V36" s="59"/>
      <x:c r="W36" s="59"/>
    </x:row>
    <x:row r="37">
      <x:c r="A37" s="59"/>
      <x:c r="B37" s="59"/>
      <x:c r="C37" s="59"/>
      <x:c r="D37" s="59"/>
      <x:c r="E37" s="59"/>
      <x:c r="F37" s="59"/>
      <x:c r="G37" s="59"/>
      <x:c r="H37" s="59"/>
      <x:c r="I37" s="59"/>
      <x:c r="J37" s="59"/>
      <x:c r="K37" s="59"/>
      <x:c r="L37" s="59"/>
      <x:c r="M37" s="59"/>
      <x:c r="N37" s="59"/>
      <x:c r="O37" s="59"/>
      <x:c r="P37" s="59"/>
      <x:c r="Q37" s="59"/>
      <x:c r="R37" s="59"/>
      <x:c r="S37" s="59"/>
      <x:c r="T37" s="59"/>
      <x:c r="U37" s="59"/>
      <x:c r="V37" s="59"/>
      <x:c r="W37" s="59"/>
    </x:row>
    <x:row r="38">
      <x:c r="A38" s="59"/>
      <x:c r="B38" s="59"/>
      <x:c r="C38" s="59"/>
      <x:c r="D38" s="59"/>
      <x:c r="E38" s="59"/>
      <x:c r="F38" s="59"/>
      <x:c r="G38" s="59"/>
      <x:c r="H38" s="59"/>
      <x:c r="I38" s="59"/>
      <x:c r="J38" s="59"/>
      <x:c r="K38" s="59"/>
      <x:c r="L38" s="59"/>
      <x:c r="M38" s="59"/>
      <x:c r="N38" s="59"/>
      <x:c r="O38" s="59"/>
      <x:c r="P38" s="59"/>
      <x:c r="Q38" s="59"/>
      <x:c r="R38" s="59"/>
      <x:c r="S38" s="59"/>
      <x:c r="T38" s="59"/>
      <x:c r="U38" s="59"/>
      <x:c r="V38" s="59"/>
      <x:c r="W38" s="59"/>
    </x:row>
    <x:row r="39">
      <x:c r="A39" s="59"/>
      <x:c r="B39" s="59"/>
      <x:c r="C39" s="59"/>
      <x:c r="D39" s="59"/>
      <x:c r="E39" s="59"/>
      <x:c r="F39" s="59"/>
      <x:c r="G39" s="59"/>
      <x:c r="H39" s="59"/>
      <x:c r="I39" s="59"/>
      <x:c r="J39" s="59"/>
      <x:c r="K39" s="59"/>
      <x:c r="L39" s="59"/>
      <x:c r="M39" s="59"/>
      <x:c r="N39" s="59"/>
      <x:c r="O39" s="59"/>
      <x:c r="P39" s="59"/>
      <x:c r="Q39" s="59"/>
      <x:c r="R39" s="59"/>
      <x:c r="S39" s="59"/>
      <x:c r="T39" s="59"/>
      <x:c r="U39" s="59"/>
      <x:c r="V39" s="59"/>
      <x:c r="W39" s="59"/>
    </x:row>
    <x:row r="40">
      <x:c r="A40" s="59"/>
      <x:c r="B40" s="59"/>
      <x:c r="C40" s="59"/>
      <x:c r="D40" s="59"/>
      <x:c r="E40" s="59"/>
      <x:c r="F40" s="59"/>
      <x:c r="G40" s="59"/>
      <x:c r="H40" s="59"/>
      <x:c r="I40" s="59"/>
      <x:c r="J40" s="59"/>
      <x:c r="K40" s="59"/>
      <x:c r="L40" s="59"/>
      <x:c r="M40" s="59"/>
      <x:c r="N40" s="59"/>
      <x:c r="O40" s="59"/>
      <x:c r="P40" s="59"/>
      <x:c r="Q40" s="59"/>
      <x:c r="R40" s="59"/>
      <x:c r="S40" s="59"/>
      <x:c r="T40" s="59"/>
      <x:c r="U40" s="59"/>
      <x:c r="V40" s="59"/>
      <x:c r="W40" s="59"/>
    </x:row>
    <x:row r="41">
      <x:c r="A41" s="59"/>
      <x:c r="B41" s="59"/>
      <x:c r="C41" s="59"/>
      <x:c r="D41" s="59"/>
      <x:c r="E41" s="59"/>
      <x:c r="F41" s="59"/>
      <x:c r="G41" s="59"/>
      <x:c r="H41" s="59"/>
      <x:c r="I41" s="59"/>
      <x:c r="J41" s="59"/>
      <x:c r="K41" s="59"/>
      <x:c r="L41" s="59"/>
      <x:c r="M41" s="59"/>
      <x:c r="N41" s="59"/>
      <x:c r="O41" s="59"/>
      <x:c r="P41" s="59"/>
      <x:c r="Q41" s="59"/>
      <x:c r="R41" s="59"/>
      <x:c r="S41" s="59"/>
      <x:c r="T41" s="59"/>
      <x:c r="U41" s="59"/>
      <x:c r="V41" s="59"/>
      <x:c r="W41" s="59"/>
    </x:row>
    <x:row r="42">
      <x:c r="A42" s="59"/>
      <x:c r="B42" s="59"/>
      <x:c r="C42" s="59"/>
      <x:c r="D42" s="59"/>
      <x:c r="E42" s="59"/>
      <x:c r="F42" s="59"/>
      <x:c r="G42" s="59"/>
      <x:c r="H42" s="59"/>
      <x:c r="I42" s="59"/>
      <x:c r="J42" s="59"/>
      <x:c r="K42" s="59"/>
      <x:c r="L42" s="59"/>
      <x:c r="M42" s="59"/>
      <x:c r="N42" s="59"/>
      <x:c r="O42" s="59"/>
      <x:c r="P42" s="59"/>
      <x:c r="Q42" s="59"/>
      <x:c r="R42" s="59"/>
      <x:c r="S42" s="59"/>
      <x:c r="T42" s="59"/>
      <x:c r="U42" s="59"/>
      <x:c r="V42" s="59"/>
      <x:c r="W42" s="59"/>
    </x:row>
    <x:row r="43">
      <x:c r="A43" s="59"/>
      <x:c r="B43" s="59"/>
      <x:c r="C43" s="59"/>
      <x:c r="D43" s="59"/>
      <x:c r="E43" s="59"/>
      <x:c r="F43" s="59"/>
      <x:c r="G43" s="59"/>
      <x:c r="H43" s="59"/>
      <x:c r="I43" s="59"/>
      <x:c r="J43" s="59"/>
      <x:c r="K43" s="59"/>
      <x:c r="L43" s="59"/>
      <x:c r="M43" s="59"/>
      <x:c r="N43" s="59"/>
      <x:c r="O43" s="59"/>
      <x:c r="P43" s="59"/>
      <x:c r="Q43" s="59"/>
      <x:c r="R43" s="59"/>
      <x:c r="S43" s="59"/>
      <x:c r="T43" s="59"/>
      <x:c r="U43" s="59"/>
      <x:c r="V43" s="59"/>
      <x:c r="W43" s="59"/>
    </x:row>
    <x:row r="44">
      <x:c r="A44" s="59"/>
      <x:c r="B44" s="59"/>
      <x:c r="C44" s="59"/>
      <x:c r="D44" s="59"/>
      <x:c r="E44" s="59"/>
      <x:c r="F44" s="59"/>
      <x:c r="G44" s="59"/>
      <x:c r="H44" s="59"/>
      <x:c r="I44" s="59"/>
      <x:c r="J44" s="59"/>
      <x:c r="K44" s="59"/>
      <x:c r="L44" s="59"/>
      <x:c r="M44" s="59"/>
      <x:c r="N44" s="59"/>
      <x:c r="O44" s="59"/>
      <x:c r="P44" s="59"/>
      <x:c r="Q44" s="59"/>
      <x:c r="R44" s="59"/>
      <x:c r="S44" s="59"/>
      <x:c r="T44" s="59"/>
      <x:c r="U44" s="59"/>
      <x:c r="V44" s="59"/>
      <x:c r="W44" s="59"/>
    </x:row>
    <x:row r="45">
      <x:c r="A45" s="59"/>
      <x:c r="B45" s="59"/>
      <x:c r="C45" s="59"/>
      <x:c r="D45" s="59"/>
      <x:c r="E45" s="59"/>
      <x:c r="F45" s="59"/>
      <x:c r="G45" s="59"/>
      <x:c r="H45" s="59"/>
      <x:c r="I45" s="59"/>
      <x:c r="J45" s="59"/>
      <x:c r="K45" s="59"/>
      <x:c r="L45" s="59"/>
      <x:c r="M45" s="59"/>
      <x:c r="N45" s="59"/>
      <x:c r="O45" s="59"/>
      <x:c r="P45" s="59"/>
      <x:c r="Q45" s="59"/>
      <x:c r="R45" s="59"/>
      <x:c r="S45" s="59"/>
      <x:c r="T45" s="59"/>
      <x:c r="U45" s="59"/>
      <x:c r="V45" s="59"/>
      <x:c r="W45" s="59"/>
    </x:row>
    <x:row r="46">
      <x:c r="A46" s="59"/>
      <x:c r="B46" s="59"/>
      <x:c r="C46" s="59"/>
      <x:c r="D46" s="59"/>
      <x:c r="E46" s="59"/>
      <x:c r="F46" s="59"/>
      <x:c r="G46" s="59"/>
      <x:c r="H46" s="59"/>
      <x:c r="I46" s="59"/>
      <x:c r="J46" s="59"/>
      <x:c r="K46" s="59"/>
      <x:c r="L46" s="59"/>
      <x:c r="M46" s="59"/>
      <x:c r="N46" s="59"/>
      <x:c r="O46" s="59"/>
      <x:c r="P46" s="59"/>
      <x:c r="Q46" s="59"/>
      <x:c r="R46" s="59"/>
      <x:c r="S46" s="59"/>
      <x:c r="T46" s="59"/>
      <x:c r="U46" s="59"/>
      <x:c r="V46" s="59"/>
      <x:c r="W46" s="59"/>
    </x:row>
    <x:row r="47">
      <x:c r="A47" s="59"/>
      <x:c r="B47" s="59"/>
      <x:c r="C47" s="59"/>
      <x:c r="D47" s="59"/>
      <x:c r="E47" s="59"/>
      <x:c r="F47" s="59"/>
      <x:c r="G47" s="59"/>
      <x:c r="H47" s="59"/>
      <x:c r="I47" s="59"/>
      <x:c r="J47" s="59"/>
      <x:c r="K47" s="59"/>
      <x:c r="L47" s="59"/>
      <x:c r="M47" s="59"/>
      <x:c r="N47" s="59"/>
      <x:c r="O47" s="59"/>
      <x:c r="P47" s="59"/>
      <x:c r="Q47" s="59"/>
      <x:c r="R47" s="59"/>
      <x:c r="S47" s="59"/>
      <x:c r="T47" s="59"/>
      <x:c r="U47" s="59"/>
      <x:c r="V47" s="59"/>
      <x:c r="W47" s="59"/>
    </x:row>
    <x:row r="48">
      <x:c r="A48" s="59"/>
      <x:c r="B48" s="59"/>
      <x:c r="C48" s="59"/>
      <x:c r="D48" s="59"/>
      <x:c r="E48" s="59"/>
      <x:c r="F48" s="59"/>
      <x:c r="G48" s="59"/>
      <x:c r="H48" s="59"/>
      <x:c r="I48" s="59"/>
      <x:c r="J48" s="59"/>
      <x:c r="K48" s="59"/>
      <x:c r="L48" s="59"/>
      <x:c r="M48" s="59"/>
      <x:c r="N48" s="59"/>
      <x:c r="O48" s="59"/>
      <x:c r="P48" s="59"/>
      <x:c r="Q48" s="59"/>
      <x:c r="R48" s="59"/>
      <x:c r="S48" s="59"/>
      <x:c r="T48" s="59"/>
      <x:c r="U48" s="59"/>
      <x:c r="V48" s="59"/>
      <x:c r="W48" s="59"/>
    </x:row>
    <x:row r="49">
      <x:c r="A49" s="59"/>
      <x:c r="B49" s="59"/>
      <x:c r="C49" s="59"/>
      <x:c r="D49" s="59"/>
      <x:c r="E49" s="59"/>
      <x:c r="F49" s="59"/>
      <x:c r="G49" s="59"/>
      <x:c r="H49" s="59"/>
      <x:c r="I49" s="59"/>
      <x:c r="J49" s="59"/>
      <x:c r="K49" s="59"/>
      <x:c r="L49" s="59"/>
      <x:c r="M49" s="59"/>
      <x:c r="N49" s="59"/>
      <x:c r="O49" s="59"/>
      <x:c r="P49" s="59"/>
      <x:c r="Q49" s="59"/>
      <x:c r="R49" s="59"/>
      <x:c r="S49" s="59"/>
      <x:c r="T49" s="59"/>
      <x:c r="U49" s="59"/>
      <x:c r="V49" s="59"/>
      <x:c r="W49" s="59"/>
    </x:row>
    <x:row r="50">
      <x:c r="A50" s="59"/>
      <x:c r="B50" s="59"/>
      <x:c r="C50" s="59"/>
      <x:c r="D50" s="59"/>
      <x:c r="E50" s="59"/>
      <x:c r="F50" s="59"/>
      <x:c r="G50" s="59"/>
      <x:c r="H50" s="59"/>
      <x:c r="I50" s="59"/>
      <x:c r="J50" s="59"/>
      <x:c r="K50" s="59"/>
      <x:c r="L50" s="59"/>
      <x:c r="M50" s="59"/>
      <x:c r="N50" s="59"/>
      <x:c r="O50" s="59"/>
      <x:c r="P50" s="59"/>
      <x:c r="Q50" s="59"/>
      <x:c r="R50" s="59"/>
      <x:c r="S50" s="59"/>
      <x:c r="T50" s="59"/>
      <x:c r="U50" s="59"/>
      <x:c r="V50" s="59"/>
      <x:c r="W50" s="59"/>
    </x:row>
    <x:row r="51">
      <x:c r="A51" s="59"/>
      <x:c r="B51" s="59"/>
      <x:c r="C51" s="59"/>
      <x:c r="D51" s="59"/>
      <x:c r="E51" s="59"/>
      <x:c r="F51" s="59"/>
      <x:c r="G51" s="59"/>
      <x:c r="H51" s="59"/>
      <x:c r="I51" s="59"/>
      <x:c r="J51" s="59"/>
      <x:c r="K51" s="59"/>
      <x:c r="L51" s="59"/>
      <x:c r="M51" s="59"/>
      <x:c r="N51" s="59"/>
      <x:c r="O51" s="59"/>
      <x:c r="P51" s="59"/>
      <x:c r="Q51" s="59"/>
      <x:c r="R51" s="59"/>
      <x:c r="S51" s="59"/>
      <x:c r="T51" s="59"/>
      <x:c r="U51" s="59"/>
      <x:c r="V51" s="59"/>
      <x:c r="W51" s="59"/>
    </x:row>
    <x:row r="52">
      <x:c r="A52" s="59"/>
      <x:c r="B52" s="59"/>
      <x:c r="C52" s="59"/>
      <x:c r="D52" s="59"/>
      <x:c r="E52" s="59"/>
      <x:c r="F52" s="59"/>
      <x:c r="G52" s="59"/>
      <x:c r="H52" s="59"/>
      <x:c r="I52" s="59"/>
      <x:c r="J52" s="59"/>
      <x:c r="K52" s="59"/>
      <x:c r="L52" s="59"/>
      <x:c r="M52" s="59"/>
      <x:c r="N52" s="59"/>
      <x:c r="O52" s="59"/>
      <x:c r="P52" s="59"/>
      <x:c r="Q52" s="59"/>
      <x:c r="R52" s="59"/>
      <x:c r="S52" s="59"/>
      <x:c r="T52" s="59"/>
      <x:c r="U52" s="59"/>
      <x:c r="V52" s="59"/>
      <x:c r="W52" s="59"/>
    </x:row>
    <x:row r="53">
      <x:c r="A53" s="59"/>
      <x:c r="B53" s="59"/>
      <x:c r="C53" s="59"/>
      <x:c r="D53" s="59"/>
      <x:c r="E53" s="59"/>
      <x:c r="F53" s="59"/>
      <x:c r="G53" s="59"/>
      <x:c r="H53" s="59"/>
      <x:c r="I53" s="59"/>
      <x:c r="J53" s="59"/>
      <x:c r="K53" s="59"/>
      <x:c r="L53" s="59"/>
      <x:c r="M53" s="59"/>
      <x:c r="N53" s="59"/>
      <x:c r="O53" s="59"/>
      <x:c r="P53" s="59"/>
      <x:c r="Q53" s="59"/>
      <x:c r="R53" s="59"/>
      <x:c r="S53" s="59"/>
      <x:c r="T53" s="59"/>
      <x:c r="U53" s="59"/>
      <x:c r="V53" s="59"/>
      <x:c r="W53" s="59"/>
    </x:row>
    <x:row r="54">
      <x:c r="A54" s="59"/>
      <x:c r="B54" s="59"/>
      <x:c r="C54" s="59"/>
      <x:c r="D54" s="59"/>
      <x:c r="E54" s="59"/>
      <x:c r="F54" s="59"/>
      <x:c r="G54" s="59"/>
      <x:c r="H54" s="59"/>
      <x:c r="I54" s="59"/>
      <x:c r="J54" s="59"/>
      <x:c r="K54" s="59"/>
      <x:c r="L54" s="59"/>
      <x:c r="M54" s="59"/>
      <x:c r="N54" s="59"/>
      <x:c r="O54" s="59"/>
      <x:c r="P54" s="59"/>
      <x:c r="Q54" s="59"/>
      <x:c r="R54" s="59"/>
      <x:c r="S54" s="59"/>
      <x:c r="T54" s="59"/>
      <x:c r="U54" s="59"/>
      <x:c r="V54" s="59"/>
      <x:c r="W54" s="59"/>
    </x:row>
    <x:row r="55">
      <x:c r="A55" s="59"/>
      <x:c r="B55" s="59"/>
      <x:c r="C55" s="59"/>
      <x:c r="D55" s="59"/>
      <x:c r="E55" s="59"/>
      <x:c r="F55" s="59"/>
      <x:c r="G55" s="59"/>
      <x:c r="H55" s="59"/>
      <x:c r="I55" s="59"/>
      <x:c r="J55" s="59"/>
      <x:c r="K55" s="59"/>
      <x:c r="L55" s="59"/>
      <x:c r="M55" s="59"/>
      <x:c r="N55" s="59"/>
      <x:c r="O55" s="59"/>
      <x:c r="P55" s="59"/>
      <x:c r="Q55" s="59"/>
      <x:c r="R55" s="59"/>
      <x:c r="S55" s="59"/>
      <x:c r="T55" s="59"/>
      <x:c r="U55" s="59"/>
      <x:c r="V55" s="59"/>
      <x:c r="W55" s="59"/>
    </x:row>
    <x:row r="56">
      <x:c r="A56" s="59"/>
      <x:c r="B56" s="59"/>
      <x:c r="C56" s="59"/>
      <x:c r="D56" s="59"/>
      <x:c r="E56" s="59"/>
      <x:c r="F56" s="59"/>
      <x:c r="G56" s="59"/>
      <x:c r="H56" s="59"/>
      <x:c r="I56" s="59"/>
      <x:c r="J56" s="59"/>
      <x:c r="K56" s="59"/>
      <x:c r="L56" s="59"/>
      <x:c r="M56" s="59"/>
      <x:c r="N56" s="59"/>
      <x:c r="O56" s="59"/>
      <x:c r="P56" s="59"/>
      <x:c r="Q56" s="59"/>
      <x:c r="R56" s="59"/>
      <x:c r="S56" s="59"/>
      <x:c r="T56" s="59"/>
      <x:c r="U56" s="59"/>
      <x:c r="V56" s="59"/>
      <x:c r="W56" s="59"/>
    </x:row>
    <x:row r="57">
      <x:c r="A57" s="59"/>
      <x:c r="B57" s="59"/>
      <x:c r="C57" s="59"/>
      <x:c r="D57" s="59"/>
      <x:c r="E57" s="59"/>
      <x:c r="F57" s="59"/>
      <x:c r="G57" s="59"/>
      <x:c r="H57" s="59"/>
      <x:c r="I57" s="59"/>
      <x:c r="J57" s="59"/>
      <x:c r="K57" s="59"/>
      <x:c r="L57" s="59"/>
      <x:c r="M57" s="59"/>
      <x:c r="N57" s="59"/>
      <x:c r="O57" s="59"/>
      <x:c r="P57" s="59"/>
      <x:c r="Q57" s="59"/>
      <x:c r="R57" s="59"/>
      <x:c r="S57" s="59"/>
      <x:c r="T57" s="59"/>
      <x:c r="U57" s="59"/>
      <x:c r="V57" s="59"/>
      <x:c r="W57" s="59"/>
    </x:row>
    <x:row r="58">
      <x:c r="A58" s="59"/>
      <x:c r="B58" s="59"/>
      <x:c r="C58" s="59"/>
      <x:c r="D58" s="59"/>
      <x:c r="E58" s="59"/>
      <x:c r="F58" s="59"/>
      <x:c r="G58" s="59"/>
      <x:c r="H58" s="59"/>
      <x:c r="I58" s="59"/>
    </x:row>
  </x:sheetData>
  <x:mergeCells>
    <x:mergeCell ref="A1:I1"/>
    <x:mergeCell ref="A2:I2"/>
    <x:mergeCell ref="A3:I3"/>
    <x:mergeCell ref="A14:I14"/>
  </x:mergeCells>
  <x:conditionalFormatting sqref="A6:E12">
    <x:cfRule type="expression" dxfId="9" priority="1">
      <x:formula>MOD(ROW()-6,2)=1</x:formula>
    </x:cfRule>
  </x:conditionalFormatting>
  <x:pageMargins left="0.7" right="0.7" top="0.75" bottom="0.75" header="0.3" footer="0.3"/>
  <x:drawing xmlns:r="http://schemas.openxmlformats.org/officeDocument/2006/relationships" r:id="R22c98fa19d714337"/>
</x:worksheet>
</file>

<file path=xl/worksheets/sheet6.xml><?xml version="1.0" encoding="utf-8"?>
<x:worksheet xmlns:x="http://schemas.openxmlformats.org/spreadsheetml/2006/main">
  <x:sheetFormatPr defaultRowHeight="14.5"/>
  <x:cols>
    <x:col min="1" max="1" width="19.08984375" customWidth="1"/>
    <x:col min="2" max="2" width="13.08984375" customWidth="1"/>
    <x:col min="3" max="3" width="15.26953125" customWidth="1"/>
    <x:col min="4" max="4" width="13.6328125" customWidth="1"/>
    <x:col min="5" max="5" width="15.6328125" customWidth="1"/>
    <x:col min="6" max="6" width="21.6328125" customWidth="1"/>
    <x:col min="7" max="7" width="15.81640625" customWidth="1"/>
    <x:col min="8" max="9" width="13.08984375" customWidth="1"/>
  </x:cols>
  <x:sheetData>
    <x:row r="1" ht="32" customHeight="1">
      <x:c r="A1" s="4" t="s">
        <x:v>72</x:v>
      </x:c>
      <x:c r="B1" s="4"/>
      <x:c r="C1" s="4"/>
      <x:c r="D1" s="4"/>
      <x:c r="E1" s="4"/>
      <x:c r="F1" s="4"/>
      <x:c r="G1" s="4"/>
      <x:c r="H1" s="4"/>
      <x:c r="I1" s="4"/>
      <x:c r="J1" s="59"/>
      <x:c r="K1" s="59"/>
      <x:c r="L1" s="59"/>
      <x:c r="M1" s="59"/>
      <x:c r="N1" s="59"/>
      <x:c r="O1" s="59"/>
      <x:c r="P1" s="59"/>
      <x:c r="Q1" s="59"/>
      <x:c r="R1" s="59"/>
      <x:c r="S1" s="59"/>
      <x:c r="T1" s="59"/>
      <x:c r="U1" s="59"/>
      <x:c r="V1" s="59"/>
      <x:c r="W1" s="59"/>
    </x:row>
    <x:row r="2" ht="20" customHeight="1">
      <x:c r="A2" s="5" t="s">
        <x:v>73</x:v>
      </x:c>
      <x:c r="B2" s="5"/>
      <x:c r="C2" s="5"/>
      <x:c r="D2" s="5"/>
      <x:c r="E2" s="5"/>
      <x:c r="F2" s="5"/>
      <x:c r="G2" s="5"/>
      <x:c r="H2" s="5"/>
      <x:c r="I2" s="5"/>
      <x:c r="J2" s="59"/>
      <x:c r="K2" s="59"/>
      <x:c r="L2" s="59"/>
      <x:c r="M2" s="59"/>
      <x:c r="N2" s="59"/>
      <x:c r="O2" s="59"/>
      <x:c r="P2" s="59"/>
      <x:c r="Q2" s="59"/>
      <x:c r="R2" s="59"/>
      <x:c r="S2" s="59"/>
      <x:c r="T2" s="59"/>
      <x:c r="U2" s="59"/>
      <x:c r="V2" s="59"/>
      <x:c r="W2" s="59"/>
    </x:row>
    <x:row r="3" ht="45" customHeight="1">
      <x:c r="A3" s="35" t="s">
        <x:v>74</x:v>
      </x:c>
      <x:c r="B3" s="35"/>
      <x:c r="C3" s="35"/>
      <x:c r="D3" s="35"/>
      <x:c r="E3" s="35"/>
      <x:c r="F3" s="35"/>
      <x:c r="G3" s="35"/>
      <x:c r="H3" s="35"/>
      <x:c r="I3" s="35"/>
      <x:c r="J3" s="59"/>
      <x:c r="K3" s="59"/>
      <x:c r="L3" s="59"/>
      <x:c r="M3" s="59"/>
      <x:c r="N3" s="59"/>
      <x:c r="O3" s="59"/>
      <x:c r="P3" s="59"/>
      <x:c r="Q3" s="59"/>
      <x:c r="R3" s="59"/>
      <x:c r="S3" s="59"/>
      <x:c r="T3" s="59"/>
      <x:c r="U3" s="59"/>
      <x:c r="V3" s="59"/>
      <x:c r="W3" s="59"/>
    </x:row>
    <x:row r="4">
      <x:c r="A4" s="3"/>
      <x:c r="B4" s="3"/>
      <x:c r="C4" s="3"/>
      <x:c r="D4" s="3"/>
      <x:c r="E4" s="3"/>
      <x:c r="F4" s="3"/>
      <x:c r="G4" s="3"/>
      <x:c r="H4" s="3"/>
      <x:c r="I4" s="3"/>
      <x:c r="J4" s="59"/>
      <x:c r="K4" s="59"/>
      <x:c r="L4" s="59"/>
      <x:c r="M4" s="59"/>
      <x:c r="N4" s="59"/>
      <x:c r="O4" s="59"/>
      <x:c r="P4" s="59"/>
      <x:c r="Q4" s="59"/>
      <x:c r="R4" s="59"/>
      <x:c r="S4" s="59"/>
      <x:c r="T4" s="59"/>
      <x:c r="U4" s="59"/>
      <x:c r="V4" s="59"/>
      <x:c r="W4" s="59"/>
    </x:row>
    <x:row r="5" ht="15">
      <x:c r="A5" s="42" t="s">
        <x:v>75</x:v>
      </x:c>
      <x:c r="B5" s="43" t="s">
        <x:v>54</x:v>
      </x:c>
      <x:c r="C5" s="43" t="s">
        <x:v>55</x:v>
      </x:c>
      <x:c r="D5" s="43" t="s">
        <x:v>40</x:v>
      </x:c>
      <x:c r="E5" s="43" t="s">
        <x:v>76</x:v>
      </x:c>
      <x:c r="F5" s="43" t="s">
        <x:v>77</x:v>
      </x:c>
      <x:c r="G5" s="44" t="s">
        <x:v>78</x:v>
      </x:c>
      <x:c r="H5" s="3"/>
      <x:c r="I5" s="3"/>
      <x:c r="J5" s="59"/>
      <x:c r="K5" s="59"/>
      <x:c r="L5" s="59"/>
      <x:c r="M5" s="59"/>
      <x:c r="N5" s="59"/>
      <x:c r="O5" s="59"/>
      <x:c r="P5" s="59"/>
      <x:c r="Q5" s="59"/>
      <x:c r="R5" s="59"/>
      <x:c r="S5" s="59"/>
      <x:c r="T5" s="59"/>
      <x:c r="U5" s="59"/>
      <x:c r="V5" s="59"/>
      <x:c r="W5" s="59"/>
    </x:row>
    <x:row r="6">
      <x:c r="A6" s="36" t="str">
        <x:v>Recruiter A</x:v>
      </x:c>
      <x:c r="B6" s="16" t="n">
        <x:f>COUNTIF(WorkforceData[Recruiter],A6)</x:f>
        <x:v>138</x:v>
      </x:c>
      <x:c r="C6" s="16" t="n">
        <x:f>SUMIFS(WorkforceData[Success Flag],WorkforceData[Recruiter],A6)</x:f>
        <x:v>95</x:v>
      </x:c>
      <x:c r="D6" s="21" t="n">
        <x:f>C6/B6</x:f>
        <x:v>0.6884057971014492</x:v>
      </x:c>
      <x:c r="E6" s="21" t="n">
        <x:f>COUNTIFS(WorkforceData[Recruiter],A6,WorkforceData[Promoted],"Yes")/B6</x:f>
        <x:v>0.5</x:v>
      </x:c>
      <x:c r="F6" s="50" t="n">
        <x:f>IFERROR(SUMIFS(WorkforceData[Days Between Training and Assignment],WorkforceData[Recruiter],A6)/COUNTIFS(WorkforceData[Recruiter],A6,WorkforceData[Days Between Training and Assignment],"&gt;=0"),0)</x:f>
        <x:v>12.927536231884059</x:v>
      </x:c>
      <x:c r="G6" s="51" t="n">
        <x:f>IF(B6&lt;10,0,D6*SQRT(B6))</x:f>
        <x:v>8.086937042208111</x:v>
      </x:c>
      <x:c r="H6" s="3"/>
      <x:c r="I6" s="3"/>
      <x:c r="J6" s="59"/>
      <x:c r="K6" s="59"/>
      <x:c r="L6" s="59"/>
      <x:c r="M6" s="59"/>
      <x:c r="N6" s="59"/>
      <x:c r="O6" s="59"/>
      <x:c r="P6" s="59"/>
      <x:c r="Q6" s="59"/>
      <x:c r="R6" s="59"/>
      <x:c r="S6" s="59"/>
      <x:c r="T6" s="59"/>
      <x:c r="U6" s="59"/>
      <x:c r="V6" s="59"/>
      <x:c r="W6" s="59"/>
    </x:row>
    <x:row r="7">
      <x:c r="A7" s="38" t="str">
        <x:v>Recruiter B</x:v>
      </x:c>
      <x:c r="B7" s="18" t="n">
        <x:f>COUNTIF(WorkforceData[Recruiter],A7)</x:f>
        <x:v>136</x:v>
      </x:c>
      <x:c r="C7" s="18" t="n">
        <x:f>SUMIFS(WorkforceData[Success Flag],WorkforceData[Recruiter],A7)</x:f>
        <x:v>101</x:v>
      </x:c>
      <x:c r="D7" s="22" t="n">
        <x:f>C7/B7</x:f>
        <x:v>0.7426470588235294</x:v>
      </x:c>
      <x:c r="E7" s="22" t="n">
        <x:f>COUNTIFS(WorkforceData[Recruiter],A7,WorkforceData[Promoted],"Yes")/B7</x:f>
        <x:v>0.5147058823529411</x:v>
      </x:c>
      <x:c r="F7" s="52" t="n">
        <x:f>IFERROR(SUMIFS(WorkforceData[Days Between Training and Assignment],WorkforceData[Recruiter],A7)/COUNTIFS(WorkforceData[Recruiter],A7,WorkforceData[Days Between Training and Assignment],"&gt;=0"),0)</x:f>
        <x:v>14.073529411764707</x:v>
      </x:c>
      <x:c r="G7" s="53" t="n">
        <x:f>IF(B7&lt;10,0,D7*SQRT(B7))</x:f>
        <x:v>8.660678549696698</x:v>
      </x:c>
      <x:c r="H7" s="3"/>
      <x:c r="I7" s="3"/>
      <x:c r="J7" s="59"/>
      <x:c r="K7" s="59"/>
      <x:c r="L7" s="59"/>
      <x:c r="M7" s="59"/>
      <x:c r="N7" s="59"/>
      <x:c r="O7" s="59"/>
      <x:c r="P7" s="59"/>
      <x:c r="Q7" s="59"/>
      <x:c r="R7" s="59"/>
      <x:c r="S7" s="59"/>
      <x:c r="T7" s="59"/>
      <x:c r="U7" s="59"/>
      <x:c r="V7" s="59"/>
      <x:c r="W7" s="59"/>
    </x:row>
    <x:row r="8">
      <x:c r="A8" s="38" t="str">
        <x:v>Recruiter C</x:v>
      </x:c>
      <x:c r="B8" s="18" t="n">
        <x:f>COUNTIF(WorkforceData[Recruiter],A8)</x:f>
        <x:v>124</x:v>
      </x:c>
      <x:c r="C8" s="18" t="n">
        <x:f>SUMIFS(WorkforceData[Success Flag],WorkforceData[Recruiter],A8)</x:f>
        <x:v>87</x:v>
      </x:c>
      <x:c r="D8" s="22" t="n">
        <x:f>C8/B8</x:f>
        <x:v>0.7016129032258065</x:v>
      </x:c>
      <x:c r="E8" s="22" t="n">
        <x:f>COUNTIFS(WorkforceData[Recruiter],A8,WorkforceData[Promoted],"Yes")/B8</x:f>
        <x:v>0.5483870967741935</x:v>
      </x:c>
      <x:c r="F8" s="52" t="n">
        <x:f>IFERROR(SUMIFS(WorkforceData[Days Between Training and Assignment],WorkforceData[Recruiter],A8)/COUNTIFS(WorkforceData[Recruiter],A8,WorkforceData[Days Between Training and Assignment],"&gt;=0"),0)</x:f>
        <x:v>16.701612903225808</x:v>
      </x:c>
      <x:c r="G8" s="53" t="n">
        <x:f>IF(B8&lt;10,0,D8*SQRT(B8))</x:f>
        <x:v>7.812830638164708</x:v>
      </x:c>
      <x:c r="H8" s="3"/>
      <x:c r="I8" s="3"/>
      <x:c r="J8" s="59"/>
      <x:c r="K8" s="59"/>
      <x:c r="L8" s="59"/>
      <x:c r="M8" s="59"/>
      <x:c r="N8" s="59"/>
      <x:c r="O8" s="59"/>
      <x:c r="P8" s="59"/>
      <x:c r="Q8" s="59"/>
      <x:c r="R8" s="59"/>
      <x:c r="S8" s="59"/>
      <x:c r="T8" s="59"/>
      <x:c r="U8" s="59"/>
      <x:c r="V8" s="59"/>
      <x:c r="W8" s="59"/>
    </x:row>
    <x:row r="9">
      <x:c r="A9" s="38" t="str">
        <x:v>Recruiter D</x:v>
      </x:c>
      <x:c r="B9" s="18" t="n">
        <x:f>COUNTIF(WorkforceData[Recruiter],A9)</x:f>
        <x:v>122</x:v>
      </x:c>
      <x:c r="C9" s="18" t="n">
        <x:f>SUMIFS(WorkforceData[Success Flag],WorkforceData[Recruiter],A9)</x:f>
        <x:v>82</x:v>
      </x:c>
      <x:c r="D9" s="22" t="n">
        <x:f>C9/B9</x:f>
        <x:v>0.6721311475409836</x:v>
      </x:c>
      <x:c r="E9" s="22" t="n">
        <x:f>COUNTIFS(WorkforceData[Recruiter],A9,WorkforceData[Promoted],"Yes")/B9</x:f>
        <x:v>0.5327868852459017</x:v>
      </x:c>
      <x:c r="F9" s="52" t="n">
        <x:f>IFERROR(SUMIFS(WorkforceData[Days Between Training and Assignment],WorkforceData[Recruiter],A9)/COUNTIFS(WorkforceData[Recruiter],A9,WorkforceData[Days Between Training and Assignment],"&gt;=0"),0)</x:f>
        <x:v>12.754098360655737</x:v>
      </x:c>
      <x:c r="G9" s="53" t="n">
        <x:f>IF(B9&lt;10,0,D9*SQRT(B9))</x:f>
        <x:v>7.423931175486519</x:v>
      </x:c>
      <x:c r="H9" s="3"/>
      <x:c r="I9" s="3"/>
      <x:c r="J9" s="59"/>
      <x:c r="K9" s="59"/>
      <x:c r="L9" s="59"/>
      <x:c r="M9" s="59"/>
      <x:c r="N9" s="59"/>
      <x:c r="O9" s="59"/>
      <x:c r="P9" s="59"/>
      <x:c r="Q9" s="59"/>
      <x:c r="R9" s="59"/>
      <x:c r="S9" s="59"/>
      <x:c r="T9" s="59"/>
      <x:c r="U9" s="59"/>
      <x:c r="V9" s="59"/>
      <x:c r="W9" s="59"/>
    </x:row>
    <x:row r="10">
      <x:c r="A10" s="38" t="str">
        <x:v>Recruiter E</x:v>
      </x:c>
      <x:c r="B10" s="18" t="n">
        <x:f>COUNTIF(WorkforceData[Recruiter],A10)</x:f>
        <x:v>118</x:v>
      </x:c>
      <x:c r="C10" s="18" t="n">
        <x:f>SUMIFS(WorkforceData[Success Flag],WorkforceData[Recruiter],A10)</x:f>
        <x:v>84</x:v>
      </x:c>
      <x:c r="D10" s="22" t="n">
        <x:f>C10/B10</x:f>
        <x:v>0.711864406779661</x:v>
      </x:c>
      <x:c r="E10" s="22" t="n">
        <x:f>COUNTIFS(WorkforceData[Recruiter],A10,WorkforceData[Promoted],"Yes")/B10</x:f>
        <x:v>0.5423728813559322</x:v>
      </x:c>
      <x:c r="F10" s="52" t="n">
        <x:f>IFERROR(SUMIFS(WorkforceData[Days Between Training and Assignment],WorkforceData[Recruiter],A10)/COUNTIFS(WorkforceData[Recruiter],A10,WorkforceData[Days Between Training and Assignment],"&gt;=0"),0)</x:f>
        <x:v>15.923728813559322</x:v>
      </x:c>
      <x:c r="G10" s="53" t="n">
        <x:f>IF(B10&lt;10,0,D10*SQRT(B10))</x:f>
        <x:v>7.732826790345916</x:v>
      </x:c>
      <x:c r="H10" s="3"/>
      <x:c r="I10" s="3"/>
      <x:c r="J10" s="59"/>
      <x:c r="K10" s="59"/>
      <x:c r="L10" s="59"/>
      <x:c r="M10" s="59"/>
      <x:c r="N10" s="59"/>
      <x:c r="O10" s="59"/>
      <x:c r="P10" s="59"/>
      <x:c r="Q10" s="59"/>
      <x:c r="R10" s="59"/>
      <x:c r="S10" s="59"/>
      <x:c r="T10" s="59"/>
      <x:c r="U10" s="59"/>
      <x:c r="V10" s="59"/>
      <x:c r="W10" s="59"/>
    </x:row>
    <x:row r="11">
      <x:c r="A11" s="38" t="str">
        <x:v>Recruiter F</x:v>
      </x:c>
      <x:c r="B11" s="18" t="n">
        <x:f>COUNTIF(WorkforceData[Recruiter],A11)</x:f>
        <x:v>138</x:v>
      </x:c>
      <x:c r="C11" s="18" t="n">
        <x:f>SUMIFS(WorkforceData[Success Flag],WorkforceData[Recruiter],A11)</x:f>
        <x:v>95</x:v>
      </x:c>
      <x:c r="D11" s="22" t="n">
        <x:f>C11/B11</x:f>
        <x:v>0.6884057971014492</x:v>
      </x:c>
      <x:c r="E11" s="22" t="n">
        <x:f>COUNTIFS(WorkforceData[Recruiter],A11,WorkforceData[Promoted],"Yes")/B11</x:f>
        <x:v>0.5434782608695652</x:v>
      </x:c>
      <x:c r="F11" s="52" t="n">
        <x:f>IFERROR(SUMIFS(WorkforceData[Days Between Training and Assignment],WorkforceData[Recruiter],A11)/COUNTIFS(WorkforceData[Recruiter],A11,WorkforceData[Days Between Training and Assignment],"&gt;=0"),0)</x:f>
        <x:v>13.579710144927537</x:v>
      </x:c>
      <x:c r="G11" s="53" t="n">
        <x:f>IF(B11&lt;10,0,D11*SQRT(B11))</x:f>
        <x:v>8.086937042208111</x:v>
      </x:c>
      <x:c r="H11" s="3"/>
      <x:c r="I11" s="3"/>
      <x:c r="J11" s="59"/>
      <x:c r="K11" s="59"/>
      <x:c r="L11" s="59"/>
      <x:c r="M11" s="59"/>
      <x:c r="N11" s="59"/>
      <x:c r="O11" s="59"/>
      <x:c r="P11" s="59"/>
      <x:c r="Q11" s="59"/>
      <x:c r="R11" s="59"/>
      <x:c r="S11" s="59"/>
      <x:c r="T11" s="59"/>
      <x:c r="U11" s="59"/>
      <x:c r="V11" s="59"/>
      <x:c r="W11" s="59"/>
    </x:row>
    <x:row r="12">
      <x:c r="A12" s="38" t="str">
        <x:v>Recruiter G</x:v>
      </x:c>
      <x:c r="B12" s="18" t="n">
        <x:f>COUNTIF(WorkforceData[Recruiter],A12)</x:f>
        <x:v>149</x:v>
      </x:c>
      <x:c r="C12" s="18" t="n">
        <x:f>SUMIFS(WorkforceData[Success Flag],WorkforceData[Recruiter],A12)</x:f>
        <x:v>102</x:v>
      </x:c>
      <x:c r="D12" s="22" t="n">
        <x:f>C12/B12</x:f>
        <x:v>0.6845637583892618</x:v>
      </x:c>
      <x:c r="E12" s="22" t="n">
        <x:f>COUNTIFS(WorkforceData[Recruiter],A12,WorkforceData[Promoted],"Yes")/B12</x:f>
        <x:v>0.47651006711409394</x:v>
      </x:c>
      <x:c r="F12" s="52" t="n">
        <x:f>IFERROR(SUMIFS(WorkforceData[Days Between Training and Assignment],WorkforceData[Recruiter],A12)/COUNTIFS(WorkforceData[Recruiter],A12,WorkforceData[Days Between Training and Assignment],"&gt;=0"),0)</x:f>
        <x:v>15.241610738255034</x:v>
      </x:c>
      <x:c r="G12" s="53" t="n">
        <x:f>IF(B12&lt;10,0,D12*SQRT(B12))</x:f>
        <x:v>8.356165589294212</x:v>
      </x:c>
      <x:c r="H12" s="3"/>
      <x:c r="I12" s="3"/>
      <x:c r="J12" s="59"/>
      <x:c r="K12" s="59"/>
      <x:c r="L12" s="59"/>
      <x:c r="M12" s="59"/>
      <x:c r="N12" s="59"/>
      <x:c r="O12" s="59"/>
      <x:c r="P12" s="59"/>
      <x:c r="Q12" s="59"/>
      <x:c r="R12" s="59"/>
      <x:c r="S12" s="59"/>
      <x:c r="T12" s="59"/>
      <x:c r="U12" s="59"/>
      <x:c r="V12" s="59"/>
      <x:c r="W12" s="59"/>
    </x:row>
    <x:row r="13">
      <x:c r="A13" s="40" t="str">
        <x:v>Recruiter H</x:v>
      </x:c>
      <x:c r="B13" s="20" t="n">
        <x:f>COUNTIF(WorkforceData[Recruiter],A13)</x:f>
        <x:v>125</x:v>
      </x:c>
      <x:c r="C13" s="20" t="n">
        <x:f>SUMIFS(WorkforceData[Success Flag],WorkforceData[Recruiter],A13)</x:f>
        <x:v>85</x:v>
      </x:c>
      <x:c r="D13" s="23" t="n">
        <x:f>C13/B13</x:f>
        <x:v>0.68</x:v>
      </x:c>
      <x:c r="E13" s="23" t="n">
        <x:f>COUNTIFS(WorkforceData[Recruiter],A13,WorkforceData[Promoted],"Yes")/B13</x:f>
        <x:v>0.536</x:v>
      </x:c>
      <x:c r="F13" s="54" t="n">
        <x:f>IFERROR(SUMIFS(WorkforceData[Days Between Training and Assignment],WorkforceData[Recruiter],A13)/COUNTIFS(WorkforceData[Recruiter],A13,WorkforceData[Days Between Training and Assignment],"&gt;=0"),0)</x:f>
        <x:v>17.648</x:v>
      </x:c>
      <x:c r="G13" s="55" t="n">
        <x:f>IF(B13&lt;10,0,D13*SQRT(B13))</x:f>
        <x:v>7.602631123499286</x:v>
      </x:c>
      <x:c r="H13" s="3"/>
      <x:c r="I13" s="3"/>
      <x:c r="J13" s="59"/>
      <x:c r="K13" s="59"/>
      <x:c r="L13" s="59"/>
      <x:c r="M13" s="59"/>
      <x:c r="N13" s="59"/>
      <x:c r="O13" s="59"/>
      <x:c r="P13" s="59"/>
      <x:c r="Q13" s="59"/>
      <x:c r="R13" s="59"/>
      <x:c r="S13" s="59"/>
      <x:c r="T13" s="59"/>
      <x:c r="U13" s="59"/>
      <x:c r="V13" s="59"/>
      <x:c r="W13" s="59"/>
    </x:row>
    <x:row r="14">
      <x:c r="A14" s="3"/>
      <x:c r="B14" s="3"/>
      <x:c r="C14" s="3"/>
      <x:c r="D14" s="3"/>
      <x:c r="E14" s="3"/>
      <x:c r="F14" s="3"/>
      <x:c r="G14" s="3"/>
      <x:c r="H14" s="3"/>
      <x:c r="I14" s="3"/>
      <x:c r="J14" s="59"/>
      <x:c r="K14" s="59"/>
      <x:c r="L14" s="59"/>
      <x:c r="M14" s="59"/>
      <x:c r="N14" s="59"/>
      <x:c r="O14" s="59"/>
      <x:c r="P14" s="59"/>
      <x:c r="Q14" s="59"/>
      <x:c r="R14" s="59"/>
      <x:c r="S14" s="59"/>
      <x:c r="T14" s="59"/>
      <x:c r="U14" s="59"/>
      <x:c r="V14" s="59"/>
      <x:c r="W14" s="59"/>
    </x:row>
    <x:row r="15">
      <x:c r="A15" s="56" t="s">
        <x:v>79</x:v>
      </x:c>
      <x:c r="B15" s="57"/>
      <x:c r="C15" s="57"/>
      <x:c r="D15" s="58" t="str">
        <x:v>Recruiter B | 74.3% success | n=136</x:v>
      </x:c>
      <x:c r="E15" s="58"/>
      <x:c r="F15" s="58"/>
      <x:c r="G15" s="58"/>
      <x:c r="H15" s="3"/>
      <x:c r="I15" s="3"/>
      <x:c r="J15" s="59"/>
      <x:c r="K15" s="59"/>
      <x:c r="L15" s="59"/>
      <x:c r="M15" s="59"/>
      <x:c r="N15" s="59"/>
      <x:c r="O15" s="59"/>
      <x:c r="P15" s="59"/>
      <x:c r="Q15" s="59"/>
      <x:c r="R15" s="59"/>
      <x:c r="S15" s="59"/>
      <x:c r="T15" s="59"/>
      <x:c r="U15" s="59"/>
      <x:c r="V15" s="59"/>
      <x:c r="W15" s="59"/>
    </x:row>
    <x:row r="16">
      <x:c r="A16" s="59"/>
      <x:c r="B16" s="59"/>
      <x:c r="C16" s="59"/>
      <x:c r="D16" s="59"/>
      <x:c r="E16" s="59"/>
      <x:c r="F16" s="59"/>
      <x:c r="G16" s="59"/>
      <x:c r="H16" s="59"/>
      <x:c r="I16" s="59"/>
      <x:c r="J16" s="59"/>
      <x:c r="K16" s="59"/>
      <x:c r="L16" s="59"/>
      <x:c r="M16" s="59"/>
      <x:c r="N16" s="59"/>
      <x:c r="O16" s="59"/>
      <x:c r="P16" s="59"/>
      <x:c r="Q16" s="59"/>
      <x:c r="R16" s="59"/>
      <x:c r="S16" s="59"/>
      <x:c r="T16" s="59"/>
      <x:c r="U16" s="59"/>
      <x:c r="V16" s="59"/>
      <x:c r="W16" s="59"/>
    </x:row>
    <x:row r="17">
      <x:c r="A17" s="59"/>
      <x:c r="B17" s="59"/>
      <x:c r="C17" s="59"/>
      <x:c r="D17" s="59"/>
      <x:c r="E17" s="59"/>
      <x:c r="F17" s="59"/>
      <x:c r="G17" s="59"/>
      <x:c r="H17" s="59"/>
      <x:c r="I17" s="59"/>
      <x:c r="J17" s="59"/>
      <x:c r="K17" s="59"/>
      <x:c r="L17" s="59"/>
      <x:c r="M17" s="59"/>
      <x:c r="N17" s="59"/>
      <x:c r="O17" s="59"/>
      <x:c r="P17" s="59"/>
      <x:c r="Q17" s="59"/>
      <x:c r="R17" s="59"/>
      <x:c r="S17" s="59"/>
      <x:c r="T17" s="59"/>
      <x:c r="U17" s="59"/>
      <x:c r="V17" s="59"/>
      <x:c r="W17" s="59"/>
    </x:row>
    <x:row r="18">
      <x:c r="A18" s="59"/>
      <x:c r="B18" s="59"/>
      <x:c r="C18" s="59"/>
      <x:c r="D18" s="59"/>
      <x:c r="E18" s="59"/>
      <x:c r="F18" s="59"/>
      <x:c r="G18" s="59"/>
      <x:c r="H18" s="59"/>
      <x:c r="I18" s="59"/>
      <x:c r="J18" s="59"/>
      <x:c r="K18" s="59"/>
      <x:c r="L18" s="59"/>
      <x:c r="M18" s="59"/>
      <x:c r="N18" s="59"/>
      <x:c r="O18" s="59"/>
      <x:c r="P18" s="59"/>
      <x:c r="Q18" s="59"/>
      <x:c r="R18" s="59"/>
      <x:c r="S18" s="59"/>
      <x:c r="T18" s="59"/>
      <x:c r="U18" s="59"/>
      <x:c r="V18" s="59"/>
      <x:c r="W18" s="59"/>
    </x:row>
    <x:row r="19">
      <x:c r="A19" s="59"/>
      <x:c r="B19" s="59"/>
      <x:c r="C19" s="59"/>
      <x:c r="D19" s="59"/>
      <x:c r="E19" s="59"/>
      <x:c r="F19" s="59"/>
      <x:c r="G19" s="59"/>
      <x:c r="H19" s="59"/>
      <x:c r="I19" s="59"/>
      <x:c r="J19" s="59"/>
      <x:c r="K19" s="59"/>
      <x:c r="L19" s="59"/>
      <x:c r="M19" s="59"/>
      <x:c r="N19" s="59"/>
      <x:c r="O19" s="59"/>
      <x:c r="P19" s="59"/>
      <x:c r="Q19" s="59"/>
      <x:c r="R19" s="59"/>
      <x:c r="S19" s="59"/>
      <x:c r="T19" s="59"/>
      <x:c r="U19" s="59"/>
      <x:c r="V19" s="59"/>
      <x:c r="W19" s="59"/>
    </x:row>
    <x:row r="20">
      <x:c r="A20" s="59"/>
      <x:c r="B20" s="59"/>
      <x:c r="C20" s="59"/>
      <x:c r="D20" s="59"/>
      <x:c r="E20" s="59"/>
      <x:c r="F20" s="59"/>
      <x:c r="G20" s="59"/>
      <x:c r="H20" s="59"/>
      <x:c r="I20" s="59"/>
      <x:c r="J20" s="59"/>
      <x:c r="K20" s="59"/>
      <x:c r="L20" s="59"/>
      <x:c r="M20" s="59"/>
      <x:c r="N20" s="59"/>
      <x:c r="O20" s="59"/>
      <x:c r="P20" s="59"/>
      <x:c r="Q20" s="59"/>
      <x:c r="R20" s="59"/>
      <x:c r="S20" s="59"/>
      <x:c r="T20" s="59"/>
      <x:c r="U20" s="59"/>
      <x:c r="V20" s="59"/>
      <x:c r="W20" s="59"/>
    </x:row>
    <x:row r="21">
      <x:c r="A21" s="59"/>
      <x:c r="B21" s="59"/>
      <x:c r="C21" s="59"/>
      <x:c r="D21" s="59"/>
      <x:c r="E21" s="59"/>
      <x:c r="F21" s="59"/>
      <x:c r="G21" s="59"/>
      <x:c r="H21" s="59"/>
      <x:c r="I21" s="59"/>
      <x:c r="J21" s="59"/>
      <x:c r="K21" s="59"/>
      <x:c r="L21" s="59"/>
      <x:c r="M21" s="59"/>
      <x:c r="N21" s="59"/>
      <x:c r="O21" s="59"/>
      <x:c r="P21" s="59"/>
      <x:c r="Q21" s="59"/>
      <x:c r="R21" s="59"/>
      <x:c r="S21" s="59"/>
      <x:c r="T21" s="59"/>
      <x:c r="U21" s="59"/>
      <x:c r="V21" s="59"/>
      <x:c r="W21" s="59"/>
    </x:row>
    <x:row r="22">
      <x:c r="A22" s="59"/>
      <x:c r="B22" s="59"/>
      <x:c r="C22" s="59"/>
      <x:c r="D22" s="59"/>
      <x:c r="E22" s="59"/>
      <x:c r="F22" s="59"/>
      <x:c r="G22" s="59"/>
      <x:c r="H22" s="59"/>
      <x:c r="I22" s="59"/>
      <x:c r="J22" s="59"/>
      <x:c r="K22" s="59"/>
      <x:c r="L22" s="59"/>
      <x:c r="M22" s="59"/>
      <x:c r="N22" s="59"/>
      <x:c r="O22" s="59"/>
      <x:c r="P22" s="59"/>
      <x:c r="Q22" s="59"/>
      <x:c r="R22" s="59"/>
      <x:c r="S22" s="59"/>
      <x:c r="T22" s="59"/>
      <x:c r="U22" s="59"/>
      <x:c r="V22" s="59"/>
      <x:c r="W22" s="59"/>
    </x:row>
    <x:row r="23">
      <x:c r="A23" s="59"/>
      <x:c r="B23" s="59"/>
      <x:c r="C23" s="59"/>
      <x:c r="D23" s="59"/>
      <x:c r="E23" s="59"/>
      <x:c r="F23" s="59"/>
      <x:c r="G23" s="59"/>
      <x:c r="H23" s="59"/>
      <x:c r="I23" s="59"/>
      <x:c r="J23" s="59"/>
      <x:c r="K23" s="59"/>
      <x:c r="L23" s="59"/>
      <x:c r="M23" s="59"/>
      <x:c r="N23" s="59"/>
      <x:c r="O23" s="59"/>
      <x:c r="P23" s="59"/>
      <x:c r="Q23" s="59"/>
      <x:c r="R23" s="59"/>
      <x:c r="S23" s="59"/>
      <x:c r="T23" s="59"/>
      <x:c r="U23" s="59"/>
      <x:c r="V23" s="59"/>
      <x:c r="W23" s="59"/>
    </x:row>
    <x:row r="24">
      <x:c r="A24" s="59"/>
      <x:c r="B24" s="59"/>
      <x:c r="C24" s="59"/>
      <x:c r="D24" s="59"/>
      <x:c r="E24" s="59"/>
      <x:c r="F24" s="59"/>
      <x:c r="G24" s="59"/>
      <x:c r="H24" s="59"/>
      <x:c r="I24" s="59"/>
      <x:c r="J24" s="59"/>
      <x:c r="K24" s="59"/>
      <x:c r="L24" s="59"/>
      <x:c r="M24" s="59"/>
      <x:c r="N24" s="59"/>
      <x:c r="O24" s="59"/>
      <x:c r="P24" s="59"/>
      <x:c r="Q24" s="59"/>
      <x:c r="R24" s="59"/>
      <x:c r="S24" s="59"/>
      <x:c r="T24" s="59"/>
      <x:c r="U24" s="59"/>
      <x:c r="V24" s="59"/>
      <x:c r="W24" s="59"/>
    </x:row>
    <x:row r="25">
      <x:c r="A25" s="59"/>
      <x:c r="B25" s="59"/>
      <x:c r="C25" s="59"/>
      <x:c r="D25" s="59"/>
      <x:c r="E25" s="59"/>
      <x:c r="F25" s="59"/>
      <x:c r="G25" s="59"/>
      <x:c r="H25" s="59"/>
      <x:c r="I25" s="59"/>
      <x:c r="J25" s="59"/>
      <x:c r="K25" s="59"/>
      <x:c r="L25" s="59"/>
      <x:c r="M25" s="59"/>
      <x:c r="N25" s="59"/>
      <x:c r="O25" s="59"/>
      <x:c r="P25" s="59"/>
      <x:c r="Q25" s="59"/>
      <x:c r="R25" s="59"/>
      <x:c r="S25" s="59"/>
      <x:c r="T25" s="59"/>
      <x:c r="U25" s="59"/>
      <x:c r="V25" s="59"/>
      <x:c r="W25" s="59"/>
    </x:row>
    <x:row r="26">
      <x:c r="A26" s="59"/>
      <x:c r="B26" s="59"/>
      <x:c r="C26" s="59"/>
      <x:c r="D26" s="59"/>
      <x:c r="E26" s="59"/>
      <x:c r="F26" s="59"/>
      <x:c r="G26" s="59"/>
      <x:c r="H26" s="59"/>
      <x:c r="I26" s="59"/>
      <x:c r="J26" s="59"/>
      <x:c r="K26" s="59"/>
      <x:c r="L26" s="59"/>
      <x:c r="M26" s="59"/>
      <x:c r="N26" s="59"/>
      <x:c r="O26" s="59"/>
      <x:c r="P26" s="59"/>
      <x:c r="Q26" s="59"/>
      <x:c r="R26" s="59"/>
      <x:c r="S26" s="59"/>
      <x:c r="T26" s="59"/>
      <x:c r="U26" s="59"/>
      <x:c r="V26" s="59"/>
      <x:c r="W26" s="59"/>
    </x:row>
    <x:row r="27">
      <x:c r="A27" s="59"/>
      <x:c r="B27" s="59"/>
      <x:c r="C27" s="59"/>
      <x:c r="D27" s="59"/>
      <x:c r="E27" s="59"/>
      <x:c r="F27" s="59"/>
      <x:c r="G27" s="59"/>
      <x:c r="H27" s="59"/>
      <x:c r="I27" s="59"/>
      <x:c r="J27" s="59"/>
      <x:c r="K27" s="59"/>
      <x:c r="L27" s="59"/>
      <x:c r="M27" s="59"/>
      <x:c r="N27" s="59"/>
      <x:c r="O27" s="59"/>
      <x:c r="P27" s="59"/>
      <x:c r="Q27" s="59"/>
      <x:c r="R27" s="59"/>
      <x:c r="S27" s="59"/>
      <x:c r="T27" s="59"/>
      <x:c r="U27" s="59"/>
      <x:c r="V27" s="59"/>
      <x:c r="W27" s="59"/>
    </x:row>
    <x:row r="28">
      <x:c r="A28" s="59"/>
      <x:c r="B28" s="59"/>
      <x:c r="C28" s="59"/>
      <x:c r="D28" s="59"/>
      <x:c r="E28" s="59"/>
      <x:c r="F28" s="59"/>
      <x:c r="G28" s="59"/>
      <x:c r="H28" s="59"/>
      <x:c r="I28" s="59"/>
      <x:c r="J28" s="59"/>
      <x:c r="K28" s="59"/>
      <x:c r="L28" s="59"/>
      <x:c r="M28" s="59"/>
      <x:c r="N28" s="59"/>
      <x:c r="O28" s="59"/>
      <x:c r="P28" s="59"/>
      <x:c r="Q28" s="59"/>
      <x:c r="R28" s="59"/>
      <x:c r="S28" s="59"/>
      <x:c r="T28" s="59"/>
      <x:c r="U28" s="59"/>
      <x:c r="V28" s="59"/>
      <x:c r="W28" s="59"/>
    </x:row>
    <x:row r="29">
      <x:c r="A29" s="59"/>
      <x:c r="B29" s="59"/>
      <x:c r="C29" s="59"/>
      <x:c r="D29" s="59"/>
      <x:c r="E29" s="59"/>
      <x:c r="F29" s="59"/>
      <x:c r="G29" s="59"/>
      <x:c r="H29" s="59"/>
      <x:c r="I29" s="59"/>
      <x:c r="J29" s="59"/>
      <x:c r="K29" s="59"/>
      <x:c r="L29" s="59"/>
      <x:c r="M29" s="59"/>
      <x:c r="N29" s="59"/>
      <x:c r="O29" s="59"/>
      <x:c r="P29" s="59"/>
      <x:c r="Q29" s="59"/>
      <x:c r="R29" s="59"/>
      <x:c r="S29" s="59"/>
      <x:c r="T29" s="59"/>
      <x:c r="U29" s="59"/>
      <x:c r="V29" s="59"/>
      <x:c r="W29" s="59"/>
    </x:row>
    <x:row r="30">
      <x:c r="A30" s="59"/>
      <x:c r="B30" s="59"/>
      <x:c r="C30" s="59"/>
      <x:c r="D30" s="59"/>
      <x:c r="E30" s="59"/>
      <x:c r="F30" s="59"/>
      <x:c r="G30" s="59"/>
      <x:c r="H30" s="59"/>
      <x:c r="I30" s="59"/>
      <x:c r="J30" s="59"/>
      <x:c r="K30" s="59"/>
      <x:c r="L30" s="59"/>
      <x:c r="M30" s="59"/>
      <x:c r="N30" s="59"/>
      <x:c r="O30" s="59"/>
      <x:c r="P30" s="59"/>
      <x:c r="Q30" s="59"/>
      <x:c r="R30" s="59"/>
      <x:c r="S30" s="59"/>
      <x:c r="T30" s="59"/>
      <x:c r="U30" s="59"/>
      <x:c r="V30" s="59"/>
      <x:c r="W30" s="59"/>
    </x:row>
    <x:row r="31">
      <x:c r="A31" s="59"/>
      <x:c r="B31" s="59"/>
      <x:c r="C31" s="59"/>
      <x:c r="D31" s="59"/>
      <x:c r="E31" s="59"/>
      <x:c r="F31" s="59"/>
      <x:c r="G31" s="59"/>
      <x:c r="H31" s="59"/>
      <x:c r="I31" s="59"/>
      <x:c r="J31" s="59"/>
      <x:c r="K31" s="59"/>
      <x:c r="L31" s="59"/>
      <x:c r="M31" s="59"/>
      <x:c r="N31" s="59"/>
      <x:c r="O31" s="59"/>
      <x:c r="P31" s="59"/>
      <x:c r="Q31" s="59"/>
      <x:c r="R31" s="59"/>
      <x:c r="S31" s="59"/>
      <x:c r="T31" s="59"/>
      <x:c r="U31" s="59"/>
      <x:c r="V31" s="59"/>
      <x:c r="W31" s="59"/>
    </x:row>
    <x:row r="32">
      <x:c r="A32" s="59"/>
      <x:c r="B32" s="59"/>
      <x:c r="C32" s="59"/>
      <x:c r="D32" s="59"/>
      <x:c r="E32" s="59"/>
      <x:c r="F32" s="59"/>
      <x:c r="G32" s="59"/>
      <x:c r="H32" s="59"/>
      <x:c r="I32" s="59"/>
      <x:c r="J32" s="59"/>
      <x:c r="K32" s="59"/>
      <x:c r="L32" s="59"/>
      <x:c r="M32" s="59"/>
      <x:c r="N32" s="59"/>
      <x:c r="O32" s="59"/>
      <x:c r="P32" s="59"/>
      <x:c r="Q32" s="59"/>
      <x:c r="R32" s="59"/>
      <x:c r="S32" s="59"/>
      <x:c r="T32" s="59"/>
      <x:c r="U32" s="59"/>
      <x:c r="V32" s="59"/>
      <x:c r="W32" s="59"/>
    </x:row>
    <x:row r="33">
      <x:c r="A33" s="59"/>
      <x:c r="B33" s="59"/>
      <x:c r="C33" s="59"/>
      <x:c r="D33" s="59"/>
      <x:c r="E33" s="59"/>
      <x:c r="F33" s="59"/>
      <x:c r="G33" s="59"/>
      <x:c r="H33" s="59"/>
      <x:c r="I33" s="59"/>
      <x:c r="J33" s="59"/>
      <x:c r="K33" s="59"/>
      <x:c r="L33" s="59"/>
      <x:c r="M33" s="59"/>
      <x:c r="N33" s="59"/>
      <x:c r="O33" s="59"/>
      <x:c r="P33" s="59"/>
      <x:c r="Q33" s="59"/>
      <x:c r="R33" s="59"/>
      <x:c r="S33" s="59"/>
      <x:c r="T33" s="59"/>
      <x:c r="U33" s="59"/>
      <x:c r="V33" s="59"/>
      <x:c r="W33" s="59"/>
    </x:row>
    <x:row r="34">
      <x:c r="A34" s="59"/>
      <x:c r="B34" s="59"/>
      <x:c r="C34" s="59"/>
      <x:c r="D34" s="59"/>
      <x:c r="E34" s="59"/>
      <x:c r="F34" s="59"/>
      <x:c r="G34" s="59"/>
      <x:c r="H34" s="59"/>
      <x:c r="I34" s="59"/>
      <x:c r="J34" s="59"/>
      <x:c r="K34" s="59"/>
      <x:c r="L34" s="59"/>
      <x:c r="M34" s="59"/>
      <x:c r="N34" s="59"/>
      <x:c r="O34" s="59"/>
      <x:c r="P34" s="59"/>
      <x:c r="Q34" s="59"/>
      <x:c r="R34" s="59"/>
      <x:c r="S34" s="59"/>
      <x:c r="T34" s="59"/>
      <x:c r="U34" s="59"/>
      <x:c r="V34" s="59"/>
      <x:c r="W34" s="59"/>
    </x:row>
    <x:row r="35">
      <x:c r="A35" s="59"/>
      <x:c r="B35" s="59"/>
      <x:c r="C35" s="59"/>
      <x:c r="D35" s="59"/>
      <x:c r="E35" s="59"/>
      <x:c r="F35" s="59"/>
      <x:c r="G35" s="59"/>
      <x:c r="H35" s="59"/>
      <x:c r="I35" s="59"/>
      <x:c r="J35" s="59"/>
      <x:c r="K35" s="59"/>
      <x:c r="L35" s="59"/>
      <x:c r="M35" s="59"/>
      <x:c r="N35" s="59"/>
      <x:c r="O35" s="59"/>
      <x:c r="P35" s="59"/>
      <x:c r="Q35" s="59"/>
      <x:c r="R35" s="59"/>
      <x:c r="S35" s="59"/>
      <x:c r="T35" s="59"/>
      <x:c r="U35" s="59"/>
      <x:c r="V35" s="59"/>
      <x:c r="W35" s="59"/>
    </x:row>
    <x:row r="36">
      <x:c r="A36" s="59"/>
      <x:c r="B36" s="59"/>
      <x:c r="C36" s="59"/>
      <x:c r="D36" s="59"/>
      <x:c r="E36" s="59"/>
      <x:c r="F36" s="59"/>
      <x:c r="G36" s="59"/>
      <x:c r="H36" s="59"/>
      <x:c r="I36" s="59"/>
      <x:c r="J36" s="59"/>
      <x:c r="K36" s="59"/>
      <x:c r="L36" s="59"/>
      <x:c r="M36" s="59"/>
      <x:c r="N36" s="59"/>
      <x:c r="O36" s="59"/>
      <x:c r="P36" s="59"/>
      <x:c r="Q36" s="59"/>
      <x:c r="R36" s="59"/>
      <x:c r="S36" s="59"/>
      <x:c r="T36" s="59"/>
      <x:c r="U36" s="59"/>
      <x:c r="V36" s="59"/>
      <x:c r="W36" s="59"/>
    </x:row>
    <x:row r="37">
      <x:c r="A37" s="59"/>
      <x:c r="B37" s="59"/>
      <x:c r="C37" s="59"/>
      <x:c r="D37" s="59"/>
      <x:c r="E37" s="59"/>
      <x:c r="F37" s="59"/>
      <x:c r="G37" s="59"/>
      <x:c r="H37" s="59"/>
      <x:c r="I37" s="59"/>
      <x:c r="J37" s="59"/>
      <x:c r="K37" s="59"/>
      <x:c r="L37" s="59"/>
      <x:c r="M37" s="59"/>
      <x:c r="N37" s="59"/>
      <x:c r="O37" s="59"/>
      <x:c r="P37" s="59"/>
      <x:c r="Q37" s="59"/>
      <x:c r="R37" s="59"/>
      <x:c r="S37" s="59"/>
      <x:c r="T37" s="59"/>
      <x:c r="U37" s="59"/>
      <x:c r="V37" s="59"/>
      <x:c r="W37" s="59"/>
    </x:row>
    <x:row r="38">
      <x:c r="A38" s="59"/>
      <x:c r="B38" s="59"/>
      <x:c r="C38" s="59"/>
      <x:c r="D38" s="59"/>
      <x:c r="E38" s="59"/>
      <x:c r="F38" s="59"/>
      <x:c r="G38" s="59"/>
      <x:c r="H38" s="59"/>
      <x:c r="I38" s="59"/>
      <x:c r="J38" s="59"/>
      <x:c r="K38" s="59"/>
      <x:c r="L38" s="59"/>
      <x:c r="M38" s="59"/>
      <x:c r="N38" s="59"/>
      <x:c r="O38" s="59"/>
      <x:c r="P38" s="59"/>
      <x:c r="Q38" s="59"/>
      <x:c r="R38" s="59"/>
      <x:c r="S38" s="59"/>
      <x:c r="T38" s="59"/>
      <x:c r="U38" s="59"/>
      <x:c r="V38" s="59"/>
      <x:c r="W38" s="59"/>
    </x:row>
    <x:row r="39">
      <x:c r="A39" s="59"/>
      <x:c r="B39" s="59"/>
      <x:c r="C39" s="59"/>
      <x:c r="D39" s="59"/>
      <x:c r="E39" s="59"/>
      <x:c r="F39" s="59"/>
      <x:c r="G39" s="59"/>
      <x:c r="H39" s="59"/>
      <x:c r="I39" s="59"/>
      <x:c r="J39" s="59"/>
      <x:c r="K39" s="59"/>
      <x:c r="L39" s="59"/>
      <x:c r="M39" s="59"/>
      <x:c r="N39" s="59"/>
      <x:c r="O39" s="59"/>
      <x:c r="P39" s="59"/>
      <x:c r="Q39" s="59"/>
      <x:c r="R39" s="59"/>
      <x:c r="S39" s="59"/>
      <x:c r="T39" s="59"/>
      <x:c r="U39" s="59"/>
      <x:c r="V39" s="59"/>
      <x:c r="W39" s="59"/>
    </x:row>
    <x:row r="40">
      <x:c r="A40" s="59"/>
      <x:c r="B40" s="59"/>
      <x:c r="C40" s="59"/>
      <x:c r="D40" s="59"/>
      <x:c r="E40" s="59"/>
      <x:c r="F40" s="59"/>
      <x:c r="G40" s="59"/>
      <x:c r="H40" s="59"/>
      <x:c r="I40" s="59"/>
      <x:c r="J40" s="59"/>
      <x:c r="K40" s="59"/>
      <x:c r="L40" s="59"/>
      <x:c r="M40" s="59"/>
      <x:c r="N40" s="59"/>
      <x:c r="O40" s="59"/>
      <x:c r="P40" s="59"/>
      <x:c r="Q40" s="59"/>
      <x:c r="R40" s="59"/>
      <x:c r="S40" s="59"/>
      <x:c r="T40" s="59"/>
      <x:c r="U40" s="59"/>
      <x:c r="V40" s="59"/>
      <x:c r="W40" s="59"/>
    </x:row>
    <x:row r="41">
      <x:c r="A41" s="59"/>
      <x:c r="B41" s="59"/>
      <x:c r="C41" s="59"/>
      <x:c r="D41" s="59"/>
      <x:c r="E41" s="59"/>
      <x:c r="F41" s="59"/>
      <x:c r="G41" s="59"/>
      <x:c r="H41" s="59"/>
      <x:c r="I41" s="59"/>
      <x:c r="J41" s="59"/>
      <x:c r="K41" s="59"/>
      <x:c r="L41" s="59"/>
      <x:c r="M41" s="59"/>
      <x:c r="N41" s="59"/>
      <x:c r="O41" s="59"/>
      <x:c r="P41" s="59"/>
      <x:c r="Q41" s="59"/>
      <x:c r="R41" s="59"/>
      <x:c r="S41" s="59"/>
      <x:c r="T41" s="59"/>
      <x:c r="U41" s="59"/>
      <x:c r="V41" s="59"/>
      <x:c r="W41" s="59"/>
    </x:row>
    <x:row r="42">
      <x:c r="A42" s="59"/>
      <x:c r="B42" s="59"/>
      <x:c r="C42" s="59"/>
      <x:c r="D42" s="59"/>
      <x:c r="E42" s="59"/>
      <x:c r="F42" s="59"/>
      <x:c r="G42" s="59"/>
      <x:c r="H42" s="59"/>
      <x:c r="I42" s="59"/>
      <x:c r="J42" s="59"/>
      <x:c r="K42" s="59"/>
      <x:c r="L42" s="59"/>
      <x:c r="M42" s="59"/>
      <x:c r="N42" s="59"/>
      <x:c r="O42" s="59"/>
      <x:c r="P42" s="59"/>
      <x:c r="Q42" s="59"/>
      <x:c r="R42" s="59"/>
      <x:c r="S42" s="59"/>
      <x:c r="T42" s="59"/>
      <x:c r="U42" s="59"/>
      <x:c r="V42" s="59"/>
      <x:c r="W42" s="59"/>
    </x:row>
    <x:row r="43">
      <x:c r="A43" s="59"/>
      <x:c r="B43" s="59"/>
      <x:c r="C43" s="59"/>
      <x:c r="D43" s="59"/>
      <x:c r="E43" s="59"/>
      <x:c r="F43" s="59"/>
      <x:c r="G43" s="59"/>
      <x:c r="H43" s="59"/>
      <x:c r="I43" s="59"/>
      <x:c r="J43" s="59"/>
      <x:c r="K43" s="59"/>
      <x:c r="L43" s="59"/>
      <x:c r="M43" s="59"/>
      <x:c r="N43" s="59"/>
      <x:c r="O43" s="59"/>
      <x:c r="P43" s="59"/>
      <x:c r="Q43" s="59"/>
      <x:c r="R43" s="59"/>
      <x:c r="S43" s="59"/>
      <x:c r="T43" s="59"/>
      <x:c r="U43" s="59"/>
      <x:c r="V43" s="59"/>
      <x:c r="W43" s="59"/>
    </x:row>
    <x:row r="44">
      <x:c r="A44" s="59"/>
      <x:c r="B44" s="59"/>
      <x:c r="C44" s="59"/>
      <x:c r="D44" s="59"/>
      <x:c r="E44" s="59"/>
      <x:c r="F44" s="59"/>
      <x:c r="G44" s="59"/>
      <x:c r="H44" s="59"/>
      <x:c r="I44" s="59"/>
      <x:c r="J44" s="59"/>
      <x:c r="K44" s="59"/>
      <x:c r="L44" s="59"/>
      <x:c r="M44" s="59"/>
      <x:c r="N44" s="59"/>
      <x:c r="O44" s="59"/>
      <x:c r="P44" s="59"/>
      <x:c r="Q44" s="59"/>
      <x:c r="R44" s="59"/>
      <x:c r="S44" s="59"/>
      <x:c r="T44" s="59"/>
      <x:c r="U44" s="59"/>
      <x:c r="V44" s="59"/>
      <x:c r="W44" s="59"/>
    </x:row>
  </x:sheetData>
  <x:mergeCells>
    <x:mergeCell ref="A1:I1"/>
    <x:mergeCell ref="A2:I2"/>
    <x:mergeCell ref="A3:I3"/>
    <x:mergeCell ref="A15:C15"/>
    <x:mergeCell ref="D15:G15"/>
  </x:mergeCells>
  <x:conditionalFormatting sqref="A6:G13">
    <x:cfRule type="expression" dxfId="7" priority="1">
      <x:formula>MOD(ROW()-6,2)=1</x:formula>
    </x:cfRule>
  </x:conditionalFormatting>
  <x:pageMargins left="0.7" right="0.7" top="0.75" bottom="0.75" header="0.3" footer="0.3"/>
  <x:drawing xmlns:r="http://schemas.openxmlformats.org/officeDocument/2006/relationships" r:id="R52e914cf8aa34496"/>
</x:worksheet>
</file>

<file path=xl/worksheets/sheet7.xml><?xml version="1.0" encoding="utf-8"?>
<x:worksheet xmlns:x="http://schemas.openxmlformats.org/spreadsheetml/2006/main">
  <x:sheetFormatPr defaultRowHeight="14.5"/>
  <x:cols>
    <x:col min="1" max="1" width="20" customWidth="1"/>
    <x:col min="2" max="2" width="13.08984375" customWidth="1"/>
    <x:col min="3" max="3" width="15.26953125" customWidth="1"/>
    <x:col min="4" max="4" width="13.6328125" customWidth="1"/>
    <x:col min="5" max="5" width="15.6328125" customWidth="1"/>
    <x:col min="6" max="6" width="21.6328125" customWidth="1"/>
    <x:col min="7" max="7" width="15.81640625" customWidth="1"/>
    <x:col min="8" max="9" width="13.08984375" customWidth="1"/>
  </x:cols>
  <x:sheetData>
    <x:row r="1" ht="32" customHeight="1">
      <x:c r="A1" s="4" t="str">
        <x:v>PLACEMENT ANALYSIS</x:v>
      </x:c>
      <x:c r="B1" s="4"/>
      <x:c r="C1" s="4"/>
      <x:c r="D1" s="4"/>
      <x:c r="E1" s="4"/>
      <x:c r="F1" s="4"/>
      <x:c r="G1" s="4"/>
      <x:c r="H1" s="4"/>
      <x:c r="I1" s="4"/>
      <x:c r="J1" s="59"/>
      <x:c r="K1" s="59"/>
      <x:c r="L1" s="59"/>
      <x:c r="M1" s="59"/>
      <x:c r="N1" s="59"/>
      <x:c r="O1" s="59"/>
      <x:c r="P1" s="59"/>
      <x:c r="Q1" s="59"/>
      <x:c r="R1" s="59"/>
      <x:c r="S1" s="59"/>
      <x:c r="T1" s="59"/>
      <x:c r="U1" s="59"/>
      <x:c r="V1" s="59"/>
    </x:row>
    <x:row r="2" ht="20" customHeight="1">
      <x:c r="A2" s="5" t="str">
        <x:v>Operational placement performance by synthetic region</x:v>
      </x:c>
      <x:c r="B2" s="5"/>
      <x:c r="C2" s="5"/>
      <x:c r="D2" s="5"/>
      <x:c r="E2" s="5"/>
      <x:c r="F2" s="5"/>
      <x:c r="G2" s="5"/>
      <x:c r="H2" s="5"/>
      <x:c r="I2" s="5"/>
      <x:c r="J2" s="59"/>
      <x:c r="K2" s="59"/>
      <x:c r="L2" s="59"/>
      <x:c r="M2" s="59"/>
      <x:c r="N2" s="59"/>
      <x:c r="O2" s="59"/>
      <x:c r="P2" s="59"/>
      <x:c r="Q2" s="59"/>
      <x:c r="R2" s="59"/>
      <x:c r="S2" s="59"/>
      <x:c r="T2" s="59"/>
      <x:c r="U2" s="59"/>
      <x:c r="V2" s="59"/>
    </x:row>
    <x:row r="3" ht="45" customHeight="1">
      <x:c r="A3" s="35" t="str">
        <x:v>Regions are evaluated using the same weighted method as recruiters. Blank placements are excluded from leader ranking because they do not represent an operating region. Compare success with sample size and placement speed before replicating practices across regions.</x:v>
      </x:c>
      <x:c r="B3" s="35"/>
      <x:c r="C3" s="35"/>
      <x:c r="D3" s="35"/>
      <x:c r="E3" s="35"/>
      <x:c r="F3" s="35"/>
      <x:c r="G3" s="35"/>
      <x:c r="H3" s="35"/>
      <x:c r="I3" s="35"/>
      <x:c r="J3" s="59"/>
      <x:c r="K3" s="59"/>
      <x:c r="L3" s="59"/>
      <x:c r="M3" s="59"/>
      <x:c r="N3" s="59"/>
      <x:c r="O3" s="59"/>
      <x:c r="P3" s="59"/>
      <x:c r="Q3" s="59"/>
      <x:c r="R3" s="59"/>
      <x:c r="S3" s="59"/>
      <x:c r="T3" s="59"/>
      <x:c r="U3" s="59"/>
      <x:c r="V3" s="59"/>
    </x:row>
    <x:row r="4">
      <x:c r="A4" s="3"/>
      <x:c r="B4" s="3"/>
      <x:c r="C4" s="3"/>
      <x:c r="D4" s="3"/>
      <x:c r="E4" s="3"/>
      <x:c r="F4" s="3"/>
      <x:c r="G4" s="3"/>
      <x:c r="H4" s="3"/>
      <x:c r="I4" s="3"/>
      <x:c r="J4" s="59"/>
      <x:c r="K4" s="59"/>
      <x:c r="L4" s="59"/>
      <x:c r="M4" s="59"/>
      <x:c r="N4" s="59"/>
      <x:c r="O4" s="59"/>
      <x:c r="P4" s="59"/>
      <x:c r="Q4" s="59"/>
      <x:c r="R4" s="59"/>
      <x:c r="S4" s="59"/>
      <x:c r="T4" s="59"/>
      <x:c r="U4" s="59"/>
      <x:c r="V4" s="59"/>
    </x:row>
    <x:row r="5" ht="15">
      <x:c r="A5" s="42" t="str">
        <x:v>Operational Placement</x:v>
      </x:c>
      <x:c r="B5" s="43" t="s">
        <x:v>54</x:v>
      </x:c>
      <x:c r="C5" s="43" t="s">
        <x:v>55</x:v>
      </x:c>
      <x:c r="D5" s="43" t="s">
        <x:v>40</x:v>
      </x:c>
      <x:c r="E5" s="43" t="s">
        <x:v>76</x:v>
      </x:c>
      <x:c r="F5" s="43" t="s">
        <x:v>77</x:v>
      </x:c>
      <x:c r="G5" s="44" t="s">
        <x:v>78</x:v>
      </x:c>
      <x:c r="H5" s="3"/>
      <x:c r="I5" s="3"/>
      <x:c r="J5" s="59"/>
      <x:c r="K5" s="59"/>
      <x:c r="L5" s="59"/>
      <x:c r="M5" s="59"/>
      <x:c r="N5" s="59"/>
      <x:c r="O5" s="59"/>
      <x:c r="P5" s="59"/>
      <x:c r="Q5" s="59"/>
      <x:c r="R5" s="59"/>
      <x:c r="S5" s="59"/>
      <x:c r="T5" s="59"/>
      <x:c r="U5" s="59"/>
      <x:c r="V5" s="59"/>
    </x:row>
    <x:row r="6">
      <x:c r="A6" s="36" t="str">
        <x:v>Region A</x:v>
      </x:c>
      <x:c r="B6" s="16" t="n">
        <x:f>COUNTIF(WorkforceData[First Assignment],A6)</x:f>
        <x:v>200</x:v>
      </x:c>
      <x:c r="C6" s="16" t="n">
        <x:f>SUMIFS(WorkforceData[Success Flag],WorkforceData[First Assignment],A6)</x:f>
        <x:v>136</x:v>
      </x:c>
      <x:c r="D6" s="21" t="n">
        <x:f>IFERROR(C6/B6,0)</x:f>
        <x:v>0.68</x:v>
      </x:c>
      <x:c r="E6" s="21" t="n">
        <x:f>IFERROR(COUNTIFS(WorkforceData[First Assignment],A6,WorkforceData[Promoted],"Yes")/B6,0)</x:f>
        <x:v>0.55</x:v>
      </x:c>
      <x:c r="F6" s="50" t="n">
        <x:f>IFERROR(SUMIFS(WorkforceData[Days Between Training and Assignment],WorkforceData[First Assignment],A6)/COUNTIFS(WorkforceData[First Assignment],A6,WorkforceData[Days Between Training and Assignment],"&gt;=0"),0)</x:f>
        <x:v>16.44</x:v>
      </x:c>
      <x:c r="G6" s="51" t="n">
        <x:f>IF(B6&lt;10,0,D6*SQRT(B6))</x:f>
        <x:v>9.616652224137047</x:v>
      </x:c>
      <x:c r="H6" s="3"/>
      <x:c r="I6" s="3"/>
      <x:c r="J6" s="59"/>
      <x:c r="K6" s="59"/>
      <x:c r="L6" s="59"/>
      <x:c r="M6" s="59"/>
      <x:c r="N6" s="59"/>
      <x:c r="O6" s="59"/>
      <x:c r="P6" s="59"/>
      <x:c r="Q6" s="59"/>
      <x:c r="R6" s="59"/>
      <x:c r="S6" s="59"/>
      <x:c r="T6" s="59"/>
      <x:c r="U6" s="59"/>
      <x:c r="V6" s="59"/>
    </x:row>
    <x:row r="7">
      <x:c r="A7" s="38" t="str">
        <x:v>Region B</x:v>
      </x:c>
      <x:c r="B7" s="18" t="n">
        <x:f>COUNTIF(WorkforceData[First Assignment],A7)</x:f>
        <x:v>286</x:v>
      </x:c>
      <x:c r="C7" s="18" t="n">
        <x:f>SUMIFS(WorkforceData[Success Flag],WorkforceData[First Assignment],A7)</x:f>
        <x:v>216</x:v>
      </x:c>
      <x:c r="D7" s="22" t="n">
        <x:f>IFERROR(C7/B7,0)</x:f>
        <x:v>0.7552447552447552</x:v>
      </x:c>
      <x:c r="E7" s="22" t="n">
        <x:f>IFERROR(COUNTIFS(WorkforceData[First Assignment],A7,WorkforceData[Promoted],"Yes")/B7,0)</x:f>
        <x:v>0.6118881118881119</x:v>
      </x:c>
      <x:c r="F7" s="52" t="n">
        <x:f>IFERROR(SUMIFS(WorkforceData[Days Between Training and Assignment],WorkforceData[First Assignment],A7)/COUNTIFS(WorkforceData[First Assignment],A7,WorkforceData[Days Between Training and Assignment],"&gt;=0"),0)</x:f>
        <x:v>17.527972027972027</x:v>
      </x:c>
      <x:c r="G7" s="53" t="n">
        <x:f>IF(B7&lt;10,0,D7*SQRT(B7))</x:f>
        <x:v>12.772347753364183</x:v>
      </x:c>
      <x:c r="H7" s="3"/>
      <x:c r="I7" s="3"/>
      <x:c r="J7" s="59"/>
      <x:c r="K7" s="59"/>
      <x:c r="L7" s="59"/>
      <x:c r="M7" s="59"/>
      <x:c r="N7" s="59"/>
      <x:c r="O7" s="59"/>
      <x:c r="P7" s="59"/>
      <x:c r="Q7" s="59"/>
      <x:c r="R7" s="59"/>
      <x:c r="S7" s="59"/>
      <x:c r="T7" s="59"/>
      <x:c r="U7" s="59"/>
      <x:c r="V7" s="59"/>
    </x:row>
    <x:row r="8">
      <x:c r="A8" s="38" t="str">
        <x:v>Region C</x:v>
      </x:c>
      <x:c r="B8" s="18" t="n">
        <x:f>COUNTIF(WorkforceData[First Assignment],A8)</x:f>
        <x:v>147</x:v>
      </x:c>
      <x:c r="C8" s="18" t="n">
        <x:f>SUMIFS(WorkforceData[Success Flag],WorkforceData[First Assignment],A8)</x:f>
        <x:v>107</x:v>
      </x:c>
      <x:c r="D8" s="22" t="n">
        <x:f>IFERROR(C8/B8,0)</x:f>
        <x:v>0.7278911564625851</x:v>
      </x:c>
      <x:c r="E8" s="22" t="n">
        <x:f>IFERROR(COUNTIFS(WorkforceData[First Assignment],A8,WorkforceData[Promoted],"Yes")/B8,0)</x:f>
        <x:v>0.5782312925170068</x:v>
      </x:c>
      <x:c r="F8" s="52" t="n">
        <x:f>IFERROR(SUMIFS(WorkforceData[Days Between Training and Assignment],WorkforceData[First Assignment],A8)/COUNTIFS(WorkforceData[First Assignment],A8,WorkforceData[Days Between Training and Assignment],"&gt;=0"),0)</x:f>
        <x:v>13.959183673469388</x:v>
      </x:c>
      <x:c r="G8" s="53" t="n">
        <x:f>IF(B8&lt;10,0,D8*SQRT(B8))</x:f>
        <x:v>8.825211257612851</x:v>
      </x:c>
      <x:c r="H8" s="3"/>
      <x:c r="I8" s="3"/>
      <x:c r="J8" s="59"/>
      <x:c r="K8" s="59"/>
      <x:c r="L8" s="59"/>
      <x:c r="M8" s="59"/>
      <x:c r="N8" s="59"/>
      <x:c r="O8" s="59"/>
      <x:c r="P8" s="59"/>
      <x:c r="Q8" s="59"/>
      <x:c r="R8" s="59"/>
      <x:c r="S8" s="59"/>
      <x:c r="T8" s="59"/>
      <x:c r="U8" s="59"/>
      <x:c r="V8" s="59"/>
    </x:row>
    <x:row r="9">
      <x:c r="A9" s="38" t="str">
        <x:v>Region D</x:v>
      </x:c>
      <x:c r="B9" s="18" t="n">
        <x:f>COUNTIF(WorkforceData[First Assignment],A9)</x:f>
        <x:v>248</x:v>
      </x:c>
      <x:c r="C9" s="18" t="n">
        <x:f>SUMIFS(WorkforceData[Success Flag],WorkforceData[First Assignment],A9)</x:f>
        <x:v>176</x:v>
      </x:c>
      <x:c r="D9" s="22" t="n">
        <x:f>IFERROR(C9/B9,0)</x:f>
        <x:v>0.7096774193548387</x:v>
      </x:c>
      <x:c r="E9" s="22" t="n">
        <x:f>IFERROR(COUNTIFS(WorkforceData[First Assignment],A9,WorkforceData[Promoted],"Yes")/B9,0)</x:f>
        <x:v>0.5362903225806451</x:v>
      </x:c>
      <x:c r="F9" s="52" t="n">
        <x:f>IFERROR(SUMIFS(WorkforceData[Days Between Training and Assignment],WorkforceData[First Assignment],A9)/COUNTIFS(WorkforceData[First Assignment],A9,WorkforceData[Days Between Training and Assignment],"&gt;=0"),0)</x:f>
        <x:v>15.237903225806452</x:v>
      </x:c>
      <x:c r="G9" s="53" t="n">
        <x:f>IF(B9&lt;10,0,D9*SQRT(B9))</x:f>
        <x:v>11.176011176016765</x:v>
      </x:c>
      <x:c r="H9" s="3"/>
      <x:c r="I9" s="3"/>
      <x:c r="J9" s="59"/>
      <x:c r="K9" s="59"/>
      <x:c r="L9" s="59"/>
      <x:c r="M9" s="59"/>
      <x:c r="N9" s="59"/>
      <x:c r="O9" s="59"/>
      <x:c r="P9" s="59"/>
      <x:c r="Q9" s="59"/>
      <x:c r="R9" s="59"/>
      <x:c r="S9" s="59"/>
      <x:c r="T9" s="59"/>
      <x:c r="U9" s="59"/>
      <x:c r="V9" s="59"/>
    </x:row>
    <x:row r="10">
      <x:c r="A10" s="40" t="str">
        <x:v>Region E</x:v>
      </x:c>
      <x:c r="B10" s="20" t="n">
        <x:f>COUNTIF(WorkforceData[First Assignment],A10)</x:f>
        <x:v>86</x:v>
      </x:c>
      <x:c r="C10" s="20" t="n">
        <x:f>SUMIFS(WorkforceData[Success Flag],WorkforceData[First Assignment],A10)</x:f>
        <x:v>59</x:v>
      </x:c>
      <x:c r="D10" s="23" t="n">
        <x:f>IFERROR(C10/B10,0)</x:f>
        <x:v>0.686046511627907</x:v>
      </x:c>
      <x:c r="E10" s="23" t="n">
        <x:f>IFERROR(COUNTIFS(WorkforceData[First Assignment],A10,WorkforceData[Promoted],"Yes")/B10,0)</x:f>
        <x:v>0.5348837209302325</x:v>
      </x:c>
      <x:c r="F10" s="54" t="n">
        <x:f>IFERROR(SUMIFS(WorkforceData[Days Between Training and Assignment],WorkforceData[First Assignment],A10)/COUNTIFS(WorkforceData[First Assignment],A10,WorkforceData[Days Between Training and Assignment],"&gt;=0"),0)</x:f>
        <x:v>16.546511627906977</x:v>
      </x:c>
      <x:c r="G10" s="55" t="n">
        <x:f>IF(B10&lt;10,0,D10*SQRT(B10))</x:f>
        <x:v>6.362133619002867</x:v>
      </x:c>
      <x:c r="H10" s="3"/>
      <x:c r="I10" s="3"/>
      <x:c r="J10" s="59"/>
      <x:c r="K10" s="59"/>
      <x:c r="L10" s="59"/>
      <x:c r="M10" s="59"/>
      <x:c r="N10" s="59"/>
      <x:c r="O10" s="59"/>
      <x:c r="P10" s="59"/>
      <x:c r="Q10" s="59"/>
      <x:c r="R10" s="59"/>
      <x:c r="S10" s="59"/>
      <x:c r="T10" s="59"/>
      <x:c r="U10" s="59"/>
      <x:c r="V10" s="59"/>
    </x:row>
    <x:row r="11">
      <x:c r="A11" s="3"/>
      <x:c r="B11" s="3"/>
      <x:c r="C11" s="3"/>
      <x:c r="D11" s="3"/>
      <x:c r="E11" s="3"/>
      <x:c r="F11" s="3"/>
      <x:c r="G11" s="3"/>
      <x:c r="H11" s="3"/>
      <x:c r="I11" s="3"/>
      <x:c r="J11" s="59"/>
      <x:c r="K11" s="59"/>
      <x:c r="L11" s="59"/>
      <x:c r="M11" s="59"/>
      <x:c r="N11" s="59"/>
      <x:c r="O11" s="59"/>
      <x:c r="P11" s="59"/>
      <x:c r="Q11" s="59"/>
      <x:c r="R11" s="59"/>
      <x:c r="S11" s="59"/>
      <x:c r="T11" s="59"/>
      <x:c r="U11" s="59"/>
      <x:c r="V11" s="59"/>
    </x:row>
    <x:row r="12">
      <x:c r="A12" s="56" t="str">
        <x:v>TOP WEIGHTED REGION</x:v>
      </x:c>
      <x:c r="B12" s="57"/>
      <x:c r="C12" s="57"/>
      <x:c r="D12" s="58" t="str">
        <x:v>Region B | 75.5% success | n=286</x:v>
      </x:c>
      <x:c r="E12" s="58"/>
      <x:c r="F12" s="58"/>
      <x:c r="G12" s="58"/>
      <x:c r="H12" s="3"/>
      <x:c r="I12" s="3"/>
      <x:c r="J12" s="59"/>
      <x:c r="K12" s="59"/>
      <x:c r="L12" s="59"/>
      <x:c r="M12" s="59"/>
      <x:c r="N12" s="59"/>
      <x:c r="O12" s="59"/>
      <x:c r="P12" s="59"/>
      <x:c r="Q12" s="59"/>
      <x:c r="R12" s="59"/>
      <x:c r="S12" s="59"/>
      <x:c r="T12" s="59"/>
      <x:c r="U12" s="59"/>
      <x:c r="V12" s="59"/>
    </x:row>
    <x:row r="13">
      <x:c r="A13" s="59"/>
      <x:c r="B13" s="59"/>
      <x:c r="C13" s="59"/>
      <x:c r="D13" s="59"/>
      <x:c r="E13" s="59"/>
      <x:c r="F13" s="59"/>
      <x:c r="G13" s="59"/>
      <x:c r="H13" s="59"/>
      <x:c r="I13" s="59"/>
      <x:c r="J13" s="59"/>
      <x:c r="K13" s="59"/>
      <x:c r="L13" s="59"/>
      <x:c r="M13" s="59"/>
      <x:c r="N13" s="59"/>
      <x:c r="O13" s="59"/>
      <x:c r="P13" s="59"/>
      <x:c r="Q13" s="59"/>
      <x:c r="R13" s="59"/>
      <x:c r="S13" s="59"/>
      <x:c r="T13" s="59"/>
      <x:c r="U13" s="59"/>
      <x:c r="V13" s="59"/>
    </x:row>
    <x:row r="14">
      <x:c r="A14" s="59"/>
      <x:c r="B14" s="59"/>
      <x:c r="C14" s="59"/>
      <x:c r="D14" s="59"/>
      <x:c r="E14" s="59"/>
      <x:c r="F14" s="59"/>
      <x:c r="G14" s="59"/>
      <x:c r="H14" s="59"/>
      <x:c r="I14" s="59"/>
      <x:c r="J14" s="59"/>
      <x:c r="K14" s="59"/>
      <x:c r="L14" s="59"/>
      <x:c r="M14" s="59"/>
      <x:c r="N14" s="59"/>
      <x:c r="O14" s="59"/>
      <x:c r="P14" s="59"/>
      <x:c r="Q14" s="59"/>
      <x:c r="R14" s="59"/>
      <x:c r="S14" s="59"/>
      <x:c r="T14" s="59"/>
      <x:c r="U14" s="59"/>
      <x:c r="V14" s="59"/>
    </x:row>
    <x:row r="15">
      <x:c r="A15" s="59"/>
      <x:c r="B15" s="59"/>
      <x:c r="C15" s="59"/>
      <x:c r="D15" s="59"/>
      <x:c r="E15" s="59"/>
      <x:c r="F15" s="59"/>
      <x:c r="G15" s="59"/>
      <x:c r="H15" s="59"/>
      <x:c r="I15" s="59"/>
      <x:c r="J15" s="59"/>
      <x:c r="K15" s="59"/>
      <x:c r="L15" s="59"/>
      <x:c r="M15" s="59"/>
      <x:c r="N15" s="59"/>
      <x:c r="O15" s="59"/>
      <x:c r="P15" s="59"/>
      <x:c r="Q15" s="59"/>
      <x:c r="R15" s="59"/>
      <x:c r="S15" s="59"/>
      <x:c r="T15" s="59"/>
      <x:c r="U15" s="59"/>
      <x:c r="V15" s="59"/>
    </x:row>
    <x:row r="16">
      <x:c r="A16" s="59"/>
      <x:c r="B16" s="59"/>
      <x:c r="C16" s="59"/>
      <x:c r="D16" s="59"/>
      <x:c r="E16" s="59"/>
      <x:c r="F16" s="59"/>
      <x:c r="G16" s="59"/>
      <x:c r="H16" s="59"/>
      <x:c r="I16" s="59"/>
      <x:c r="J16" s="59"/>
      <x:c r="K16" s="59"/>
      <x:c r="L16" s="59"/>
      <x:c r="M16" s="59"/>
      <x:c r="N16" s="59"/>
      <x:c r="O16" s="59"/>
      <x:c r="P16" s="59"/>
      <x:c r="Q16" s="59"/>
      <x:c r="R16" s="59"/>
      <x:c r="S16" s="59"/>
      <x:c r="T16" s="59"/>
      <x:c r="U16" s="59"/>
      <x:c r="V16" s="59"/>
    </x:row>
    <x:row r="17">
      <x:c r="A17" s="59"/>
      <x:c r="B17" s="59"/>
      <x:c r="C17" s="59"/>
      <x:c r="D17" s="59"/>
      <x:c r="E17" s="59"/>
      <x:c r="F17" s="59"/>
      <x:c r="G17" s="59"/>
      <x:c r="H17" s="59"/>
      <x:c r="I17" s="59"/>
      <x:c r="J17" s="59"/>
      <x:c r="K17" s="59"/>
      <x:c r="L17" s="59"/>
      <x:c r="M17" s="59"/>
      <x:c r="N17" s="59"/>
      <x:c r="O17" s="59"/>
      <x:c r="P17" s="59"/>
      <x:c r="Q17" s="59"/>
      <x:c r="R17" s="59"/>
      <x:c r="S17" s="59"/>
      <x:c r="T17" s="59"/>
      <x:c r="U17" s="59"/>
      <x:c r="V17" s="59"/>
    </x:row>
    <x:row r="18">
      <x:c r="A18" s="59"/>
      <x:c r="B18" s="59"/>
      <x:c r="C18" s="59"/>
      <x:c r="D18" s="59"/>
      <x:c r="E18" s="59"/>
      <x:c r="F18" s="59"/>
      <x:c r="G18" s="59"/>
      <x:c r="H18" s="59"/>
      <x:c r="I18" s="59"/>
      <x:c r="J18" s="59"/>
      <x:c r="K18" s="59"/>
      <x:c r="L18" s="59"/>
      <x:c r="M18" s="59"/>
      <x:c r="N18" s="59"/>
      <x:c r="O18" s="59"/>
      <x:c r="P18" s="59"/>
      <x:c r="Q18" s="59"/>
      <x:c r="R18" s="59"/>
      <x:c r="S18" s="59"/>
      <x:c r="T18" s="59"/>
      <x:c r="U18" s="59"/>
      <x:c r="V18" s="59"/>
    </x:row>
    <x:row r="19">
      <x:c r="A19" s="59"/>
      <x:c r="B19" s="59"/>
      <x:c r="C19" s="59"/>
      <x:c r="D19" s="59"/>
      <x:c r="E19" s="59"/>
      <x:c r="F19" s="59"/>
      <x:c r="G19" s="59"/>
      <x:c r="H19" s="59"/>
      <x:c r="I19" s="59"/>
      <x:c r="J19" s="59"/>
      <x:c r="K19" s="59"/>
      <x:c r="L19" s="59"/>
      <x:c r="M19" s="59"/>
      <x:c r="N19" s="59"/>
      <x:c r="O19" s="59"/>
      <x:c r="P19" s="59"/>
      <x:c r="Q19" s="59"/>
      <x:c r="R19" s="59"/>
      <x:c r="S19" s="59"/>
      <x:c r="T19" s="59"/>
      <x:c r="U19" s="59"/>
      <x:c r="V19" s="59"/>
    </x:row>
    <x:row r="20">
      <x:c r="A20" s="59"/>
      <x:c r="B20" s="59"/>
      <x:c r="C20" s="59"/>
      <x:c r="D20" s="59"/>
      <x:c r="E20" s="59"/>
      <x:c r="F20" s="59"/>
      <x:c r="G20" s="59"/>
      <x:c r="H20" s="59"/>
      <x:c r="I20" s="59"/>
      <x:c r="J20" s="59"/>
      <x:c r="K20" s="59"/>
      <x:c r="L20" s="59"/>
      <x:c r="M20" s="59"/>
      <x:c r="N20" s="59"/>
      <x:c r="O20" s="59"/>
      <x:c r="P20" s="59"/>
      <x:c r="Q20" s="59"/>
      <x:c r="R20" s="59"/>
      <x:c r="S20" s="59"/>
      <x:c r="T20" s="59"/>
      <x:c r="U20" s="59"/>
      <x:c r="V20" s="59"/>
    </x:row>
    <x:row r="21">
      <x:c r="A21" s="59"/>
      <x:c r="B21" s="59"/>
      <x:c r="C21" s="59"/>
      <x:c r="D21" s="59"/>
      <x:c r="E21" s="59"/>
      <x:c r="F21" s="59"/>
      <x:c r="G21" s="59"/>
      <x:c r="H21" s="59"/>
      <x:c r="I21" s="59"/>
      <x:c r="J21" s="59"/>
      <x:c r="K21" s="59"/>
      <x:c r="L21" s="59"/>
      <x:c r="M21" s="59"/>
      <x:c r="N21" s="59"/>
      <x:c r="O21" s="59"/>
      <x:c r="P21" s="59"/>
      <x:c r="Q21" s="59"/>
      <x:c r="R21" s="59"/>
      <x:c r="S21" s="59"/>
      <x:c r="T21" s="59"/>
      <x:c r="U21" s="59"/>
      <x:c r="V21" s="59"/>
    </x:row>
    <x:row r="22">
      <x:c r="A22" s="59"/>
      <x:c r="B22" s="59"/>
      <x:c r="C22" s="59"/>
      <x:c r="D22" s="59"/>
      <x:c r="E22" s="59"/>
      <x:c r="F22" s="59"/>
      <x:c r="G22" s="59"/>
      <x:c r="H22" s="59"/>
      <x:c r="I22" s="59"/>
      <x:c r="J22" s="59"/>
      <x:c r="K22" s="59"/>
      <x:c r="L22" s="59"/>
      <x:c r="M22" s="59"/>
      <x:c r="N22" s="59"/>
      <x:c r="O22" s="59"/>
      <x:c r="P22" s="59"/>
      <x:c r="Q22" s="59"/>
      <x:c r="R22" s="59"/>
      <x:c r="S22" s="59"/>
      <x:c r="T22" s="59"/>
      <x:c r="U22" s="59"/>
      <x:c r="V22" s="59"/>
    </x:row>
    <x:row r="23">
      <x:c r="A23" s="59"/>
      <x:c r="B23" s="59"/>
      <x:c r="C23" s="59"/>
      <x:c r="D23" s="59"/>
      <x:c r="E23" s="59"/>
      <x:c r="F23" s="59"/>
      <x:c r="G23" s="59"/>
      <x:c r="H23" s="59"/>
      <x:c r="I23" s="59"/>
      <x:c r="J23" s="59"/>
      <x:c r="K23" s="59"/>
      <x:c r="L23" s="59"/>
      <x:c r="M23" s="59"/>
      <x:c r="N23" s="59"/>
      <x:c r="O23" s="59"/>
      <x:c r="P23" s="59"/>
      <x:c r="Q23" s="59"/>
      <x:c r="R23" s="59"/>
      <x:c r="S23" s="59"/>
      <x:c r="T23" s="59"/>
      <x:c r="U23" s="59"/>
      <x:c r="V23" s="59"/>
    </x:row>
    <x:row r="24">
      <x:c r="A24" s="59"/>
      <x:c r="B24" s="59"/>
      <x:c r="C24" s="59"/>
      <x:c r="D24" s="59"/>
      <x:c r="E24" s="59"/>
      <x:c r="F24" s="59"/>
      <x:c r="G24" s="59"/>
      <x:c r="H24" s="59"/>
      <x:c r="I24" s="59"/>
      <x:c r="J24" s="59"/>
      <x:c r="K24" s="59"/>
      <x:c r="L24" s="59"/>
      <x:c r="M24" s="59"/>
      <x:c r="N24" s="59"/>
      <x:c r="O24" s="59"/>
      <x:c r="P24" s="59"/>
      <x:c r="Q24" s="59"/>
      <x:c r="R24" s="59"/>
      <x:c r="S24" s="59"/>
      <x:c r="T24" s="59"/>
      <x:c r="U24" s="59"/>
      <x:c r="V24" s="59"/>
    </x:row>
    <x:row r="25">
      <x:c r="A25" s="59"/>
      <x:c r="B25" s="59"/>
      <x:c r="C25" s="59"/>
      <x:c r="D25" s="59"/>
      <x:c r="E25" s="59"/>
      <x:c r="F25" s="59"/>
      <x:c r="G25" s="59"/>
      <x:c r="H25" s="59"/>
      <x:c r="I25" s="59"/>
      <x:c r="J25" s="59"/>
      <x:c r="K25" s="59"/>
      <x:c r="L25" s="59"/>
      <x:c r="M25" s="59"/>
      <x:c r="N25" s="59"/>
      <x:c r="O25" s="59"/>
      <x:c r="P25" s="59"/>
      <x:c r="Q25" s="59"/>
      <x:c r="R25" s="59"/>
      <x:c r="S25" s="59"/>
      <x:c r="T25" s="59"/>
      <x:c r="U25" s="59"/>
      <x:c r="V25" s="59"/>
    </x:row>
    <x:row r="26">
      <x:c r="A26" s="59"/>
      <x:c r="B26" s="59"/>
      <x:c r="C26" s="59"/>
      <x:c r="D26" s="59"/>
      <x:c r="E26" s="59"/>
      <x:c r="F26" s="59"/>
      <x:c r="G26" s="59"/>
      <x:c r="H26" s="59"/>
      <x:c r="I26" s="59"/>
      <x:c r="J26" s="59"/>
      <x:c r="K26" s="59"/>
      <x:c r="L26" s="59"/>
      <x:c r="M26" s="59"/>
      <x:c r="N26" s="59"/>
      <x:c r="O26" s="59"/>
      <x:c r="P26" s="59"/>
      <x:c r="Q26" s="59"/>
      <x:c r="R26" s="59"/>
      <x:c r="S26" s="59"/>
      <x:c r="T26" s="59"/>
      <x:c r="U26" s="59"/>
      <x:c r="V26" s="59"/>
    </x:row>
    <x:row r="27">
      <x:c r="A27" s="59"/>
      <x:c r="B27" s="59"/>
      <x:c r="C27" s="59"/>
      <x:c r="D27" s="59"/>
      <x:c r="E27" s="59"/>
      <x:c r="F27" s="59"/>
      <x:c r="G27" s="59"/>
      <x:c r="H27" s="59"/>
      <x:c r="I27" s="59"/>
      <x:c r="J27" s="59"/>
      <x:c r="K27" s="59"/>
      <x:c r="L27" s="59"/>
      <x:c r="M27" s="59"/>
      <x:c r="N27" s="59"/>
      <x:c r="O27" s="59"/>
      <x:c r="P27" s="59"/>
      <x:c r="Q27" s="59"/>
      <x:c r="R27" s="59"/>
      <x:c r="S27" s="59"/>
      <x:c r="T27" s="59"/>
      <x:c r="U27" s="59"/>
      <x:c r="V27" s="59"/>
    </x:row>
    <x:row r="28">
      <x:c r="A28" s="59"/>
      <x:c r="B28" s="59"/>
      <x:c r="C28" s="59"/>
      <x:c r="D28" s="59"/>
      <x:c r="E28" s="59"/>
      <x:c r="F28" s="59"/>
      <x:c r="G28" s="59"/>
      <x:c r="H28" s="59"/>
      <x:c r="I28" s="59"/>
      <x:c r="J28" s="59"/>
      <x:c r="K28" s="59"/>
      <x:c r="L28" s="59"/>
      <x:c r="M28" s="59"/>
      <x:c r="N28" s="59"/>
      <x:c r="O28" s="59"/>
      <x:c r="P28" s="59"/>
      <x:c r="Q28" s="59"/>
      <x:c r="R28" s="59"/>
      <x:c r="S28" s="59"/>
      <x:c r="T28" s="59"/>
      <x:c r="U28" s="59"/>
      <x:c r="V28" s="59"/>
    </x:row>
    <x:row r="29">
      <x:c r="A29" s="59"/>
      <x:c r="B29" s="59"/>
      <x:c r="C29" s="59"/>
      <x:c r="D29" s="59"/>
      <x:c r="E29" s="59"/>
      <x:c r="F29" s="59"/>
      <x:c r="G29" s="59"/>
      <x:c r="H29" s="59"/>
      <x:c r="I29" s="59"/>
      <x:c r="J29" s="59"/>
      <x:c r="K29" s="59"/>
      <x:c r="L29" s="59"/>
      <x:c r="M29" s="59"/>
      <x:c r="N29" s="59"/>
      <x:c r="O29" s="59"/>
      <x:c r="P29" s="59"/>
      <x:c r="Q29" s="59"/>
      <x:c r="R29" s="59"/>
      <x:c r="S29" s="59"/>
      <x:c r="T29" s="59"/>
      <x:c r="U29" s="59"/>
      <x:c r="V29" s="59"/>
    </x:row>
    <x:row r="30">
      <x:c r="A30" s="59"/>
      <x:c r="B30" s="59"/>
      <x:c r="C30" s="59"/>
      <x:c r="D30" s="59"/>
      <x:c r="E30" s="59"/>
      <x:c r="F30" s="59"/>
      <x:c r="G30" s="59"/>
      <x:c r="H30" s="59"/>
      <x:c r="I30" s="59"/>
      <x:c r="J30" s="59"/>
      <x:c r="K30" s="59"/>
      <x:c r="L30" s="59"/>
      <x:c r="M30" s="59"/>
      <x:c r="N30" s="59"/>
      <x:c r="O30" s="59"/>
      <x:c r="P30" s="59"/>
      <x:c r="Q30" s="59"/>
      <x:c r="R30" s="59"/>
      <x:c r="S30" s="59"/>
      <x:c r="T30" s="59"/>
      <x:c r="U30" s="59"/>
      <x:c r="V30" s="59"/>
    </x:row>
    <x:row r="31">
      <x:c r="A31" s="59"/>
      <x:c r="B31" s="59"/>
      <x:c r="C31" s="59"/>
      <x:c r="D31" s="59"/>
      <x:c r="E31" s="59"/>
      <x:c r="F31" s="59"/>
      <x:c r="G31" s="59"/>
      <x:c r="H31" s="59"/>
      <x:c r="I31" s="59"/>
      <x:c r="J31" s="59"/>
      <x:c r="K31" s="59"/>
      <x:c r="L31" s="59"/>
      <x:c r="M31" s="59"/>
      <x:c r="N31" s="59"/>
      <x:c r="O31" s="59"/>
      <x:c r="P31" s="59"/>
      <x:c r="Q31" s="59"/>
      <x:c r="R31" s="59"/>
      <x:c r="S31" s="59"/>
      <x:c r="T31" s="59"/>
      <x:c r="U31" s="59"/>
      <x:c r="V31" s="59"/>
    </x:row>
    <x:row r="32">
      <x:c r="A32" s="59"/>
      <x:c r="B32" s="59"/>
      <x:c r="C32" s="59"/>
      <x:c r="D32" s="59"/>
      <x:c r="E32" s="59"/>
      <x:c r="F32" s="59"/>
      <x:c r="G32" s="59"/>
      <x:c r="H32" s="59"/>
      <x:c r="I32" s="59"/>
      <x:c r="J32" s="59"/>
      <x:c r="K32" s="59"/>
      <x:c r="L32" s="59"/>
      <x:c r="M32" s="59"/>
      <x:c r="N32" s="59"/>
      <x:c r="O32" s="59"/>
      <x:c r="P32" s="59"/>
      <x:c r="Q32" s="59"/>
      <x:c r="R32" s="59"/>
      <x:c r="S32" s="59"/>
      <x:c r="T32" s="59"/>
      <x:c r="U32" s="59"/>
      <x:c r="V32" s="59"/>
    </x:row>
    <x:row r="33">
      <x:c r="A33" s="59"/>
      <x:c r="B33" s="59"/>
      <x:c r="C33" s="59"/>
      <x:c r="D33" s="59"/>
      <x:c r="E33" s="59"/>
      <x:c r="F33" s="59"/>
      <x:c r="G33" s="59"/>
      <x:c r="H33" s="59"/>
      <x:c r="I33" s="59"/>
      <x:c r="J33" s="59"/>
      <x:c r="K33" s="59"/>
      <x:c r="L33" s="59"/>
      <x:c r="M33" s="59"/>
      <x:c r="N33" s="59"/>
      <x:c r="O33" s="59"/>
      <x:c r="P33" s="59"/>
      <x:c r="Q33" s="59"/>
      <x:c r="R33" s="59"/>
      <x:c r="S33" s="59"/>
      <x:c r="T33" s="59"/>
      <x:c r="U33" s="59"/>
      <x:c r="V33" s="59"/>
    </x:row>
    <x:row r="34">
      <x:c r="A34" s="59"/>
      <x:c r="B34" s="59"/>
      <x:c r="C34" s="59"/>
      <x:c r="D34" s="59"/>
      <x:c r="E34" s="59"/>
      <x:c r="F34" s="59"/>
      <x:c r="G34" s="59"/>
      <x:c r="H34" s="59"/>
      <x:c r="I34" s="59"/>
      <x:c r="J34" s="59"/>
      <x:c r="K34" s="59"/>
      <x:c r="L34" s="59"/>
      <x:c r="M34" s="59"/>
      <x:c r="N34" s="59"/>
      <x:c r="O34" s="59"/>
      <x:c r="P34" s="59"/>
      <x:c r="Q34" s="59"/>
      <x:c r="R34" s="59"/>
      <x:c r="S34" s="59"/>
      <x:c r="T34" s="59"/>
      <x:c r="U34" s="59"/>
      <x:c r="V34" s="59"/>
    </x:row>
    <x:row r="35">
      <x:c r="A35" s="59"/>
      <x:c r="B35" s="59"/>
      <x:c r="C35" s="59"/>
      <x:c r="D35" s="59"/>
      <x:c r="E35" s="59"/>
      <x:c r="F35" s="59"/>
      <x:c r="G35" s="59"/>
      <x:c r="H35" s="59"/>
      <x:c r="I35" s="59"/>
      <x:c r="J35" s="59"/>
      <x:c r="K35" s="59"/>
      <x:c r="L35" s="59"/>
      <x:c r="M35" s="59"/>
      <x:c r="N35" s="59"/>
      <x:c r="O35" s="59"/>
      <x:c r="P35" s="59"/>
      <x:c r="Q35" s="59"/>
      <x:c r="R35" s="59"/>
      <x:c r="S35" s="59"/>
      <x:c r="T35" s="59"/>
      <x:c r="U35" s="59"/>
      <x:c r="V35" s="59"/>
    </x:row>
    <x:row r="36">
      <x:c r="A36" s="59"/>
      <x:c r="B36" s="59"/>
      <x:c r="C36" s="59"/>
      <x:c r="D36" s="59"/>
      <x:c r="E36" s="59"/>
      <x:c r="F36" s="59"/>
      <x:c r="G36" s="59"/>
      <x:c r="H36" s="59"/>
      <x:c r="I36" s="59"/>
      <x:c r="J36" s="59"/>
      <x:c r="K36" s="59"/>
      <x:c r="L36" s="59"/>
      <x:c r="M36" s="59"/>
      <x:c r="N36" s="59"/>
      <x:c r="O36" s="59"/>
      <x:c r="P36" s="59"/>
      <x:c r="Q36" s="59"/>
      <x:c r="R36" s="59"/>
      <x:c r="S36" s="59"/>
      <x:c r="T36" s="59"/>
      <x:c r="U36" s="59"/>
      <x:c r="V36" s="59"/>
    </x:row>
    <x:row r="37">
      <x:c r="A37" s="59"/>
      <x:c r="B37" s="59"/>
      <x:c r="C37" s="59"/>
      <x:c r="D37" s="59"/>
      <x:c r="E37" s="59"/>
      <x:c r="F37" s="59"/>
      <x:c r="G37" s="59"/>
      <x:c r="H37" s="59"/>
      <x:c r="I37" s="59"/>
      <x:c r="J37" s="59"/>
      <x:c r="K37" s="59"/>
      <x:c r="L37" s="59"/>
      <x:c r="M37" s="59"/>
      <x:c r="N37" s="59"/>
      <x:c r="O37" s="59"/>
      <x:c r="P37" s="59"/>
      <x:c r="Q37" s="59"/>
      <x:c r="R37" s="59"/>
      <x:c r="S37" s="59"/>
      <x:c r="T37" s="59"/>
      <x:c r="U37" s="59"/>
      <x:c r="V37" s="59"/>
    </x:row>
    <x:row r="38">
      <x:c r="A38" s="59"/>
      <x:c r="B38" s="59"/>
      <x:c r="C38" s="59"/>
      <x:c r="D38" s="59"/>
      <x:c r="E38" s="59"/>
      <x:c r="F38" s="59"/>
      <x:c r="G38" s="59"/>
      <x:c r="H38" s="59"/>
      <x:c r="I38" s="59"/>
      <x:c r="J38" s="59"/>
      <x:c r="K38" s="59"/>
      <x:c r="L38" s="59"/>
      <x:c r="M38" s="59"/>
      <x:c r="N38" s="59"/>
      <x:c r="O38" s="59"/>
      <x:c r="P38" s="59"/>
      <x:c r="Q38" s="59"/>
      <x:c r="R38" s="59"/>
      <x:c r="S38" s="59"/>
      <x:c r="T38" s="59"/>
      <x:c r="U38" s="59"/>
      <x:c r="V38" s="59"/>
    </x:row>
    <x:row r="39">
      <x:c r="A39" s="59"/>
      <x:c r="B39" s="59"/>
      <x:c r="C39" s="59"/>
      <x:c r="D39" s="59"/>
      <x:c r="E39" s="59"/>
      <x:c r="F39" s="59"/>
      <x:c r="G39" s="59"/>
      <x:c r="H39" s="59"/>
      <x:c r="I39" s="59"/>
      <x:c r="J39" s="59"/>
      <x:c r="K39" s="59"/>
      <x:c r="L39" s="59"/>
      <x:c r="M39" s="59"/>
      <x:c r="N39" s="59"/>
      <x:c r="O39" s="59"/>
      <x:c r="P39" s="59"/>
      <x:c r="Q39" s="59"/>
      <x:c r="R39" s="59"/>
      <x:c r="S39" s="59"/>
      <x:c r="T39" s="59"/>
      <x:c r="U39" s="59"/>
      <x:c r="V39" s="59"/>
    </x:row>
    <x:row r="40">
      <x:c r="A40" s="59"/>
      <x:c r="B40" s="59"/>
      <x:c r="C40" s="59"/>
      <x:c r="D40" s="59"/>
      <x:c r="E40" s="59"/>
      <x:c r="F40" s="59"/>
      <x:c r="G40" s="59"/>
      <x:c r="H40" s="59"/>
      <x:c r="I40" s="59"/>
      <x:c r="J40" s="59"/>
      <x:c r="K40" s="59"/>
      <x:c r="L40" s="59"/>
      <x:c r="M40" s="59"/>
      <x:c r="N40" s="59"/>
      <x:c r="O40" s="59"/>
      <x:c r="P40" s="59"/>
      <x:c r="Q40" s="59"/>
      <x:c r="R40" s="59"/>
      <x:c r="S40" s="59"/>
      <x:c r="T40" s="59"/>
      <x:c r="U40" s="59"/>
      <x:c r="V40" s="59"/>
    </x:row>
    <x:row r="41">
      <x:c r="A41" s="59"/>
      <x:c r="B41" s="59"/>
      <x:c r="C41" s="59"/>
      <x:c r="D41" s="59"/>
      <x:c r="E41" s="59"/>
      <x:c r="F41" s="59"/>
      <x:c r="G41" s="59"/>
      <x:c r="H41" s="59"/>
      <x:c r="I41" s="59"/>
      <x:c r="J41" s="59"/>
      <x:c r="K41" s="59"/>
      <x:c r="L41" s="59"/>
      <x:c r="M41" s="59"/>
      <x:c r="N41" s="59"/>
      <x:c r="O41" s="59"/>
      <x:c r="P41" s="59"/>
      <x:c r="Q41" s="59"/>
      <x:c r="R41" s="59"/>
      <x:c r="S41" s="59"/>
      <x:c r="T41" s="59"/>
      <x:c r="U41" s="59"/>
      <x:c r="V41" s="59"/>
    </x:row>
    <x:row r="42">
      <x:c r="A42" s="59"/>
      <x:c r="B42" s="59"/>
      <x:c r="C42" s="59"/>
      <x:c r="D42" s="59"/>
      <x:c r="E42" s="59"/>
      <x:c r="F42" s="59"/>
      <x:c r="G42" s="59"/>
      <x:c r="H42" s="59"/>
      <x:c r="I42" s="59"/>
      <x:c r="J42" s="59"/>
      <x:c r="K42" s="59"/>
      <x:c r="L42" s="59"/>
      <x:c r="M42" s="59"/>
      <x:c r="N42" s="59"/>
      <x:c r="O42" s="59"/>
      <x:c r="P42" s="59"/>
      <x:c r="Q42" s="59"/>
      <x:c r="R42" s="59"/>
      <x:c r="S42" s="59"/>
      <x:c r="T42" s="59"/>
      <x:c r="U42" s="59"/>
      <x:c r="V42" s="59"/>
    </x:row>
    <x:row r="43">
      <x:c r="A43" s="59"/>
      <x:c r="B43" s="59"/>
      <x:c r="C43" s="59"/>
      <x:c r="D43" s="59"/>
      <x:c r="E43" s="59"/>
      <x:c r="F43" s="59"/>
      <x:c r="G43" s="59"/>
      <x:c r="H43" s="59"/>
      <x:c r="I43" s="59"/>
      <x:c r="J43" s="59"/>
      <x:c r="K43" s="59"/>
      <x:c r="L43" s="59"/>
      <x:c r="M43" s="59"/>
      <x:c r="N43" s="59"/>
      <x:c r="O43" s="59"/>
      <x:c r="P43" s="59"/>
      <x:c r="Q43" s="59"/>
      <x:c r="R43" s="59"/>
      <x:c r="S43" s="59"/>
      <x:c r="T43" s="59"/>
      <x:c r="U43" s="59"/>
      <x:c r="V43" s="59"/>
    </x:row>
    <x:row r="44">
      <x:c r="A44" s="59"/>
      <x:c r="B44" s="59"/>
      <x:c r="C44" s="59"/>
      <x:c r="D44" s="59"/>
      <x:c r="E44" s="59"/>
      <x:c r="F44" s="59"/>
      <x:c r="G44" s="59"/>
      <x:c r="H44" s="59"/>
      <x:c r="I44" s="59"/>
      <x:c r="J44" s="59"/>
      <x:c r="K44" s="59"/>
      <x:c r="L44" s="59"/>
      <x:c r="M44" s="59"/>
      <x:c r="N44" s="59"/>
      <x:c r="O44" s="59"/>
      <x:c r="P44" s="59"/>
      <x:c r="Q44" s="59"/>
      <x:c r="R44" s="59"/>
      <x:c r="S44" s="59"/>
      <x:c r="T44" s="59"/>
      <x:c r="U44" s="59"/>
      <x:c r="V44" s="59"/>
    </x:row>
    <x:row r="45">
      <x:c r="A45" s="59"/>
      <x:c r="B45" s="59"/>
      <x:c r="C45" s="59"/>
      <x:c r="D45" s="59"/>
      <x:c r="E45" s="59"/>
      <x:c r="F45" s="59"/>
      <x:c r="G45" s="59"/>
      <x:c r="H45" s="59"/>
      <x:c r="I45" s="59"/>
      <x:c r="J45" s="59"/>
      <x:c r="K45" s="59"/>
      <x:c r="L45" s="59"/>
      <x:c r="M45" s="59"/>
      <x:c r="N45" s="59"/>
      <x:c r="O45" s="59"/>
      <x:c r="P45" s="59"/>
      <x:c r="Q45" s="59"/>
      <x:c r="R45" s="59"/>
      <x:c r="S45" s="59"/>
      <x:c r="T45" s="59"/>
      <x:c r="U45" s="59"/>
      <x:c r="V45" s="59"/>
    </x:row>
    <x:row r="46">
      <x:c r="A46" s="59"/>
      <x:c r="B46" s="59"/>
      <x:c r="C46" s="59"/>
      <x:c r="D46" s="59"/>
      <x:c r="E46" s="59"/>
      <x:c r="F46" s="59"/>
      <x:c r="G46" s="59"/>
      <x:c r="H46" s="59"/>
      <x:c r="I46" s="59"/>
      <x:c r="J46" s="59"/>
      <x:c r="K46" s="59"/>
      <x:c r="L46" s="59"/>
      <x:c r="M46" s="59"/>
      <x:c r="N46" s="59"/>
      <x:c r="O46" s="59"/>
      <x:c r="P46" s="59"/>
      <x:c r="Q46" s="59"/>
      <x:c r="R46" s="59"/>
      <x:c r="S46" s="59"/>
      <x:c r="T46" s="59"/>
      <x:c r="U46" s="59"/>
      <x:c r="V46" s="59"/>
    </x:row>
    <x:row r="47">
      <x:c r="A47" s="59"/>
      <x:c r="B47" s="59"/>
      <x:c r="C47" s="59"/>
      <x:c r="D47" s="59"/>
      <x:c r="E47" s="59"/>
      <x:c r="F47" s="59"/>
      <x:c r="G47" s="59"/>
      <x:c r="H47" s="59"/>
      <x:c r="I47" s="59"/>
      <x:c r="J47" s="59"/>
      <x:c r="K47" s="59"/>
      <x:c r="L47" s="59"/>
      <x:c r="M47" s="59"/>
      <x:c r="N47" s="59"/>
      <x:c r="O47" s="59"/>
      <x:c r="P47" s="59"/>
      <x:c r="Q47" s="59"/>
      <x:c r="R47" s="59"/>
      <x:c r="S47" s="59"/>
      <x:c r="T47" s="59"/>
      <x:c r="U47" s="59"/>
      <x:c r="V47" s="59"/>
    </x:row>
    <x:row r="48">
      <x:c r="A48" s="59"/>
      <x:c r="B48" s="59"/>
      <x:c r="C48" s="59"/>
      <x:c r="D48" s="59"/>
      <x:c r="E48" s="59"/>
      <x:c r="F48" s="59"/>
      <x:c r="G48" s="59"/>
      <x:c r="H48" s="59"/>
      <x:c r="I48" s="59"/>
      <x:c r="J48" s="59"/>
      <x:c r="K48" s="59"/>
      <x:c r="L48" s="59"/>
      <x:c r="M48" s="59"/>
      <x:c r="N48" s="59"/>
      <x:c r="O48" s="59"/>
      <x:c r="P48" s="59"/>
      <x:c r="Q48" s="59"/>
      <x:c r="R48" s="59"/>
      <x:c r="S48" s="59"/>
      <x:c r="T48" s="59"/>
      <x:c r="U48" s="59"/>
      <x:c r="V48" s="59"/>
    </x:row>
    <x:row r="49">
      <x:c r="A49" s="59"/>
      <x:c r="B49" s="59"/>
      <x:c r="C49" s="59"/>
      <x:c r="D49" s="59"/>
      <x:c r="E49" s="59"/>
      <x:c r="F49" s="59"/>
      <x:c r="G49" s="59"/>
      <x:c r="H49" s="59"/>
      <x:c r="I49" s="59"/>
      <x:c r="J49" s="59"/>
      <x:c r="K49" s="59"/>
      <x:c r="L49" s="59"/>
      <x:c r="M49" s="59"/>
      <x:c r="N49" s="59"/>
      <x:c r="O49" s="59"/>
      <x:c r="P49" s="59"/>
      <x:c r="Q49" s="59"/>
      <x:c r="R49" s="59"/>
      <x:c r="S49" s="59"/>
      <x:c r="T49" s="59"/>
      <x:c r="U49" s="59"/>
      <x:c r="V49" s="59"/>
    </x:row>
    <x:row r="50">
      <x:c r="A50" s="59"/>
      <x:c r="B50" s="59"/>
      <x:c r="C50" s="59"/>
      <x:c r="D50" s="59"/>
      <x:c r="E50" s="59"/>
      <x:c r="F50" s="59"/>
      <x:c r="G50" s="59"/>
      <x:c r="H50" s="59"/>
      <x:c r="I50" s="59"/>
      <x:c r="J50" s="59"/>
      <x:c r="K50" s="59"/>
      <x:c r="L50" s="59"/>
      <x:c r="M50" s="59"/>
      <x:c r="N50" s="59"/>
      <x:c r="O50" s="59"/>
      <x:c r="P50" s="59"/>
      <x:c r="Q50" s="59"/>
      <x:c r="R50" s="59"/>
      <x:c r="S50" s="59"/>
      <x:c r="T50" s="59"/>
      <x:c r="U50" s="59"/>
      <x:c r="V50" s="59"/>
    </x:row>
    <x:row r="51">
      <x:c r="A51" s="59"/>
      <x:c r="B51" s="59"/>
      <x:c r="C51" s="59"/>
      <x:c r="D51" s="59"/>
      <x:c r="E51" s="59"/>
      <x:c r="F51" s="59"/>
      <x:c r="G51" s="59"/>
      <x:c r="H51" s="59"/>
      <x:c r="I51" s="59"/>
      <x:c r="J51" s="59"/>
      <x:c r="K51" s="59"/>
      <x:c r="L51" s="59"/>
      <x:c r="M51" s="59"/>
      <x:c r="N51" s="59"/>
      <x:c r="O51" s="59"/>
      <x:c r="P51" s="59"/>
      <x:c r="Q51" s="59"/>
      <x:c r="R51" s="59"/>
      <x:c r="S51" s="59"/>
      <x:c r="T51" s="59"/>
      <x:c r="U51" s="59"/>
      <x:c r="V51" s="59"/>
    </x:row>
    <x:row r="52">
      <x:c r="A52" s="59"/>
      <x:c r="B52" s="59"/>
      <x:c r="C52" s="59"/>
      <x:c r="D52" s="59"/>
      <x:c r="E52" s="59"/>
      <x:c r="F52" s="59"/>
      <x:c r="G52" s="59"/>
      <x:c r="H52" s="59"/>
      <x:c r="I52" s="59"/>
      <x:c r="J52" s="59"/>
      <x:c r="K52" s="59"/>
      <x:c r="L52" s="59"/>
      <x:c r="M52" s="59"/>
      <x:c r="N52" s="59"/>
      <x:c r="O52" s="59"/>
      <x:c r="P52" s="59"/>
      <x:c r="Q52" s="59"/>
      <x:c r="R52" s="59"/>
      <x:c r="S52" s="59"/>
      <x:c r="T52" s="59"/>
      <x:c r="U52" s="59"/>
      <x:c r="V52" s="59"/>
    </x:row>
    <x:row r="53">
      <x:c r="A53" s="59"/>
      <x:c r="B53" s="59"/>
      <x:c r="C53" s="59"/>
      <x:c r="D53" s="59"/>
      <x:c r="E53" s="59"/>
      <x:c r="F53" s="59"/>
      <x:c r="G53" s="59"/>
      <x:c r="H53" s="59"/>
      <x:c r="I53" s="59"/>
      <x:c r="J53" s="59"/>
      <x:c r="K53" s="59"/>
      <x:c r="L53" s="59"/>
      <x:c r="M53" s="59"/>
      <x:c r="N53" s="59"/>
      <x:c r="O53" s="59"/>
      <x:c r="P53" s="59"/>
      <x:c r="Q53" s="59"/>
      <x:c r="R53" s="59"/>
      <x:c r="S53" s="59"/>
      <x:c r="T53" s="59"/>
      <x:c r="U53" s="59"/>
      <x:c r="V53" s="59"/>
    </x:row>
    <x:row r="54">
      <x:c r="A54" s="59"/>
      <x:c r="B54" s="59"/>
      <x:c r="C54" s="59"/>
      <x:c r="D54" s="59"/>
      <x:c r="E54" s="59"/>
      <x:c r="F54" s="59"/>
      <x:c r="G54" s="59"/>
      <x:c r="H54" s="59"/>
      <x:c r="I54" s="59"/>
      <x:c r="J54" s="59"/>
      <x:c r="K54" s="59"/>
      <x:c r="L54" s="59"/>
      <x:c r="M54" s="59"/>
      <x:c r="N54" s="59"/>
      <x:c r="O54" s="59"/>
      <x:c r="P54" s="59"/>
      <x:c r="Q54" s="59"/>
      <x:c r="R54" s="59"/>
      <x:c r="S54" s="59"/>
      <x:c r="T54" s="59"/>
      <x:c r="U54" s="59"/>
      <x:c r="V54" s="59"/>
    </x:row>
  </x:sheetData>
  <x:mergeCells>
    <x:mergeCell ref="A1:I1"/>
    <x:mergeCell ref="A2:I2"/>
    <x:mergeCell ref="A3:I3"/>
    <x:mergeCell ref="A12:C12"/>
    <x:mergeCell ref="D12:G12"/>
  </x:mergeCells>
  <x:conditionalFormatting sqref="A6:G10">
    <x:cfRule type="expression" dxfId="5" priority="1">
      <x:formula>MOD(ROW()-6,2)=1</x:formula>
    </x:cfRule>
  </x:conditionalFormatting>
  <x:pageMargins left="0.7" right="0.7" top="0.75" bottom="0.75" header="0.3" footer="0.3"/>
  <x:drawing xmlns:r="http://schemas.openxmlformats.org/officeDocument/2006/relationships" r:id="R94a23fe3383b4c5c"/>
</x:worksheet>
</file>

<file path=xl/worksheets/sheet8.xml><?xml version="1.0" encoding="utf-8"?>
<x:worksheet xmlns:x="http://schemas.openxmlformats.org/spreadsheetml/2006/main">
  <x:sheetFormatPr defaultRowHeight="14.5"/>
  <x:cols>
    <x:col min="1" max="1" width="18.453125" customWidth="1"/>
    <x:col min="2" max="2" width="12.08984375" customWidth="1"/>
    <x:col min="3" max="3" width="11.81640625" customWidth="1"/>
    <x:col min="4" max="4" width="13.90625" customWidth="1"/>
    <x:col min="5" max="5" width="19.26953125" customWidth="1"/>
    <x:col min="6" max="6" width="10.81640625" customWidth="1"/>
    <x:col min="7" max="7" width="19.54296875" customWidth="1"/>
    <x:col min="8" max="8" width="14.08984375" customWidth="1"/>
    <x:col min="9" max="9" width="13.90625" customWidth="1"/>
    <x:col min="10" max="10" width="15.54296875" customWidth="1"/>
    <x:col min="11" max="11" width="11.54296875" customWidth="1"/>
    <x:col min="12" max="12" width="17.1796875" customWidth="1"/>
    <x:col min="13" max="13" width="22.453125" customWidth="1"/>
    <x:col min="14" max="14" width="21.6328125" customWidth="1"/>
    <x:col min="15" max="15" width="18.453125" customWidth="1"/>
    <x:col min="16" max="16" width="14.26953125" customWidth="1"/>
    <x:col min="17" max="17" width="14.90625" customWidth="1"/>
    <x:col min="18" max="18" width="19.90625" customWidth="1"/>
    <x:col min="19" max="19" width="11.1796875" customWidth="1"/>
    <x:col min="20" max="20" width="17.08984375" customWidth="1"/>
    <x:col min="21" max="21" width="33.1796875" customWidth="1"/>
    <x:col min="22" max="22" width="36.08984375" customWidth="1"/>
    <x:col min="23" max="23" width="25.1796875" customWidth="1"/>
    <x:col min="24" max="24" width="20.08984375" customWidth="1"/>
    <x:col min="25" max="25" width="15.81640625" customWidth="1"/>
    <x:col min="26" max="26" width="18.54296875" customWidth="1"/>
    <x:col min="27" max="27" width="13.90625" customWidth="1"/>
    <x:col min="28" max="28" width="10.54296875" customWidth="1"/>
    <x:col min="29" max="29" width="18.453125" customWidth="1"/>
    <x:col min="30" max="30" width="14.36328125" customWidth="1"/>
    <x:col min="31" max="31" width="19" customWidth="1"/>
    <x:col min="32" max="32" width="16" customWidth="1"/>
    <x:col min="33" max="33" width="18.90625" customWidth="1"/>
  </x:cols>
  <x:sheetData>
    <x:row r="1" ht="15">
      <x:c r="A1" s="27" t="str">
        <x:v>Trainee ID</x:v>
      </x:c>
      <x:c r="B1" s="242" t="str">
        <x:v>Excluded Identifier 1</x:v>
      </x:c>
      <x:c r="C1" s="242" t="str">
        <x:v>Excluded Identifier 2</x:v>
      </x:c>
      <x:c r="D1" s="242" t="str">
        <x:v>Excluded Demographic</x:v>
      </x:c>
      <x:c r="E1" s="242" t="str">
        <x:v>Excluded Geography</x:v>
      </x:c>
      <x:c r="F1" s="27" t="str">
        <x:v>Recruiter</x:v>
      </x:c>
      <x:c r="G1" s="27" t="str">
        <x:v>Training Center</x:v>
      </x:c>
      <x:c r="H1" s="27" t="s">
        <x:v>80</x:v>
      </x:c>
      <x:c r="I1" s="27" t="s">
        <x:v>53</x:v>
      </x:c>
      <x:c r="J1" s="27" t="s">
        <x:v>81</x:v>
      </x:c>
      <x:c r="K1" s="27" t="s">
        <x:v>82</x:v>
      </x:c>
      <x:c r="L1" s="27" t="s">
        <x:v>83</x:v>
      </x:c>
      <x:c r="M1" s="27" t="s">
        <x:v>84</x:v>
      </x:c>
      <x:c r="N1" s="27" t="s">
        <x:v>85</x:v>
      </x:c>
      <x:c r="O1" s="27" t="s">
        <x:v>86</x:v>
      </x:c>
      <x:c r="P1" s="27" t="s">
        <x:v>87</x:v>
      </x:c>
      <x:c r="Q1" s="27" t="s">
        <x:v>88</x:v>
      </x:c>
      <x:c r="R1" s="27" t="s">
        <x:v>89</x:v>
      </x:c>
      <x:c r="S1" s="27" t="s">
        <x:v>26</x:v>
      </x:c>
      <x:c r="T1" s="27" t="str">
        <x:v>First Assignment</x:v>
      </x:c>
      <x:c r="U1" s="27" t="str">
        <x:v>First Assignment Date After Training</x:v>
      </x:c>
      <x:c r="V1" s="27" t="s">
        <x:v>90</x:v>
      </x:c>
      <x:c r="W1" s="27" t="s">
        <x:v>91</x:v>
      </x:c>
      <x:c r="X1" s="27" t="s">
        <x:v>92</x:v>
      </x:c>
      <x:c r="Y1" s="31" t="s">
        <x:v>93</x:v>
      </x:c>
      <x:c r="Z1" s="31" t="s">
        <x:v>94</x:v>
      </x:c>
      <x:c r="AA1" s="31" t="s">
        <x:v>95</x:v>
      </x:c>
      <x:c r="AB1" s="31" t="s">
        <x:v>96</x:v>
      </x:c>
      <x:c r="AC1" s="31" t="s">
        <x:v>97</x:v>
      </x:c>
      <x:c r="AD1" s="31" t="s">
        <x:v>98</x:v>
      </x:c>
      <x:c r="AE1" s="31" t="s">
        <x:v>41</x:v>
      </x:c>
      <x:c r="AF1" s="31" t="s">
        <x:v>59</x:v>
      </x:c>
      <x:c r="AG1" s="31" t="s">
        <x:v>99</x:v>
      </x:c>
    </x:row>
    <x:row r="2">
      <x:c r="A2" s="236" t="str">
        <x:v>TRN-0001</x:v>
      </x:c>
      <x:c r="B2" s="243"/>
      <x:c r="C2" s="243"/>
      <x:c r="D2" s="243"/>
      <x:c r="E2" s="243"/>
      <x:c r="F2" s="14" t="str">
        <x:v>Recruiter F</x:v>
      </x:c>
      <x:c r="G2" s="14" t="str">
        <x:v>Training Center A</x:v>
      </x:c>
      <x:c r="H2" s="28">
        <x:v>45951</x:v>
      </x:c>
      <x:c r="I2" s="14">
        <x:v>2025</x:v>
      </x:c>
      <x:c r="J2" s="14" t="s">
        <x:v>100</x:v>
      </x:c>
      <x:c r="K2" s="14">
        <x:v>23</x:v>
      </x:c>
      <x:c r="L2" s="29" t="s">
        <x:v>101</x:v>
      </x:c>
      <x:c r="M2" s="28">
        <x:v>45948</x:v>
      </x:c>
      <x:c r="N2" s="28">
        <x:v>45961</x:v>
      </x:c>
      <x:c r="O2" s="14">
        <x:v>13</x:v>
      </x:c>
      <x:c r="P2" s="14" t="s">
        <x:v>102</x:v>
      </x:c>
      <x:c r="Q2" s="14" t="s">
        <x:v>103</x:v>
      </x:c>
      <x:c r="R2" s="14" t="s">
        <x:v>104</x:v>
      </x:c>
      <x:c r="S2" s="14" t="s">
        <x:v>105</x:v>
      </x:c>
      <x:c r="T2" s="14" t="str">
        <x:v>Region C</x:v>
      </x:c>
      <x:c r="U2" s="28">
        <x:v>45961</x:v>
      </x:c>
      <x:c r="V2" s="30">
        <x:v>10</x:v>
      </x:c>
      <x:c r="W2" s="14" t="s">
        <x:v>45</x:v>
      </x:c>
      <x:c r="X2" s="14" t="s">
        <x:v>106</x:v>
      </x:c>
      <x:c r="Y2" s="32" t="str">
        <x:v>TRN-0001|20251021</x:v>
      </x:c>
      <x:c r="Z2" s="32" t="str" cm="1">
        <x:f t="array" ref="Z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2" s="33" t="n">
        <x:f>--OR(WorkforceData[[#This Row],[Status]]="Active",WorkforceData[[#This Row],[Promoted]]="Yes",WorkforceData[[#This Row],[Total Days Worked]]&gt;=121)</x:f>
        <x:v>0</x:v>
      </x:c>
      <x:c r="AB2" s="33" t="n">
        <x:f>IF(AND(Q2="Terminated",R2="",O2=0),1,0)</x:f>
        <x:v>0</x:v>
      </x:c>
      <x:c r="AC2" s="33" t="n">
        <x:f>--OR(WorkforceData[[#This Row],[Status]]="Resigned",WorkforceData[[#This Row],[Status After Training]]="Withdrew")</x:f>
        <x:v>1</x:v>
      </x:c>
      <x:c r="AD2" s="34" t="n">
        <x:f>EOMONTH(WorkforceData[[#This Row],[Training Date]],0)</x:f>
        <x:v>45961</x:v>
      </x:c>
      <x:c r="AE2" s="32" t="str">
        <x:f>IF(M2&lt;H2,"Existing Employee",IF(U2="","No Assignment",IF(V2=0,"0 Days",IF(V2&lt;=7,"1-7 Days",IF(V2&lt;=14,"8-14 Days",IF(V2&lt;=21,"15-21 Days","21+ Days"))))))</x:f>
        <x:v>Existing Employee</x:v>
      </x:c>
      <x:c r="AF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2" s="33" t="n">
        <x:f>--(WorkforceData[[#This Row],[Total Days Worked]]&gt;=121)</x:f>
        <x:v>0</x:v>
      </x:c>
    </x:row>
    <x:row r="3">
      <x:c r="A3" s="236" t="str">
        <x:v>TRN-0002</x:v>
      </x:c>
      <x:c r="B3" s="243"/>
      <x:c r="C3" s="243"/>
      <x:c r="D3" s="243"/>
      <x:c r="E3" s="243"/>
      <x:c r="F3" s="14" t="str">
        <x:v>Recruiter F</x:v>
      </x:c>
      <x:c r="G3" s="14" t="str">
        <x:v>Training Center A</x:v>
      </x:c>
      <x:c r="H3" s="28">
        <x:v>45951</x:v>
      </x:c>
      <x:c r="I3" s="14">
        <x:v>2025</x:v>
      </x:c>
      <x:c r="J3" s="14" t="s">
        <x:v>100</x:v>
      </x:c>
      <x:c r="K3" s="14">
        <x:v>23</x:v>
      </x:c>
      <x:c r="L3" s="29" t="s">
        <x:v>101</x:v>
      </x:c>
      <x:c r="M3" s="28">
        <x:v>45951</x:v>
      </x:c>
      <x:c r="N3" s="14"/>
      <x:c r="O3" s="14">
        <x:v>300</x:v>
      </x:c>
      <x:c r="P3" s="14" t="s">
        <x:v>107</x:v>
      </x:c>
      <x:c r="Q3" s="14" t="s">
        <x:v>25</x:v>
      </x:c>
      <x:c r="R3" s="14"/>
      <x:c r="S3" s="14" t="s">
        <x:v>108</x:v>
      </x:c>
      <x:c r="T3" s="14" t="str">
        <x:v>Region C</x:v>
      </x:c>
      <x:c r="U3" s="28">
        <x:v>45951</x:v>
      </x:c>
      <x:c r="V3" s="30">
        <x:v>0</x:v>
      </x:c>
      <x:c r="W3" s="14" t="s">
        <x:v>109</x:v>
      </x:c>
      <x:c r="X3" s="14" t="s">
        <x:v>106</x:v>
      </x:c>
      <x:c r="Y3" s="32" t="str">
        <x:v>TRN-0002|20251021</x:v>
      </x:c>
      <x:c r="Z3" s="32" t="str" cm="1">
        <x:f t="array" ref="Z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3" s="33" t="n">
        <x:f>--OR(WorkforceData[[#This Row],[Status]]="Active",WorkforceData[[#This Row],[Promoted]]="Yes",WorkforceData[[#This Row],[Total Days Worked]]&gt;=121)</x:f>
        <x:v>1</x:v>
      </x:c>
      <x:c r="AB3" s="33" t="n">
        <x:f>IF(AND(Q3="Terminated",R3="",O3=0),1,0)</x:f>
        <x:v>0</x:v>
      </x:c>
      <x:c r="AC3" s="33" t="n">
        <x:f>--OR(WorkforceData[[#This Row],[Status]]="Resigned",WorkforceData[[#This Row],[Status After Training]]="Withdrew")</x:f>
        <x:v>0</x:v>
      </x:c>
      <x:c r="AD3" s="34" t="n">
        <x:f>EOMONTH(WorkforceData[[#This Row],[Training Date]],0)</x:f>
        <x:v>45961</x:v>
      </x:c>
      <x:c r="AE3" s="32" t="str">
        <x:f>IF(M3&lt;H3,"Existing Employee",IF(U3="","No Assignment",IF(V3=0,"0 Days",IF(V3&lt;=7,"1-7 Days",IF(V3&lt;=14,"8-14 Days",IF(V3&lt;=21,"15-21 Days","21+ Days"))))))</x:f>
        <x:v>0 Days</x:v>
      </x:c>
      <x:c r="AF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 s="33" t="n">
        <x:f>--(WorkforceData[[#This Row],[Total Days Worked]]&gt;=121)</x:f>
        <x:v>1</x:v>
      </x:c>
    </x:row>
    <x:row r="4">
      <x:c r="A4" s="236" t="str">
        <x:v>TRN-0003</x:v>
      </x:c>
      <x:c r="B4" s="243"/>
      <x:c r="C4" s="243"/>
      <x:c r="D4" s="243"/>
      <x:c r="E4" s="243"/>
      <x:c r="F4" s="14" t="str">
        <x:v>Recruiter D</x:v>
      </x:c>
      <x:c r="G4" s="14" t="str">
        <x:v>Training Center A</x:v>
      </x:c>
      <x:c r="H4" s="28">
        <x:v>45951</x:v>
      </x:c>
      <x:c r="I4" s="14">
        <x:v>2025</x:v>
      </x:c>
      <x:c r="J4" s="14" t="s">
        <x:v>100</x:v>
      </x:c>
      <x:c r="K4" s="14">
        <x:v>23</x:v>
      </x:c>
      <x:c r="L4" s="29" t="s">
        <x:v>101</x:v>
      </x:c>
      <x:c r="M4" s="28">
        <x:v>45944</x:v>
      </x:c>
      <x:c r="N4" s="14"/>
      <x:c r="O4" s="14">
        <x:v>307</x:v>
      </x:c>
      <x:c r="P4" s="14" t="s">
        <x:v>107</x:v>
      </x:c>
      <x:c r="Q4" s="14" t="s">
        <x:v>25</x:v>
      </x:c>
      <x:c r="R4" s="14"/>
      <x:c r="S4" s="14" t="s">
        <x:v>108</x:v>
      </x:c>
      <x:c r="T4" s="14" t="str">
        <x:v>Region D</x:v>
      </x:c>
      <x:c r="U4" s="28">
        <x:v>45960</x:v>
      </x:c>
      <x:c r="V4" s="30">
        <x:v>9</x:v>
      </x:c>
      <x:c r="W4" s="14" t="s">
        <x:v>45</x:v>
      </x:c>
      <x:c r="X4" s="14" t="s">
        <x:v>106</x:v>
      </x:c>
      <x:c r="Y4" s="32" t="str">
        <x:v>TRN-0003|20251021</x:v>
      </x:c>
      <x:c r="Z4" s="32" t="str" cm="1">
        <x:f t="array" ref="Z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4" s="33" t="n">
        <x:f>--OR(WorkforceData[[#This Row],[Status]]="Active",WorkforceData[[#This Row],[Promoted]]="Yes",WorkforceData[[#This Row],[Total Days Worked]]&gt;=121)</x:f>
        <x:v>1</x:v>
      </x:c>
      <x:c r="AB4" s="33" t="n">
        <x:f>IF(AND(Q4="Terminated",R4="",O4=0),1,0)</x:f>
        <x:v>0</x:v>
      </x:c>
      <x:c r="AC4" s="33" t="n">
        <x:f>--OR(WorkforceData[[#This Row],[Status]]="Resigned",WorkforceData[[#This Row],[Status After Training]]="Withdrew")</x:f>
        <x:v>0</x:v>
      </x:c>
      <x:c r="AD4" s="34" t="n">
        <x:f>EOMONTH(WorkforceData[[#This Row],[Training Date]],0)</x:f>
        <x:v>45961</x:v>
      </x:c>
      <x:c r="AE4" s="32" t="str">
        <x:f>IF(M4&lt;H4,"Existing Employee",IF(U4="","No Assignment",IF(V4=0,"0 Days",IF(V4&lt;=7,"1-7 Days",IF(V4&lt;=14,"8-14 Days",IF(V4&lt;=21,"15-21 Days","21+ Days"))))))</x:f>
        <x:v>Existing Employee</x:v>
      </x:c>
      <x:c r="AF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 s="33" t="n">
        <x:f>--(WorkforceData[[#This Row],[Total Days Worked]]&gt;=121)</x:f>
        <x:v>1</x:v>
      </x:c>
    </x:row>
    <x:row r="5">
      <x:c r="A5" s="236" t="str">
        <x:v>TRN-0004</x:v>
      </x:c>
      <x:c r="B5" s="243"/>
      <x:c r="C5" s="243"/>
      <x:c r="D5" s="243"/>
      <x:c r="E5" s="243"/>
      <x:c r="F5" s="14" t="str">
        <x:v>Recruiter G</x:v>
      </x:c>
      <x:c r="G5" s="14" t="str">
        <x:v>Training Center A</x:v>
      </x:c>
      <x:c r="H5" s="28">
        <x:v>45951</x:v>
      </x:c>
      <x:c r="I5" s="14">
        <x:v>2025</x:v>
      </x:c>
      <x:c r="J5" s="14" t="s">
        <x:v>100</x:v>
      </x:c>
      <x:c r="K5" s="14">
        <x:v>23</x:v>
      </x:c>
      <x:c r="L5" s="29" t="s">
        <x:v>101</x:v>
      </x:c>
      <x:c r="M5" s="28">
        <x:v>45948</x:v>
      </x:c>
      <x:c r="N5" s="14"/>
      <x:c r="O5" s="14">
        <x:v>303</x:v>
      </x:c>
      <x:c r="P5" s="14" t="s">
        <x:v>107</x:v>
      </x:c>
      <x:c r="Q5" s="14" t="s">
        <x:v>25</x:v>
      </x:c>
      <x:c r="R5" s="14"/>
      <x:c r="S5" s="14" t="s">
        <x:v>108</x:v>
      </x:c>
      <x:c r="T5" s="14" t="str">
        <x:v>Region E</x:v>
      </x:c>
      <x:c r="U5" s="28">
        <x:v>45953</x:v>
      </x:c>
      <x:c r="V5" s="30">
        <x:v>2</x:v>
      </x:c>
      <x:c r="W5" s="14" t="s">
        <x:v>109</x:v>
      </x:c>
      <x:c r="X5" s="14" t="s">
        <x:v>106</x:v>
      </x:c>
      <x:c r="Y5" s="32" t="str">
        <x:v>TRN-0004|20251021</x:v>
      </x:c>
      <x:c r="Z5" s="32" t="str" cm="1">
        <x:f t="array" ref="Z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5" s="33" t="n">
        <x:f>--OR(WorkforceData[[#This Row],[Status]]="Active",WorkforceData[[#This Row],[Promoted]]="Yes",WorkforceData[[#This Row],[Total Days Worked]]&gt;=121)</x:f>
        <x:v>1</x:v>
      </x:c>
      <x:c r="AB5" s="33" t="n">
        <x:f>IF(AND(Q5="Terminated",R5="",O5=0),1,0)</x:f>
        <x:v>0</x:v>
      </x:c>
      <x:c r="AC5" s="33" t="n">
        <x:f>--OR(WorkforceData[[#This Row],[Status]]="Resigned",WorkforceData[[#This Row],[Status After Training]]="Withdrew")</x:f>
        <x:v>0</x:v>
      </x:c>
      <x:c r="AD5" s="34" t="n">
        <x:f>EOMONTH(WorkforceData[[#This Row],[Training Date]],0)</x:f>
        <x:v>45961</x:v>
      </x:c>
      <x:c r="AE5" s="32" t="str">
        <x:f>IF(M5&lt;H5,"Existing Employee",IF(U5="","No Assignment",IF(V5=0,"0 Days",IF(V5&lt;=7,"1-7 Days",IF(V5&lt;=14,"8-14 Days",IF(V5&lt;=21,"15-21 Days","21+ Days"))))))</x:f>
        <x:v>Existing Employee</x:v>
      </x:c>
      <x:c r="AF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 s="33" t="n">
        <x:f>--(WorkforceData[[#This Row],[Total Days Worked]]&gt;=121)</x:f>
        <x:v>1</x:v>
      </x:c>
    </x:row>
    <x:row r="6">
      <x:c r="A6" s="236" t="str">
        <x:v>TRN-0005</x:v>
      </x:c>
      <x:c r="B6" s="243"/>
      <x:c r="C6" s="243"/>
      <x:c r="D6" s="243"/>
      <x:c r="E6" s="243"/>
      <x:c r="F6" s="14" t="str">
        <x:v>Recruiter B</x:v>
      </x:c>
      <x:c r="G6" s="14" t="str">
        <x:v>Training Center A</x:v>
      </x:c>
      <x:c r="H6" s="28">
        <x:v>45951</x:v>
      </x:c>
      <x:c r="I6" s="14">
        <x:v>2025</x:v>
      </x:c>
      <x:c r="J6" s="14" t="s">
        <x:v>100</x:v>
      </x:c>
      <x:c r="K6" s="14">
        <x:v>23</x:v>
      </x:c>
      <x:c r="L6" s="29" t="s">
        <x:v>101</x:v>
      </x:c>
      <x:c r="M6" s="28">
        <x:v>45946</x:v>
      </x:c>
      <x:c r="N6" s="28">
        <x:v>46036</x:v>
      </x:c>
      <x:c r="O6" s="14">
        <x:v>90</x:v>
      </x:c>
      <x:c r="P6" s="14" t="s">
        <x:v>110</x:v>
      </x:c>
      <x:c r="Q6" s="14" t="s">
        <x:v>103</x:v>
      </x:c>
      <x:c r="R6" s="14" t="s">
        <x:v>111</x:v>
      </x:c>
      <x:c r="S6" s="14" t="s">
        <x:v>105</x:v>
      </x:c>
      <x:c r="T6" s="14" t="str">
        <x:v>Region D</x:v>
      </x:c>
      <x:c r="U6" s="28">
        <x:v>45974</x:v>
      </x:c>
      <x:c r="V6" s="30">
        <x:v>23</x:v>
      </x:c>
      <x:c r="W6" s="14" t="s">
        <x:v>112</x:v>
      </x:c>
      <x:c r="X6" s="14" t="s">
        <x:v>106</x:v>
      </x:c>
      <x:c r="Y6" s="32" t="str">
        <x:v>TRN-0005|20251021</x:v>
      </x:c>
      <x:c r="Z6" s="32" t="str" cm="1">
        <x:f t="array" ref="Z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6" s="33" t="n">
        <x:f>--OR(WorkforceData[[#This Row],[Status]]="Active",WorkforceData[[#This Row],[Promoted]]="Yes",WorkforceData[[#This Row],[Total Days Worked]]&gt;=121)</x:f>
        <x:v>0</x:v>
      </x:c>
      <x:c r="AB6" s="33" t="n">
        <x:f>IF(AND(Q6="Terminated",R6="",O6=0),1,0)</x:f>
        <x:v>0</x:v>
      </x:c>
      <x:c r="AC6" s="33" t="n">
        <x:f>--OR(WorkforceData[[#This Row],[Status]]="Resigned",WorkforceData[[#This Row],[Status After Training]]="Withdrew")</x:f>
        <x:v>1</x:v>
      </x:c>
      <x:c r="AD6" s="34" t="n">
        <x:f>EOMONTH(WorkforceData[[#This Row],[Training Date]],0)</x:f>
        <x:v>45961</x:v>
      </x:c>
      <x:c r="AE6" s="32" t="str">
        <x:f>IF(M6&lt;H6,"Existing Employee",IF(U6="","No Assignment",IF(V6=0,"0 Days",IF(V6&lt;=7,"1-7 Days",IF(V6&lt;=14,"8-14 Days",IF(V6&lt;=21,"15-21 Days","21+ Days"))))))</x:f>
        <x:v>Existing Employee</x:v>
      </x:c>
      <x:c r="AF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61-90 Days</x:v>
      </x:c>
      <x:c r="AG6" s="33" t="n">
        <x:f>--(WorkforceData[[#This Row],[Total Days Worked]]&gt;=121)</x:f>
        <x:v>0</x:v>
      </x:c>
    </x:row>
    <x:row r="7">
      <x:c r="A7" s="236" t="str">
        <x:v>TRN-0006</x:v>
      </x:c>
      <x:c r="B7" s="243"/>
      <x:c r="C7" s="243"/>
      <x:c r="D7" s="243"/>
      <x:c r="E7" s="243"/>
      <x:c r="F7" s="14" t="str">
        <x:v>Recruiter B</x:v>
      </x:c>
      <x:c r="G7" s="14" t="str">
        <x:v>Training Center A</x:v>
      </x:c>
      <x:c r="H7" s="28">
        <x:v>45951</x:v>
      </x:c>
      <x:c r="I7" s="14">
        <x:v>2025</x:v>
      </x:c>
      <x:c r="J7" s="14" t="s">
        <x:v>100</x:v>
      </x:c>
      <x:c r="K7" s="14">
        <x:v>23</x:v>
      </x:c>
      <x:c r="L7" s="29" t="s">
        <x:v>101</x:v>
      </x:c>
      <x:c r="M7" s="28">
        <x:v>45949</x:v>
      </x:c>
      <x:c r="N7" s="14"/>
      <x:c r="O7" s="14">
        <x:v>302</x:v>
      </x:c>
      <x:c r="P7" s="14" t="s">
        <x:v>107</x:v>
      </x:c>
      <x:c r="Q7" s="14" t="s">
        <x:v>25</x:v>
      </x:c>
      <x:c r="R7" s="14"/>
      <x:c r="S7" s="14" t="s">
        <x:v>108</x:v>
      </x:c>
      <x:c r="T7" s="14" t="str">
        <x:v>Region D</x:v>
      </x:c>
      <x:c r="U7" s="28">
        <x:v>45959</x:v>
      </x:c>
      <x:c r="V7" s="30">
        <x:v>8</x:v>
      </x:c>
      <x:c r="W7" s="14" t="s">
        <x:v>45</x:v>
      </x:c>
      <x:c r="X7" s="14" t="s">
        <x:v>106</x:v>
      </x:c>
      <x:c r="Y7" s="32" t="str">
        <x:v>TRN-0006|20251021</x:v>
      </x:c>
      <x:c r="Z7" s="32" t="str" cm="1">
        <x:f t="array" ref="Z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7" s="33" t="n">
        <x:f>--OR(WorkforceData[[#This Row],[Status]]="Active",WorkforceData[[#This Row],[Promoted]]="Yes",WorkforceData[[#This Row],[Total Days Worked]]&gt;=121)</x:f>
        <x:v>1</x:v>
      </x:c>
      <x:c r="AB7" s="33" t="n">
        <x:f>IF(AND(Q7="Terminated",R7="",O7=0),1,0)</x:f>
        <x:v>0</x:v>
      </x:c>
      <x:c r="AC7" s="33" t="n">
        <x:f>--OR(WorkforceData[[#This Row],[Status]]="Resigned",WorkforceData[[#This Row],[Status After Training]]="Withdrew")</x:f>
        <x:v>0</x:v>
      </x:c>
      <x:c r="AD7" s="34" t="n">
        <x:f>EOMONTH(WorkforceData[[#This Row],[Training Date]],0)</x:f>
        <x:v>45961</x:v>
      </x:c>
      <x:c r="AE7" s="32" t="str">
        <x:f>IF(M7&lt;H7,"Existing Employee",IF(U7="","No Assignment",IF(V7=0,"0 Days",IF(V7&lt;=7,"1-7 Days",IF(V7&lt;=14,"8-14 Days",IF(V7&lt;=21,"15-21 Days","21+ Days"))))))</x:f>
        <x:v>Existing Employee</x:v>
      </x:c>
      <x:c r="AF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 s="33" t="n">
        <x:f>--(WorkforceData[[#This Row],[Total Days Worked]]&gt;=121)</x:f>
        <x:v>1</x:v>
      </x:c>
    </x:row>
    <x:row r="8">
      <x:c r="A8" s="236" t="str">
        <x:v>TRN-0007</x:v>
      </x:c>
      <x:c r="B8" s="243"/>
      <x:c r="C8" s="243"/>
      <x:c r="D8" s="243"/>
      <x:c r="E8" s="243"/>
      <x:c r="F8" s="14" t="str">
        <x:v>Recruiter D</x:v>
      </x:c>
      <x:c r="G8" s="14" t="str">
        <x:v>Training Center A</x:v>
      </x:c>
      <x:c r="H8" s="28">
        <x:v>45951</x:v>
      </x:c>
      <x:c r="I8" s="14">
        <x:v>2025</x:v>
      </x:c>
      <x:c r="J8" s="14" t="s">
        <x:v>100</x:v>
      </x:c>
      <x:c r="K8" s="14">
        <x:v>23</x:v>
      </x:c>
      <x:c r="L8" s="29" t="s">
        <x:v>101</x:v>
      </x:c>
      <x:c r="M8" s="28">
        <x:v>45951</x:v>
      </x:c>
      <x:c r="N8" s="28">
        <x:v>46089</x:v>
      </x:c>
      <x:c r="O8" s="14">
        <x:v>138</x:v>
      </x:c>
      <x:c r="P8" s="14" t="s">
        <x:v>113</x:v>
      </x:c>
      <x:c r="Q8" s="14" t="s">
        <x:v>103</x:v>
      </x:c>
      <x:c r="R8" s="14" t="s">
        <x:v>111</x:v>
      </x:c>
      <x:c r="S8" s="14" t="s">
        <x:v>105</x:v>
      </x:c>
      <x:c r="T8" s="14" t="str">
        <x:v>Region D</x:v>
      </x:c>
      <x:c r="U8" s="28">
        <x:v>45963</x:v>
      </x:c>
      <x:c r="V8" s="30">
        <x:v>12</x:v>
      </x:c>
      <x:c r="W8" s="14" t="s">
        <x:v>45</x:v>
      </x:c>
      <x:c r="X8" s="14" t="s">
        <x:v>106</x:v>
      </x:c>
      <x:c r="Y8" s="32" t="str">
        <x:v>TRN-0007|20251021</x:v>
      </x:c>
      <x:c r="Z8" s="32" t="str" cm="1">
        <x:f t="array" ref="Z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Complete</x:v>
      </x:c>
      <x:c r="AA8" s="33" t="n">
        <x:f>--OR(WorkforceData[[#This Row],[Status]]="Active",WorkforceData[[#This Row],[Promoted]]="Yes",WorkforceData[[#This Row],[Total Days Worked]]&gt;=121)</x:f>
        <x:v>1</x:v>
      </x:c>
      <x:c r="AB8" s="33" t="n">
        <x:f>IF(AND(Q8="Terminated",R8="",O8=0),1,0)</x:f>
        <x:v>0</x:v>
      </x:c>
      <x:c r="AC8" s="33" t="n">
        <x:f>--OR(WorkforceData[[#This Row],[Status]]="Resigned",WorkforceData[[#This Row],[Status After Training]]="Withdrew")</x:f>
        <x:v>1</x:v>
      </x:c>
      <x:c r="AD8" s="34" t="n">
        <x:f>EOMONTH(WorkforceData[[#This Row],[Training Date]],0)</x:f>
        <x:v>45961</x:v>
      </x:c>
      <x:c r="AE8" s="32" t="str">
        <x:f>IF(M8&lt;H8,"Existing Employee",IF(U8="","No Assignment",IF(V8=0,"0 Days",IF(V8&lt;=7,"1-7 Days",IF(V8&lt;=14,"8-14 Days",IF(V8&lt;=21,"15-21 Days","21+ Days"))))))</x:f>
        <x:v>8-14 Days</x:v>
      </x:c>
      <x:c r="AF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 s="33" t="n">
        <x:f>--(WorkforceData[[#This Row],[Total Days Worked]]&gt;=121)</x:f>
        <x:v>1</x:v>
      </x:c>
    </x:row>
    <x:row r="9">
      <x:c r="A9" s="236" t="str">
        <x:v>TRN-0008</x:v>
      </x:c>
      <x:c r="B9" s="243"/>
      <x:c r="C9" s="243"/>
      <x:c r="D9" s="243"/>
      <x:c r="E9" s="243"/>
      <x:c r="F9" s="14" t="str">
        <x:v>Recruiter A</x:v>
      </x:c>
      <x:c r="G9" s="14" t="str">
        <x:v>Training Center A</x:v>
      </x:c>
      <x:c r="H9" s="28">
        <x:v>45951</x:v>
      </x:c>
      <x:c r="I9" s="14">
        <x:v>2025</x:v>
      </x:c>
      <x:c r="J9" s="14" t="s">
        <x:v>100</x:v>
      </x:c>
      <x:c r="K9" s="14">
        <x:v>23</x:v>
      </x:c>
      <x:c r="L9" s="29" t="s">
        <x:v>101</x:v>
      </x:c>
      <x:c r="M9" s="28">
        <x:v>45950</x:v>
      </x:c>
      <x:c r="N9" s="14"/>
      <x:c r="O9" s="14">
        <x:v>301</x:v>
      </x:c>
      <x:c r="P9" s="14" t="s">
        <x:v>107</x:v>
      </x:c>
      <x:c r="Q9" s="14" t="s">
        <x:v>25</x:v>
      </x:c>
      <x:c r="R9" s="14"/>
      <x:c r="S9" s="14" t="s">
        <x:v>105</x:v>
      </x:c>
      <x:c r="T9" s="14" t="str">
        <x:v>Region B</x:v>
      </x:c>
      <x:c r="U9" s="28">
        <x:v>46016</x:v>
      </x:c>
      <x:c r="V9" s="30">
        <x:v>65</x:v>
      </x:c>
      <x:c r="W9" s="14" t="s">
        <x:v>114</x:v>
      </x:c>
      <x:c r="X9" s="14" t="s">
        <x:v>115</x:v>
      </x:c>
      <x:c r="Y9" s="32" t="str">
        <x:v>TRN-0008|20251021</x:v>
      </x:c>
      <x:c r="Z9" s="32" t="str" cm="1">
        <x:f t="array" ref="Z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9" s="33" t="n">
        <x:f>--OR(WorkforceData[[#This Row],[Status]]="Active",WorkforceData[[#This Row],[Promoted]]="Yes",WorkforceData[[#This Row],[Total Days Worked]]&gt;=121)</x:f>
        <x:v>1</x:v>
      </x:c>
      <x:c r="AB9" s="33" t="n">
        <x:f>IF(AND(Q9="Terminated",R9="",O9=0),1,0)</x:f>
        <x:v>0</x:v>
      </x:c>
      <x:c r="AC9" s="33" t="n">
        <x:f>--OR(WorkforceData[[#This Row],[Status]]="Resigned",WorkforceData[[#This Row],[Status After Training]]="Withdrew")</x:f>
        <x:v>1</x:v>
      </x:c>
      <x:c r="AD9" s="34" t="n">
        <x:f>EOMONTH(WorkforceData[[#This Row],[Training Date]],0)</x:f>
        <x:v>45961</x:v>
      </x:c>
      <x:c r="AE9" s="32" t="str">
        <x:f>IF(M9&lt;H9,"Existing Employee",IF(U9="","No Assignment",IF(V9=0,"0 Days",IF(V9&lt;=7,"1-7 Days",IF(V9&lt;=14,"8-14 Days",IF(V9&lt;=21,"15-21 Days","21+ Days"))))))</x:f>
        <x:v>Existing Employee</x:v>
      </x:c>
      <x:c r="AF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9" s="33" t="n">
        <x:f>--(WorkforceData[[#This Row],[Total Days Worked]]&gt;=121)</x:f>
        <x:v>1</x:v>
      </x:c>
    </x:row>
    <x:row r="10">
      <x:c r="A10" s="236" t="str">
        <x:v>TRN-0009</x:v>
      </x:c>
      <x:c r="B10" s="243"/>
      <x:c r="C10" s="243"/>
      <x:c r="D10" s="243"/>
      <x:c r="E10" s="243"/>
      <x:c r="F10" s="14" t="str">
        <x:v>Recruiter E</x:v>
      </x:c>
      <x:c r="G10" s="14" t="str">
        <x:v>Training Center A</x:v>
      </x:c>
      <x:c r="H10" s="28">
        <x:v>45951</x:v>
      </x:c>
      <x:c r="I10" s="14">
        <x:v>2025</x:v>
      </x:c>
      <x:c r="J10" s="14" t="s">
        <x:v>100</x:v>
      </x:c>
      <x:c r="K10" s="14">
        <x:v>23</x:v>
      </x:c>
      <x:c r="L10" s="29" t="s">
        <x:v>101</x:v>
      </x:c>
      <x:c r="M10" s="28">
        <x:v>45941</x:v>
      </x:c>
      <x:c r="N10" s="28">
        <x:v>46109</x:v>
      </x:c>
      <x:c r="O10" s="14">
        <x:v>168</x:v>
      </x:c>
      <x:c r="P10" s="14" t="s">
        <x:v>113</x:v>
      </x:c>
      <x:c r="Q10" s="14" t="s">
        <x:v>103</x:v>
      </x:c>
      <x:c r="R10" s="14" t="s">
        <x:v>104</x:v>
      </x:c>
      <x:c r="S10" s="14" t="s">
        <x:v>105</x:v>
      </x:c>
      <x:c r="T10" s="14" t="str">
        <x:v>Region A</x:v>
      </x:c>
      <x:c r="U10" s="28">
        <x:v>45957</x:v>
      </x:c>
      <x:c r="V10" s="30">
        <x:v>6</x:v>
      </x:c>
      <x:c r="W10" s="14" t="s">
        <x:v>109</x:v>
      </x:c>
      <x:c r="X10" s="14" t="s">
        <x:v>106</x:v>
      </x:c>
      <x:c r="Y10" s="32" t="str">
        <x:v>TRN-0009|20251021</x:v>
      </x:c>
      <x:c r="Z10" s="32" t="str" cm="1">
        <x:f t="array" ref="Z1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Complete</x:v>
      </x:c>
      <x:c r="AA10" s="33" t="n">
        <x:f>--OR(WorkforceData[[#This Row],[Status]]="Active",WorkforceData[[#This Row],[Promoted]]="Yes",WorkforceData[[#This Row],[Total Days Worked]]&gt;=121)</x:f>
        <x:v>1</x:v>
      </x:c>
      <x:c r="AB10" s="33" t="n">
        <x:f>IF(AND(Q10="Terminated",R10="",O10=0),1,0)</x:f>
        <x:v>0</x:v>
      </x:c>
      <x:c r="AC10" s="33" t="n">
        <x:f>--OR(WorkforceData[[#This Row],[Status]]="Resigned",WorkforceData[[#This Row],[Status After Training]]="Withdrew")</x:f>
        <x:v>1</x:v>
      </x:c>
      <x:c r="AD10" s="34" t="n">
        <x:f>EOMONTH(WorkforceData[[#This Row],[Training Date]],0)</x:f>
        <x:v>45961</x:v>
      </x:c>
      <x:c r="AE10" s="32" t="str">
        <x:f>IF(M10&lt;H10,"Existing Employee",IF(U10="","No Assignment",IF(V10=0,"0 Days",IF(V10&lt;=7,"1-7 Days",IF(V10&lt;=14,"8-14 Days",IF(V10&lt;=21,"15-21 Days","21+ Days"))))))</x:f>
        <x:v>Existing Employee</x:v>
      </x:c>
      <x:c r="AF1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0" s="33" t="n">
        <x:f>--(WorkforceData[[#This Row],[Total Days Worked]]&gt;=121)</x:f>
        <x:v>1</x:v>
      </x:c>
    </x:row>
    <x:row r="11">
      <x:c r="A11" s="236" t="str">
        <x:v>TRN-0010</x:v>
      </x:c>
      <x:c r="B11" s="243"/>
      <x:c r="C11" s="243"/>
      <x:c r="D11" s="243"/>
      <x:c r="E11" s="243"/>
      <x:c r="F11" s="14" t="str">
        <x:v>Recruiter D</x:v>
      </x:c>
      <x:c r="G11" s="14" t="str">
        <x:v>Training Center A</x:v>
      </x:c>
      <x:c r="H11" s="28">
        <x:v>45951</x:v>
      </x:c>
      <x:c r="I11" s="14">
        <x:v>2025</x:v>
      </x:c>
      <x:c r="J11" s="14" t="s">
        <x:v>100</x:v>
      </x:c>
      <x:c r="K11" s="14">
        <x:v>23</x:v>
      </x:c>
      <x:c r="L11" s="29" t="s">
        <x:v>101</x:v>
      </x:c>
      <x:c r="M11" s="28">
        <x:v>45951</x:v>
      </x:c>
      <x:c r="N11" s="28">
        <x:v>45954</x:v>
      </x:c>
      <x:c r="O11" s="14">
        <x:v>3</x:v>
      </x:c>
      <x:c r="P11" s="14" t="s">
        <x:v>102</x:v>
      </x:c>
      <x:c r="Q11" s="14" t="s">
        <x:v>33</x:v>
      </x:c>
      <x:c r="R11" s="14" t="s">
        <x:v>116</x:v>
      </x:c>
      <x:c r="S11" s="14" t="s">
        <x:v>105</x:v>
      </x:c>
      <x:c r="T11" s="14" t="str">
        <x:v>Region D</x:v>
      </x:c>
      <x:c r="U11" s="28">
        <x:v>45954</x:v>
      </x:c>
      <x:c r="V11" s="30">
        <x:v>3</x:v>
      </x:c>
      <x:c r="W11" s="14" t="s">
        <x:v>109</x:v>
      </x:c>
      <x:c r="X11" s="14" t="s">
        <x:v>106</x:v>
      </x:c>
      <x:c r="Y11" s="32" t="str">
        <x:v>TRN-0010|20251021</x:v>
      </x:c>
      <x:c r="Z11" s="32" t="str" cm="1">
        <x:f t="array" ref="Z1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11" s="33" t="n">
        <x:f>--OR(WorkforceData[[#This Row],[Status]]="Active",WorkforceData[[#This Row],[Promoted]]="Yes",WorkforceData[[#This Row],[Total Days Worked]]&gt;=121)</x:f>
        <x:v>0</x:v>
      </x:c>
      <x:c r="AB11" s="33" t="n">
        <x:f>IF(AND(Q11="Terminated",R11="",O11=0),1,0)</x:f>
        <x:v>0</x:v>
      </x:c>
      <x:c r="AC11" s="33" t="n">
        <x:f>--OR(WorkforceData[[#This Row],[Status]]="Resigned",WorkforceData[[#This Row],[Status After Training]]="Withdrew")</x:f>
        <x:v>0</x:v>
      </x:c>
      <x:c r="AD11" s="34" t="n">
        <x:f>EOMONTH(WorkforceData[[#This Row],[Training Date]],0)</x:f>
        <x:v>45961</x:v>
      </x:c>
      <x:c r="AE11" s="32" t="str">
        <x:f>IF(M11&lt;H11,"Existing Employee",IF(U11="","No Assignment",IF(V11=0,"0 Days",IF(V11&lt;=7,"1-7 Days",IF(V11&lt;=14,"8-14 Days",IF(V11&lt;=21,"15-21 Days","21+ Days"))))))</x:f>
        <x:v>1-7 Days</x:v>
      </x:c>
      <x:c r="AF1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1-7 Days</x:v>
      </x:c>
      <x:c r="AG11" s="33" t="n">
        <x:f>--(WorkforceData[[#This Row],[Total Days Worked]]&gt;=121)</x:f>
        <x:v>0</x:v>
      </x:c>
    </x:row>
    <x:row r="12">
      <x:c r="A12" s="236" t="str">
        <x:v>TRN-0011</x:v>
      </x:c>
      <x:c r="B12" s="243"/>
      <x:c r="C12" s="243"/>
      <x:c r="D12" s="243"/>
      <x:c r="E12" s="243"/>
      <x:c r="F12" s="14" t="str">
        <x:v>Recruiter E</x:v>
      </x:c>
      <x:c r="G12" s="14" t="str">
        <x:v>Training Center A</x:v>
      </x:c>
      <x:c r="H12" s="28">
        <x:v>45951</x:v>
      </x:c>
      <x:c r="I12" s="14">
        <x:v>2025</x:v>
      </x:c>
      <x:c r="J12" s="14" t="s">
        <x:v>100</x:v>
      </x:c>
      <x:c r="K12" s="14">
        <x:v>23</x:v>
      </x:c>
      <x:c r="L12" s="29" t="s">
        <x:v>101</x:v>
      </x:c>
      <x:c r="M12" s="28">
        <x:v>45944</x:v>
      </x:c>
      <x:c r="N12" s="28">
        <x:v>45975</x:v>
      </x:c>
      <x:c r="O12" s="14">
        <x:v>31</x:v>
      </x:c>
      <x:c r="P12" s="14" t="s">
        <x:v>110</x:v>
      </x:c>
      <x:c r="Q12" s="14" t="s">
        <x:v>103</x:v>
      </x:c>
      <x:c r="R12" s="14" t="s">
        <x:v>104</x:v>
      </x:c>
      <x:c r="S12" s="14" t="s">
        <x:v>105</x:v>
      </x:c>
      <x:c r="T12" s="14" t="str">
        <x:v>Region B</x:v>
      </x:c>
      <x:c r="U12" s="28">
        <x:v>45953</x:v>
      </x:c>
      <x:c r="V12" s="30">
        <x:v>2</x:v>
      </x:c>
      <x:c r="W12" s="14" t="s">
        <x:v>109</x:v>
      </x:c>
      <x:c r="X12" s="14" t="s">
        <x:v>106</x:v>
      </x:c>
      <x:c r="Y12" s="32" t="str">
        <x:v>TRN-0011|20251021</x:v>
      </x:c>
      <x:c r="Z12" s="32" t="str" cm="1">
        <x:f t="array" ref="Z1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12" s="33" t="n">
        <x:f>--OR(WorkforceData[[#This Row],[Status]]="Active",WorkforceData[[#This Row],[Promoted]]="Yes",WorkforceData[[#This Row],[Total Days Worked]]&gt;=121)</x:f>
        <x:v>0</x:v>
      </x:c>
      <x:c r="AB12" s="33" t="n">
        <x:f>IF(AND(Q12="Terminated",R12="",O12=0),1,0)</x:f>
        <x:v>0</x:v>
      </x:c>
      <x:c r="AC12" s="33" t="n">
        <x:f>--OR(WorkforceData[[#This Row],[Status]]="Resigned",WorkforceData[[#This Row],[Status After Training]]="Withdrew")</x:f>
        <x:v>1</x:v>
      </x:c>
      <x:c r="AD12" s="34" t="n">
        <x:f>EOMONTH(WorkforceData[[#This Row],[Training Date]],0)</x:f>
        <x:v>45961</x:v>
      </x:c>
      <x:c r="AE12" s="32" t="str">
        <x:f>IF(M12&lt;H12,"Existing Employee",IF(U12="","No Assignment",IF(V12=0,"0 Days",IF(V12&lt;=7,"1-7 Days",IF(V12&lt;=14,"8-14 Days",IF(V12&lt;=21,"15-21 Days","21+ Days"))))))</x:f>
        <x:v>Existing Employee</x:v>
      </x:c>
      <x:c r="AF1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12" s="33" t="n">
        <x:f>--(WorkforceData[[#This Row],[Total Days Worked]]&gt;=121)</x:f>
        <x:v>0</x:v>
      </x:c>
    </x:row>
    <x:row r="13">
      <x:c r="A13" s="236" t="str">
        <x:v>TRN-0012</x:v>
      </x:c>
      <x:c r="B13" s="243"/>
      <x:c r="C13" s="243"/>
      <x:c r="D13" s="243"/>
      <x:c r="E13" s="243"/>
      <x:c r="F13" s="14" t="str">
        <x:v>Recruiter H</x:v>
      </x:c>
      <x:c r="G13" s="14" t="str">
        <x:v>Training Center A</x:v>
      </x:c>
      <x:c r="H13" s="28">
        <x:v>45951</x:v>
      </x:c>
      <x:c r="I13" s="14">
        <x:v>2025</x:v>
      </x:c>
      <x:c r="J13" s="14" t="s">
        <x:v>100</x:v>
      </x:c>
      <x:c r="K13" s="14">
        <x:v>23</x:v>
      </x:c>
      <x:c r="L13" s="29" t="s">
        <x:v>101</x:v>
      </x:c>
      <x:c r="M13" s="28">
        <x:v>45951</x:v>
      </x:c>
      <x:c r="N13" s="28">
        <x:v>45987</x:v>
      </x:c>
      <x:c r="O13" s="14">
        <x:v>36</x:v>
      </x:c>
      <x:c r="P13" s="14" t="s">
        <x:v>110</x:v>
      </x:c>
      <x:c r="Q13" s="14" t="s">
        <x:v>103</x:v>
      </x:c>
      <x:c r="R13" s="14" t="s">
        <x:v>104</x:v>
      </x:c>
      <x:c r="S13" s="14" t="s">
        <x:v>105</x:v>
      </x:c>
      <x:c r="T13" s="14" t="str">
        <x:v>Region B</x:v>
      </x:c>
      <x:c r="U13" s="28">
        <x:v>45959</x:v>
      </x:c>
      <x:c r="V13" s="30">
        <x:v>8</x:v>
      </x:c>
      <x:c r="W13" s="14" t="s">
        <x:v>45</x:v>
      </x:c>
      <x:c r="X13" s="14" t="s">
        <x:v>106</x:v>
      </x:c>
      <x:c r="Y13" s="32" t="str">
        <x:v>TRN-0012|20251021</x:v>
      </x:c>
      <x:c r="Z13" s="32" t="str" cm="1">
        <x:f t="array" ref="Z1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13" s="33" t="n">
        <x:f>--OR(WorkforceData[[#This Row],[Status]]="Active",WorkforceData[[#This Row],[Promoted]]="Yes",WorkforceData[[#This Row],[Total Days Worked]]&gt;=121)</x:f>
        <x:v>0</x:v>
      </x:c>
      <x:c r="AB13" s="33" t="n">
        <x:f>IF(AND(Q13="Terminated",R13="",O13=0),1,0)</x:f>
        <x:v>0</x:v>
      </x:c>
      <x:c r="AC13" s="33" t="n">
        <x:f>--OR(WorkforceData[[#This Row],[Status]]="Resigned",WorkforceData[[#This Row],[Status After Training]]="Withdrew")</x:f>
        <x:v>1</x:v>
      </x:c>
      <x:c r="AD13" s="34" t="n">
        <x:f>EOMONTH(WorkforceData[[#This Row],[Training Date]],0)</x:f>
        <x:v>45961</x:v>
      </x:c>
      <x:c r="AE13" s="32" t="str">
        <x:f>IF(M13&lt;H13,"Existing Employee",IF(U13="","No Assignment",IF(V13=0,"0 Days",IF(V13&lt;=7,"1-7 Days",IF(V13&lt;=14,"8-14 Days",IF(V13&lt;=21,"15-21 Days","21+ Days"))))))</x:f>
        <x:v>8-14 Days</x:v>
      </x:c>
      <x:c r="AF1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13" s="33" t="n">
        <x:f>--(WorkforceData[[#This Row],[Total Days Worked]]&gt;=121)</x:f>
        <x:v>0</x:v>
      </x:c>
    </x:row>
    <x:row r="14">
      <x:c r="A14" s="236" t="str">
        <x:v>TRN-0013</x:v>
      </x:c>
      <x:c r="B14" s="243"/>
      <x:c r="C14" s="243"/>
      <x:c r="D14" s="243"/>
      <x:c r="E14" s="243"/>
      <x:c r="F14" s="14" t="str">
        <x:v>Recruiter E</x:v>
      </x:c>
      <x:c r="G14" s="14" t="str">
        <x:v>Training Center A</x:v>
      </x:c>
      <x:c r="H14" s="28">
        <x:v>45951</x:v>
      </x:c>
      <x:c r="I14" s="14">
        <x:v>2025</x:v>
      </x:c>
      <x:c r="J14" s="14" t="s">
        <x:v>100</x:v>
      </x:c>
      <x:c r="K14" s="14">
        <x:v>23</x:v>
      </x:c>
      <x:c r="L14" s="29" t="s">
        <x:v>101</x:v>
      </x:c>
      <x:c r="M14" s="28">
        <x:v>45944</x:v>
      </x:c>
      <x:c r="N14" s="14"/>
      <x:c r="O14" s="14">
        <x:v>307</x:v>
      </x:c>
      <x:c r="P14" s="14" t="s">
        <x:v>107</x:v>
      </x:c>
      <x:c r="Q14" s="14" t="s">
        <x:v>38</x:v>
      </x:c>
      <x:c r="R14" s="14"/>
      <x:c r="S14" s="14" t="s">
        <x:v>108</x:v>
      </x:c>
      <x:c r="T14" s="14" t="str">
        <x:v>Region E</x:v>
      </x:c>
      <x:c r="U14" s="28">
        <x:v>45952</x:v>
      </x:c>
      <x:c r="V14" s="30">
        <x:v>1</x:v>
      </x:c>
      <x:c r="W14" s="14" t="s">
        <x:v>109</x:v>
      </x:c>
      <x:c r="X14" s="14" t="s">
        <x:v>106</x:v>
      </x:c>
      <x:c r="Y14" s="32" t="str">
        <x:v>TRN-0013|20251021</x:v>
      </x:c>
      <x:c r="Z14" s="32" t="str" cm="1">
        <x:f t="array" ref="Z1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4" s="33" t="n">
        <x:f>--OR(WorkforceData[[#This Row],[Status]]="Active",WorkforceData[[#This Row],[Promoted]]="Yes",WorkforceData[[#This Row],[Total Days Worked]]&gt;=121)</x:f>
        <x:v>1</x:v>
      </x:c>
      <x:c r="AB14" s="33" t="n">
        <x:f>IF(AND(Q14="Terminated",R14="",O14=0),1,0)</x:f>
        <x:v>0</x:v>
      </x:c>
      <x:c r="AC14" s="33" t="n">
        <x:f>--OR(WorkforceData[[#This Row],[Status]]="Resigned",WorkforceData[[#This Row],[Status After Training]]="Withdrew")</x:f>
        <x:v>0</x:v>
      </x:c>
      <x:c r="AD14" s="34" t="n">
        <x:f>EOMONTH(WorkforceData[[#This Row],[Training Date]],0)</x:f>
        <x:v>45961</x:v>
      </x:c>
      <x:c r="AE14" s="32" t="str">
        <x:f>IF(M14&lt;H14,"Existing Employee",IF(U14="","No Assignment",IF(V14=0,"0 Days",IF(V14&lt;=7,"1-7 Days",IF(V14&lt;=14,"8-14 Days",IF(V14&lt;=21,"15-21 Days","21+ Days"))))))</x:f>
        <x:v>Existing Employee</x:v>
      </x:c>
      <x:c r="AF1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4" s="33" t="n">
        <x:f>--(WorkforceData[[#This Row],[Total Days Worked]]&gt;=121)</x:f>
        <x:v>1</x:v>
      </x:c>
    </x:row>
    <x:row r="15">
      <x:c r="A15" s="236" t="str">
        <x:v>TRN-0014</x:v>
      </x:c>
      <x:c r="B15" s="243"/>
      <x:c r="C15" s="243"/>
      <x:c r="D15" s="243"/>
      <x:c r="E15" s="243"/>
      <x:c r="F15" s="14" t="str">
        <x:v>Recruiter C</x:v>
      </x:c>
      <x:c r="G15" s="14" t="str">
        <x:v>Training Center A</x:v>
      </x:c>
      <x:c r="H15" s="28">
        <x:v>45951</x:v>
      </x:c>
      <x:c r="I15" s="14">
        <x:v>2025</x:v>
      </x:c>
      <x:c r="J15" s="14" t="s">
        <x:v>100</x:v>
      </x:c>
      <x:c r="K15" s="14">
        <x:v>23</x:v>
      </x:c>
      <x:c r="L15" s="29" t="s">
        <x:v>101</x:v>
      </x:c>
      <x:c r="M15" s="28">
        <x:v>45946</x:v>
      </x:c>
      <x:c r="N15" s="28">
        <x:v>46251</x:v>
      </x:c>
      <x:c r="O15" s="14">
        <x:v>305</x:v>
      </x:c>
      <x:c r="P15" s="14" t="s">
        <x:v>107</x:v>
      </x:c>
      <x:c r="Q15" s="14" t="s">
        <x:v>103</x:v>
      </x:c>
      <x:c r="R15" s="14" t="s">
        <x:v>111</x:v>
      </x:c>
      <x:c r="S15" s="14" t="s">
        <x:v>108</x:v>
      </x:c>
      <x:c r="T15" s="14" t="str">
        <x:v>Region E</x:v>
      </x:c>
      <x:c r="U15" s="28">
        <x:v>45954</x:v>
      </x:c>
      <x:c r="V15" s="30">
        <x:v>3</x:v>
      </x:c>
      <x:c r="W15" s="14" t="s">
        <x:v>109</x:v>
      </x:c>
      <x:c r="X15" s="14" t="s">
        <x:v>106</x:v>
      </x:c>
      <x:c r="Y15" s="32" t="str">
        <x:v>TRN-0014|20251021</x:v>
      </x:c>
      <x:c r="Z15" s="32" t="str" cm="1">
        <x:f t="array" ref="Z1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15" s="33" t="n">
        <x:f>--OR(WorkforceData[[#This Row],[Status]]="Active",WorkforceData[[#This Row],[Promoted]]="Yes",WorkforceData[[#This Row],[Total Days Worked]]&gt;=121)</x:f>
        <x:v>1</x:v>
      </x:c>
      <x:c r="AB15" s="33" t="n">
        <x:f>IF(AND(Q15="Terminated",R15="",O15=0),1,0)</x:f>
        <x:v>0</x:v>
      </x:c>
      <x:c r="AC15" s="33" t="n">
        <x:f>--OR(WorkforceData[[#This Row],[Status]]="Resigned",WorkforceData[[#This Row],[Status After Training]]="Withdrew")</x:f>
        <x:v>1</x:v>
      </x:c>
      <x:c r="AD15" s="34" t="n">
        <x:f>EOMONTH(WorkforceData[[#This Row],[Training Date]],0)</x:f>
        <x:v>45961</x:v>
      </x:c>
      <x:c r="AE15" s="32" t="str">
        <x:f>IF(M15&lt;H15,"Existing Employee",IF(U15="","No Assignment",IF(V15=0,"0 Days",IF(V15&lt;=7,"1-7 Days",IF(V15&lt;=14,"8-14 Days",IF(V15&lt;=21,"15-21 Days","21+ Days"))))))</x:f>
        <x:v>Existing Employee</x:v>
      </x:c>
      <x:c r="AF1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5" s="33" t="n">
        <x:f>--(WorkforceData[[#This Row],[Total Days Worked]]&gt;=121)</x:f>
        <x:v>1</x:v>
      </x:c>
    </x:row>
    <x:row r="16">
      <x:c r="A16" s="236" t="str">
        <x:v>TRN-0015</x:v>
      </x:c>
      <x:c r="B16" s="243"/>
      <x:c r="C16" s="243"/>
      <x:c r="D16" s="243"/>
      <x:c r="E16" s="243"/>
      <x:c r="F16" s="14" t="str">
        <x:v>Recruiter G</x:v>
      </x:c>
      <x:c r="G16" s="14" t="str">
        <x:v>Training Center A</x:v>
      </x:c>
      <x:c r="H16" s="28">
        <x:v>45951</x:v>
      </x:c>
      <x:c r="I16" s="14">
        <x:v>2025</x:v>
      </x:c>
      <x:c r="J16" s="14" t="s">
        <x:v>100</x:v>
      </x:c>
      <x:c r="K16" s="14">
        <x:v>23</x:v>
      </x:c>
      <x:c r="L16" s="29" t="s">
        <x:v>101</x:v>
      </x:c>
      <x:c r="M16" s="28">
        <x:v>45941</x:v>
      </x:c>
      <x:c r="N16" s="14"/>
      <x:c r="O16" s="14">
        <x:v>310</x:v>
      </x:c>
      <x:c r="P16" s="14" t="s">
        <x:v>107</x:v>
      </x:c>
      <x:c r="Q16" s="14" t="s">
        <x:v>25</x:v>
      </x:c>
      <x:c r="R16" s="14"/>
      <x:c r="S16" s="14" t="s">
        <x:v>108</x:v>
      </x:c>
      <x:c r="T16" s="14" t="str">
        <x:v>Region D</x:v>
      </x:c>
      <x:c r="U16" s="28">
        <x:v>45960</x:v>
      </x:c>
      <x:c r="V16" s="30">
        <x:v>9</x:v>
      </x:c>
      <x:c r="W16" s="14" t="s">
        <x:v>45</x:v>
      </x:c>
      <x:c r="X16" s="14" t="s">
        <x:v>106</x:v>
      </x:c>
      <x:c r="Y16" s="32" t="str">
        <x:v>TRN-0015|20251021</x:v>
      </x:c>
      <x:c r="Z16" s="32" t="str" cm="1">
        <x:f t="array" ref="Z1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6" s="33" t="n">
        <x:f>--OR(WorkforceData[[#This Row],[Status]]="Active",WorkforceData[[#This Row],[Promoted]]="Yes",WorkforceData[[#This Row],[Total Days Worked]]&gt;=121)</x:f>
        <x:v>1</x:v>
      </x:c>
      <x:c r="AB16" s="33" t="n">
        <x:f>IF(AND(Q16="Terminated",R16="",O16=0),1,0)</x:f>
        <x:v>0</x:v>
      </x:c>
      <x:c r="AC16" s="33" t="n">
        <x:f>--OR(WorkforceData[[#This Row],[Status]]="Resigned",WorkforceData[[#This Row],[Status After Training]]="Withdrew")</x:f>
        <x:v>0</x:v>
      </x:c>
      <x:c r="AD16" s="34" t="n">
        <x:f>EOMONTH(WorkforceData[[#This Row],[Training Date]],0)</x:f>
        <x:v>45961</x:v>
      </x:c>
      <x:c r="AE16" s="32" t="str">
        <x:f>IF(M16&lt;H16,"Existing Employee",IF(U16="","No Assignment",IF(V16=0,"0 Days",IF(V16&lt;=7,"1-7 Days",IF(V16&lt;=14,"8-14 Days",IF(V16&lt;=21,"15-21 Days","21+ Days"))))))</x:f>
        <x:v>Existing Employee</x:v>
      </x:c>
      <x:c r="AF1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6" s="33" t="n">
        <x:f>--(WorkforceData[[#This Row],[Total Days Worked]]&gt;=121)</x:f>
        <x:v>1</x:v>
      </x:c>
    </x:row>
    <x:row r="17">
      <x:c r="A17" s="236" t="str">
        <x:v>TRN-0016</x:v>
      </x:c>
      <x:c r="B17" s="243"/>
      <x:c r="C17" s="243"/>
      <x:c r="D17" s="243"/>
      <x:c r="E17" s="243"/>
      <x:c r="F17" s="14" t="str">
        <x:v>Recruiter A</x:v>
      </x:c>
      <x:c r="G17" s="14" t="str">
        <x:v>Training Center A</x:v>
      </x:c>
      <x:c r="H17" s="28">
        <x:v>45951</x:v>
      </x:c>
      <x:c r="I17" s="14">
        <x:v>2025</x:v>
      </x:c>
      <x:c r="J17" s="14" t="s">
        <x:v>100</x:v>
      </x:c>
      <x:c r="K17" s="14">
        <x:v>23</x:v>
      </x:c>
      <x:c r="L17" s="29" t="s">
        <x:v>101</x:v>
      </x:c>
      <x:c r="M17" s="28">
        <x:v>45951</x:v>
      </x:c>
      <x:c r="N17" s="14"/>
      <x:c r="O17" s="14">
        <x:v>300</x:v>
      </x:c>
      <x:c r="P17" s="14" t="s">
        <x:v>107</x:v>
      </x:c>
      <x:c r="Q17" s="14" t="s">
        <x:v>25</x:v>
      </x:c>
      <x:c r="R17" s="14"/>
      <x:c r="S17" s="14" t="s">
        <x:v>108</x:v>
      </x:c>
      <x:c r="T17" s="14" t="str">
        <x:v>Region E</x:v>
      </x:c>
      <x:c r="U17" s="28">
        <x:v>46009</x:v>
      </x:c>
      <x:c r="V17" s="30">
        <x:v>58</x:v>
      </x:c>
      <x:c r="W17" s="14" t="s">
        <x:v>63</x:v>
      </x:c>
      <x:c r="X17" s="14" t="s">
        <x:v>117</x:v>
      </x:c>
      <x:c r="Y17" s="32" t="str">
        <x:v>TRN-0016|20251021</x:v>
      </x:c>
      <x:c r="Z17" s="32" t="str" cm="1">
        <x:f t="array" ref="Z1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7" s="33" t="n">
        <x:f>--OR(WorkforceData[[#This Row],[Status]]="Active",WorkforceData[[#This Row],[Promoted]]="Yes",WorkforceData[[#This Row],[Total Days Worked]]&gt;=121)</x:f>
        <x:v>1</x:v>
      </x:c>
      <x:c r="AB17" s="33" t="n">
        <x:f>IF(AND(Q17="Terminated",R17="",O17=0),1,0)</x:f>
        <x:v>0</x:v>
      </x:c>
      <x:c r="AC17" s="33" t="n">
        <x:f>--OR(WorkforceData[[#This Row],[Status]]="Resigned",WorkforceData[[#This Row],[Status After Training]]="Withdrew")</x:f>
        <x:v>0</x:v>
      </x:c>
      <x:c r="AD17" s="34" t="n">
        <x:f>EOMONTH(WorkforceData[[#This Row],[Training Date]],0)</x:f>
        <x:v>45961</x:v>
      </x:c>
      <x:c r="AE17" s="32" t="str">
        <x:f>IF(M17&lt;H17,"Existing Employee",IF(U17="","No Assignment",IF(V17=0,"0 Days",IF(V17&lt;=7,"1-7 Days",IF(V17&lt;=14,"8-14 Days",IF(V17&lt;=21,"15-21 Days","21+ Days"))))))</x:f>
        <x:v>21+ Days</x:v>
      </x:c>
      <x:c r="AF1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7" s="33" t="n">
        <x:f>--(WorkforceData[[#This Row],[Total Days Worked]]&gt;=121)</x:f>
        <x:v>1</x:v>
      </x:c>
    </x:row>
    <x:row r="18">
      <x:c r="A18" s="236" t="str">
        <x:v>TRN-0017</x:v>
      </x:c>
      <x:c r="B18" s="243"/>
      <x:c r="C18" s="243"/>
      <x:c r="D18" s="243"/>
      <x:c r="E18" s="243"/>
      <x:c r="F18" s="14" t="str">
        <x:v>Recruiter B</x:v>
      </x:c>
      <x:c r="G18" s="14" t="str">
        <x:v>Training Center A</x:v>
      </x:c>
      <x:c r="H18" s="28">
        <x:v>45951</x:v>
      </x:c>
      <x:c r="I18" s="14">
        <x:v>2025</x:v>
      </x:c>
      <x:c r="J18" s="14" t="s">
        <x:v>100</x:v>
      </x:c>
      <x:c r="K18" s="14">
        <x:v>23</x:v>
      </x:c>
      <x:c r="L18" s="29" t="s">
        <x:v>101</x:v>
      </x:c>
      <x:c r="M18" s="28">
        <x:v>45950</x:v>
      </x:c>
      <x:c r="N18" s="14"/>
      <x:c r="O18" s="14">
        <x:v>301</x:v>
      </x:c>
      <x:c r="P18" s="14" t="s">
        <x:v>107</x:v>
      </x:c>
      <x:c r="Q18" s="14" t="s">
        <x:v>38</x:v>
      </x:c>
      <x:c r="R18" s="14"/>
      <x:c r="S18" s="14" t="s">
        <x:v>108</x:v>
      </x:c>
      <x:c r="T18" s="14" t="str">
        <x:v>Region A</x:v>
      </x:c>
      <x:c r="U18" s="28">
        <x:v>45951</x:v>
      </x:c>
      <x:c r="V18" s="30">
        <x:v>0</x:v>
      </x:c>
      <x:c r="W18" s="14" t="s">
        <x:v>109</x:v>
      </x:c>
      <x:c r="X18" s="14" t="s">
        <x:v>106</x:v>
      </x:c>
      <x:c r="Y18" s="32" t="str">
        <x:v>TRN-0017|20251021</x:v>
      </x:c>
      <x:c r="Z18" s="32" t="str" cm="1">
        <x:f t="array" ref="Z1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8" s="33" t="n">
        <x:f>--OR(WorkforceData[[#This Row],[Status]]="Active",WorkforceData[[#This Row],[Promoted]]="Yes",WorkforceData[[#This Row],[Total Days Worked]]&gt;=121)</x:f>
        <x:v>1</x:v>
      </x:c>
      <x:c r="AB18" s="33" t="n">
        <x:f>IF(AND(Q18="Terminated",R18="",O18=0),1,0)</x:f>
        <x:v>0</x:v>
      </x:c>
      <x:c r="AC18" s="33" t="n">
        <x:f>--OR(WorkforceData[[#This Row],[Status]]="Resigned",WorkforceData[[#This Row],[Status After Training]]="Withdrew")</x:f>
        <x:v>0</x:v>
      </x:c>
      <x:c r="AD18" s="34" t="n">
        <x:f>EOMONTH(WorkforceData[[#This Row],[Training Date]],0)</x:f>
        <x:v>45961</x:v>
      </x:c>
      <x:c r="AE18" s="32" t="str">
        <x:f>IF(M18&lt;H18,"Existing Employee",IF(U18="","No Assignment",IF(V18=0,"0 Days",IF(V18&lt;=7,"1-7 Days",IF(V18&lt;=14,"8-14 Days",IF(V18&lt;=21,"15-21 Days","21+ Days"))))))</x:f>
        <x:v>Existing Employee</x:v>
      </x:c>
      <x:c r="AF1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8" s="33" t="n">
        <x:f>--(WorkforceData[[#This Row],[Total Days Worked]]&gt;=121)</x:f>
        <x:v>1</x:v>
      </x:c>
    </x:row>
    <x:row r="19">
      <x:c r="A19" s="236" t="str">
        <x:v>TRN-0018</x:v>
      </x:c>
      <x:c r="B19" s="243"/>
      <x:c r="C19" s="243"/>
      <x:c r="D19" s="243"/>
      <x:c r="E19" s="243"/>
      <x:c r="F19" s="14" t="str">
        <x:v>Recruiter F</x:v>
      </x:c>
      <x:c r="G19" s="14" t="str">
        <x:v>Training Center A</x:v>
      </x:c>
      <x:c r="H19" s="28">
        <x:v>45951</x:v>
      </x:c>
      <x:c r="I19" s="14">
        <x:v>2025</x:v>
      </x:c>
      <x:c r="J19" s="14" t="s">
        <x:v>100</x:v>
      </x:c>
      <x:c r="K19" s="14">
        <x:v>23</x:v>
      </x:c>
      <x:c r="L19" s="29" t="s">
        <x:v>101</x:v>
      </x:c>
      <x:c r="M19" s="28">
        <x:v>45950</x:v>
      </x:c>
      <x:c r="N19" s="28">
        <x:v>45953</x:v>
      </x:c>
      <x:c r="O19" s="14">
        <x:v>3</x:v>
      </x:c>
      <x:c r="P19" s="14" t="s">
        <x:v>102</x:v>
      </x:c>
      <x:c r="Q19" s="14" t="s">
        <x:v>103</x:v>
      </x:c>
      <x:c r="R19" s="14" t="s">
        <x:v>104</x:v>
      </x:c>
      <x:c r="S19" s="14" t="s">
        <x:v>105</x:v>
      </x:c>
      <x:c r="T19" s="14" t="str">
        <x:v>Region A</x:v>
      </x:c>
      <x:c r="U19" s="28">
        <x:v>45953</x:v>
      </x:c>
      <x:c r="V19" s="30">
        <x:v>2</x:v>
      </x:c>
      <x:c r="W19" s="14" t="s">
        <x:v>109</x:v>
      </x:c>
      <x:c r="X19" s="14" t="s">
        <x:v>106</x:v>
      </x:c>
      <x:c r="Y19" s="32" t="str">
        <x:v>TRN-0018|20251021</x:v>
      </x:c>
      <x:c r="Z19" s="32" t="str" cm="1">
        <x:f t="array" ref="Z1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19" s="33" t="n">
        <x:f>--OR(WorkforceData[[#This Row],[Status]]="Active",WorkforceData[[#This Row],[Promoted]]="Yes",WorkforceData[[#This Row],[Total Days Worked]]&gt;=121)</x:f>
        <x:v>0</x:v>
      </x:c>
      <x:c r="AB19" s="33" t="n">
        <x:f>IF(AND(Q19="Terminated",R19="",O19=0),1,0)</x:f>
        <x:v>0</x:v>
      </x:c>
      <x:c r="AC19" s="33" t="n">
        <x:f>--OR(WorkforceData[[#This Row],[Status]]="Resigned",WorkforceData[[#This Row],[Status After Training]]="Withdrew")</x:f>
        <x:v>1</x:v>
      </x:c>
      <x:c r="AD19" s="34" t="n">
        <x:f>EOMONTH(WorkforceData[[#This Row],[Training Date]],0)</x:f>
        <x:v>45961</x:v>
      </x:c>
      <x:c r="AE19" s="32" t="str">
        <x:f>IF(M19&lt;H19,"Existing Employee",IF(U19="","No Assignment",IF(V19=0,"0 Days",IF(V19&lt;=7,"1-7 Days",IF(V19&lt;=14,"8-14 Days",IF(V19&lt;=21,"15-21 Days","21+ Days"))))))</x:f>
        <x:v>Existing Employee</x:v>
      </x:c>
      <x:c r="AF1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1-7 Days</x:v>
      </x:c>
      <x:c r="AG19" s="33" t="n">
        <x:f>--(WorkforceData[[#This Row],[Total Days Worked]]&gt;=121)</x:f>
        <x:v>0</x:v>
      </x:c>
    </x:row>
    <x:row r="20">
      <x:c r="A20" s="236" t="str">
        <x:v>TRN-0019</x:v>
      </x:c>
      <x:c r="B20" s="243"/>
      <x:c r="C20" s="243"/>
      <x:c r="D20" s="243"/>
      <x:c r="E20" s="243"/>
      <x:c r="F20" s="14" t="str">
        <x:v>Recruiter B</x:v>
      </x:c>
      <x:c r="G20" s="14" t="str">
        <x:v>Training Center A</x:v>
      </x:c>
      <x:c r="H20" s="28">
        <x:v>45951</x:v>
      </x:c>
      <x:c r="I20" s="14">
        <x:v>2025</x:v>
      </x:c>
      <x:c r="J20" s="14" t="s">
        <x:v>100</x:v>
      </x:c>
      <x:c r="K20" s="14">
        <x:v>23</x:v>
      </x:c>
      <x:c r="L20" s="29" t="s">
        <x:v>101</x:v>
      </x:c>
      <x:c r="M20" s="28">
        <x:v>45941</x:v>
      </x:c>
      <x:c r="N20" s="28">
        <x:v>45944</x:v>
      </x:c>
      <x:c r="O20" s="14">
        <x:v>3</x:v>
      </x:c>
      <x:c r="P20" s="14" t="s">
        <x:v>102</x:v>
      </x:c>
      <x:c r="Q20" s="14" t="s">
        <x:v>103</x:v>
      </x:c>
      <x:c r="R20" s="14" t="s">
        <x:v>111</x:v>
      </x:c>
      <x:c r="S20" s="14" t="s">
        <x:v>105</x:v>
      </x:c>
      <x:c r="T20" s="14"/>
      <x:c r="U20" s="28"/>
      <x:c r="V20" s="30"/>
      <x:c r="W20" s="14"/>
      <x:c r="X20" s="14" t="s">
        <x:v>71</x:v>
      </x:c>
      <x:c r="Y20" s="32" t="str">
        <x:v>TRN-0019|20251021</x:v>
      </x:c>
      <x:c r="Z20" s="32" t="str" cm="1">
        <x:f t="array" ref="Z2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20" s="33" t="n">
        <x:f>--OR(WorkforceData[[#This Row],[Status]]="Active",WorkforceData[[#This Row],[Promoted]]="Yes",WorkforceData[[#This Row],[Total Days Worked]]&gt;=121)</x:f>
        <x:v>0</x:v>
      </x:c>
      <x:c r="AB20" s="33" t="n">
        <x:f>IF(AND(Q20="Terminated",R20="",O20=0),1,0)</x:f>
        <x:v>0</x:v>
      </x:c>
      <x:c r="AC20" s="33" t="n">
        <x:f>--OR(WorkforceData[[#This Row],[Status]]="Resigned",WorkforceData[[#This Row],[Status After Training]]="Withdrew")</x:f>
        <x:v>1</x:v>
      </x:c>
      <x:c r="AD20" s="34" t="n">
        <x:f>EOMONTH(WorkforceData[[#This Row],[Training Date]],0)</x:f>
        <x:v>45961</x:v>
      </x:c>
      <x:c r="AE20" s="32" t="str">
        <x:f>IF(M20&lt;H20,"Existing Employee",IF(U20="","No Assignment",IF(V20=0,"0 Days",IF(V20&lt;=7,"1-7 Days",IF(V20&lt;=14,"8-14 Days",IF(V20&lt;=21,"15-21 Days","21+ Days"))))))</x:f>
        <x:v>Existing Employee</x:v>
      </x:c>
      <x:c r="AF2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1-7 Days</x:v>
      </x:c>
      <x:c r="AG20" s="33" t="n">
        <x:f>--(WorkforceData[[#This Row],[Total Days Worked]]&gt;=121)</x:f>
        <x:v>0</x:v>
      </x:c>
    </x:row>
    <x:row r="21">
      <x:c r="A21" s="236" t="str">
        <x:v>TRN-0020</x:v>
      </x:c>
      <x:c r="B21" s="243"/>
      <x:c r="C21" s="243"/>
      <x:c r="D21" s="243"/>
      <x:c r="E21" s="243"/>
      <x:c r="F21" s="14" t="str">
        <x:v>Recruiter E</x:v>
      </x:c>
      <x:c r="G21" s="14" t="str">
        <x:v>Training Center A</x:v>
      </x:c>
      <x:c r="H21" s="28">
        <x:v>45951</x:v>
      </x:c>
      <x:c r="I21" s="14">
        <x:v>2025</x:v>
      </x:c>
      <x:c r="J21" s="14" t="s">
        <x:v>100</x:v>
      </x:c>
      <x:c r="K21" s="14">
        <x:v>23</x:v>
      </x:c>
      <x:c r="L21" s="29" t="s">
        <x:v>101</x:v>
      </x:c>
      <x:c r="M21" s="28">
        <x:v>45951</x:v>
      </x:c>
      <x:c r="N21" s="28">
        <x:v>46134</x:v>
      </x:c>
      <x:c r="O21" s="14">
        <x:v>183</x:v>
      </x:c>
      <x:c r="P21" s="14" t="s">
        <x:v>107</x:v>
      </x:c>
      <x:c r="Q21" s="14" t="s">
        <x:v>33</x:v>
      </x:c>
      <x:c r="R21" s="14" t="s">
        <x:v>116</x:v>
      </x:c>
      <x:c r="S21" s="14" t="s">
        <x:v>108</x:v>
      </x:c>
      <x:c r="T21" s="14" t="str">
        <x:v>Region A</x:v>
      </x:c>
      <x:c r="U21" s="28">
        <x:v>45953</x:v>
      </x:c>
      <x:c r="V21" s="30">
        <x:v>2</x:v>
      </x:c>
      <x:c r="W21" s="14" t="s">
        <x:v>109</x:v>
      </x:c>
      <x:c r="X21" s="14" t="s">
        <x:v>106</x:v>
      </x:c>
      <x:c r="Y21" s="32" t="str">
        <x:v>TRN-0020|20251021</x:v>
      </x:c>
      <x:c r="Z21" s="32" t="str" cm="1">
        <x:f t="array" ref="Z2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21" s="33" t="n">
        <x:f>--OR(WorkforceData[[#This Row],[Status]]="Active",WorkforceData[[#This Row],[Promoted]]="Yes",WorkforceData[[#This Row],[Total Days Worked]]&gt;=121)</x:f>
        <x:v>1</x:v>
      </x:c>
      <x:c r="AB21" s="33" t="n">
        <x:f>IF(AND(Q21="Terminated",R21="",O21=0),1,0)</x:f>
        <x:v>0</x:v>
      </x:c>
      <x:c r="AC21" s="33" t="n">
        <x:f>--OR(WorkforceData[[#This Row],[Status]]="Resigned",WorkforceData[[#This Row],[Status After Training]]="Withdrew")</x:f>
        <x:v>0</x:v>
      </x:c>
      <x:c r="AD21" s="34" t="n">
        <x:f>EOMONTH(WorkforceData[[#This Row],[Training Date]],0)</x:f>
        <x:v>45961</x:v>
      </x:c>
      <x:c r="AE21" s="32" t="str">
        <x:f>IF(M21&lt;H21,"Existing Employee",IF(U21="","No Assignment",IF(V21=0,"0 Days",IF(V21&lt;=7,"1-7 Days",IF(V21&lt;=14,"8-14 Days",IF(V21&lt;=21,"15-21 Days","21+ Days"))))))</x:f>
        <x:v>1-7 Days</x:v>
      </x:c>
      <x:c r="AF2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1" s="33" t="n">
        <x:f>--(WorkforceData[[#This Row],[Total Days Worked]]&gt;=121)</x:f>
        <x:v>1</x:v>
      </x:c>
    </x:row>
    <x:row r="22">
      <x:c r="A22" s="236" t="str">
        <x:v>TRN-0021</x:v>
      </x:c>
      <x:c r="B22" s="243"/>
      <x:c r="C22" s="243"/>
      <x:c r="D22" s="243"/>
      <x:c r="E22" s="243"/>
      <x:c r="F22" s="14" t="str">
        <x:v>Recruiter H</x:v>
      </x:c>
      <x:c r="G22" s="14" t="str">
        <x:v>Training Center A</x:v>
      </x:c>
      <x:c r="H22" s="28">
        <x:v>45951</x:v>
      </x:c>
      <x:c r="I22" s="14">
        <x:v>2025</x:v>
      </x:c>
      <x:c r="J22" s="14" t="s">
        <x:v>100</x:v>
      </x:c>
      <x:c r="K22" s="14">
        <x:v>23</x:v>
      </x:c>
      <x:c r="L22" s="29" t="s">
        <x:v>101</x:v>
      </x:c>
      <x:c r="M22" s="28">
        <x:v>45949</x:v>
      </x:c>
      <x:c r="N22" s="28">
        <x:v>45958</x:v>
      </x:c>
      <x:c r="O22" s="14">
        <x:v>9</x:v>
      </x:c>
      <x:c r="P22" s="14" t="s">
        <x:v>102</x:v>
      </x:c>
      <x:c r="Q22" s="14" t="s">
        <x:v>103</x:v>
      </x:c>
      <x:c r="R22" s="14" t="s">
        <x:v>104</x:v>
      </x:c>
      <x:c r="S22" s="14" t="s">
        <x:v>105</x:v>
      </x:c>
      <x:c r="T22" s="14" t="str">
        <x:v>Region A</x:v>
      </x:c>
      <x:c r="U22" s="28">
        <x:v>45951</x:v>
      </x:c>
      <x:c r="V22" s="30">
        <x:v>0</x:v>
      </x:c>
      <x:c r="W22" s="14" t="s">
        <x:v>109</x:v>
      </x:c>
      <x:c r="X22" s="14" t="s">
        <x:v>106</x:v>
      </x:c>
      <x:c r="Y22" s="32" t="str">
        <x:v>TRN-0021|20251021</x:v>
      </x:c>
      <x:c r="Z22" s="32" t="str" cm="1">
        <x:f t="array" ref="Z2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22" s="33" t="n">
        <x:f>--OR(WorkforceData[[#This Row],[Status]]="Active",WorkforceData[[#This Row],[Promoted]]="Yes",WorkforceData[[#This Row],[Total Days Worked]]&gt;=121)</x:f>
        <x:v>0</x:v>
      </x:c>
      <x:c r="AB22" s="33" t="n">
        <x:f>IF(AND(Q22="Terminated",R22="",O22=0),1,0)</x:f>
        <x:v>0</x:v>
      </x:c>
      <x:c r="AC22" s="33" t="n">
        <x:f>--OR(WorkforceData[[#This Row],[Status]]="Resigned",WorkforceData[[#This Row],[Status After Training]]="Withdrew")</x:f>
        <x:v>1</x:v>
      </x:c>
      <x:c r="AD22" s="34" t="n">
        <x:f>EOMONTH(WorkforceData[[#This Row],[Training Date]],0)</x:f>
        <x:v>45961</x:v>
      </x:c>
      <x:c r="AE22" s="32" t="str">
        <x:f>IF(M22&lt;H22,"Existing Employee",IF(U22="","No Assignment",IF(V22=0,"0 Days",IF(V22&lt;=7,"1-7 Days",IF(V22&lt;=14,"8-14 Days",IF(V22&lt;=21,"15-21 Days","21+ Days"))))))</x:f>
        <x:v>Existing Employee</x:v>
      </x:c>
      <x:c r="AF2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22" s="33" t="n">
        <x:f>--(WorkforceData[[#This Row],[Total Days Worked]]&gt;=121)</x:f>
        <x:v>0</x:v>
      </x:c>
    </x:row>
    <x:row r="23">
      <x:c r="A23" s="236" t="str">
        <x:v>TRN-0022</x:v>
      </x:c>
      <x:c r="B23" s="243"/>
      <x:c r="C23" s="243"/>
      <x:c r="D23" s="243"/>
      <x:c r="E23" s="243"/>
      <x:c r="F23" s="14" t="str">
        <x:v>Recruiter G</x:v>
      </x:c>
      <x:c r="G23" s="14" t="str">
        <x:v>Training Center A</x:v>
      </x:c>
      <x:c r="H23" s="28">
        <x:v>45951</x:v>
      </x:c>
      <x:c r="I23" s="14">
        <x:v>2025</x:v>
      </x:c>
      <x:c r="J23" s="14" t="s">
        <x:v>100</x:v>
      </x:c>
      <x:c r="K23" s="14">
        <x:v>23</x:v>
      </x:c>
      <x:c r="L23" s="29" t="s">
        <x:v>101</x:v>
      </x:c>
      <x:c r="M23" s="28">
        <x:v>45941</x:v>
      </x:c>
      <x:c r="N23" s="14"/>
      <x:c r="O23" s="14">
        <x:v>310</x:v>
      </x:c>
      <x:c r="P23" s="14" t="s">
        <x:v>107</x:v>
      </x:c>
      <x:c r="Q23" s="14" t="s">
        <x:v>25</x:v>
      </x:c>
      <x:c r="R23" s="14"/>
      <x:c r="S23" s="14" t="s">
        <x:v>105</x:v>
      </x:c>
      <x:c r="T23" s="14"/>
      <x:c r="U23" s="28"/>
      <x:c r="V23" s="30"/>
      <x:c r="W23" s="14"/>
      <x:c r="X23" s="14" t="s">
        <x:v>71</x:v>
      </x:c>
      <x:c r="Y23" s="32" t="str">
        <x:v>TRN-0022|20251021</x:v>
      </x:c>
      <x:c r="Z23" s="32" t="str" cm="1">
        <x:f t="array" ref="Z2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23" s="33" t="n">
        <x:f>--OR(WorkforceData[[#This Row],[Status]]="Active",WorkforceData[[#This Row],[Promoted]]="Yes",WorkforceData[[#This Row],[Total Days Worked]]&gt;=121)</x:f>
        <x:v>1</x:v>
      </x:c>
      <x:c r="AB23" s="33" t="n">
        <x:f>IF(AND(Q23="Terminated",R23="",O23=0),1,0)</x:f>
        <x:v>0</x:v>
      </x:c>
      <x:c r="AC23" s="33" t="n">
        <x:f>--OR(WorkforceData[[#This Row],[Status]]="Resigned",WorkforceData[[#This Row],[Status After Training]]="Withdrew")</x:f>
        <x:v>0</x:v>
      </x:c>
      <x:c r="AD23" s="34" t="n">
        <x:f>EOMONTH(WorkforceData[[#This Row],[Training Date]],0)</x:f>
        <x:v>45961</x:v>
      </x:c>
      <x:c r="AE23" s="32" t="str">
        <x:f>IF(M23&lt;H23,"Existing Employee",IF(U23="","No Assignment",IF(V23=0,"0 Days",IF(V23&lt;=7,"1-7 Days",IF(V23&lt;=14,"8-14 Days",IF(V23&lt;=21,"15-21 Days","21+ Days"))))))</x:f>
        <x:v>Existing Employee</x:v>
      </x:c>
      <x:c r="AF2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3" s="33" t="n">
        <x:f>--(WorkforceData[[#This Row],[Total Days Worked]]&gt;=121)</x:f>
        <x:v>1</x:v>
      </x:c>
    </x:row>
    <x:row r="24">
      <x:c r="A24" s="236" t="str">
        <x:v>TRN-0023</x:v>
      </x:c>
      <x:c r="B24" s="243"/>
      <x:c r="C24" s="243"/>
      <x:c r="D24" s="243"/>
      <x:c r="E24" s="243"/>
      <x:c r="F24" s="14" t="str">
        <x:v>Recruiter A</x:v>
      </x:c>
      <x:c r="G24" s="14" t="str">
        <x:v>Training Center A</x:v>
      </x:c>
      <x:c r="H24" s="28">
        <x:v>45951</x:v>
      </x:c>
      <x:c r="I24" s="14">
        <x:v>2025</x:v>
      </x:c>
      <x:c r="J24" s="14" t="s">
        <x:v>100</x:v>
      </x:c>
      <x:c r="K24" s="14">
        <x:v>23</x:v>
      </x:c>
      <x:c r="L24" s="29" t="s">
        <x:v>101</x:v>
      </x:c>
      <x:c r="M24" s="28">
        <x:v>45948</x:v>
      </x:c>
      <x:c r="N24" s="14"/>
      <x:c r="O24" s="14">
        <x:v>303</x:v>
      </x:c>
      <x:c r="P24" s="14" t="s">
        <x:v>107</x:v>
      </x:c>
      <x:c r="Q24" s="14" t="s">
        <x:v>38</x:v>
      </x:c>
      <x:c r="R24" s="14"/>
      <x:c r="S24" s="14" t="s">
        <x:v>108</x:v>
      </x:c>
      <x:c r="T24" s="14" t="str">
        <x:v>Region A</x:v>
      </x:c>
      <x:c r="U24" s="28">
        <x:v>45962</x:v>
      </x:c>
      <x:c r="V24" s="30">
        <x:v>11</x:v>
      </x:c>
      <x:c r="W24" s="14" t="s">
        <x:v>45</x:v>
      </x:c>
      <x:c r="X24" s="14" t="s">
        <x:v>106</x:v>
      </x:c>
      <x:c r="Y24" s="32" t="str">
        <x:v>TRN-0023|20251021</x:v>
      </x:c>
      <x:c r="Z24" s="32" t="str" cm="1">
        <x:f t="array" ref="Z2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24" s="33" t="n">
        <x:f>--OR(WorkforceData[[#This Row],[Status]]="Active",WorkforceData[[#This Row],[Promoted]]="Yes",WorkforceData[[#This Row],[Total Days Worked]]&gt;=121)</x:f>
        <x:v>1</x:v>
      </x:c>
      <x:c r="AB24" s="33" t="n">
        <x:f>IF(AND(Q24="Terminated",R24="",O24=0),1,0)</x:f>
        <x:v>0</x:v>
      </x:c>
      <x:c r="AC24" s="33" t="n">
        <x:f>--OR(WorkforceData[[#This Row],[Status]]="Resigned",WorkforceData[[#This Row],[Status After Training]]="Withdrew")</x:f>
        <x:v>0</x:v>
      </x:c>
      <x:c r="AD24" s="34" t="n">
        <x:f>EOMONTH(WorkforceData[[#This Row],[Training Date]],0)</x:f>
        <x:v>45961</x:v>
      </x:c>
      <x:c r="AE24" s="32" t="str">
        <x:f>IF(M24&lt;H24,"Existing Employee",IF(U24="","No Assignment",IF(V24=0,"0 Days",IF(V24&lt;=7,"1-7 Days",IF(V24&lt;=14,"8-14 Days",IF(V24&lt;=21,"15-21 Days","21+ Days"))))))</x:f>
        <x:v>Existing Employee</x:v>
      </x:c>
      <x:c r="AF2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4" s="33" t="n">
        <x:f>--(WorkforceData[[#This Row],[Total Days Worked]]&gt;=121)</x:f>
        <x:v>1</x:v>
      </x:c>
    </x:row>
    <x:row r="25">
      <x:c r="A25" s="236" t="str">
        <x:v>TRN-0024</x:v>
      </x:c>
      <x:c r="B25" s="243"/>
      <x:c r="C25" s="243"/>
      <x:c r="D25" s="243"/>
      <x:c r="E25" s="243"/>
      <x:c r="F25" s="14" t="str">
        <x:v>Recruiter F</x:v>
      </x:c>
      <x:c r="G25" s="14" t="str">
        <x:v>Training Center A</x:v>
      </x:c>
      <x:c r="H25" s="28">
        <x:v>45801</x:v>
      </x:c>
      <x:c r="I25" s="14">
        <x:v>2025</x:v>
      </x:c>
      <x:c r="J25" s="14" t="s">
        <x:v>118</x:v>
      </x:c>
      <x:c r="K25" s="14">
        <x:v>18</x:v>
      </x:c>
      <x:c r="L25" s="29" t="s">
        <x:v>119</x:v>
      </x:c>
      <x:c r="M25" s="28">
        <x:v>45800</x:v>
      </x:c>
      <x:c r="N25" s="14"/>
      <x:c r="O25" s="14">
        <x:v>451</x:v>
      </x:c>
      <x:c r="P25" s="14" t="s">
        <x:v>120</x:v>
      </x:c>
      <x:c r="Q25" s="14" t="s">
        <x:v>25</x:v>
      </x:c>
      <x:c r="R25" s="14"/>
      <x:c r="S25" s="14" t="s">
        <x:v>108</x:v>
      </x:c>
      <x:c r="T25" s="14" t="str">
        <x:v>Region B</x:v>
      </x:c>
      <x:c r="U25" s="28">
        <x:v>45802</x:v>
      </x:c>
      <x:c r="V25" s="30">
        <x:v>1</x:v>
      </x:c>
      <x:c r="W25" s="14" t="s">
        <x:v>109</x:v>
      </x:c>
      <x:c r="X25" s="14" t="s">
        <x:v>106</x:v>
      </x:c>
      <x:c r="Y25" s="32" t="str">
        <x:v>TRN-0024|20250524</x:v>
      </x:c>
      <x:c r="Z25" s="32" t="str" cm="1">
        <x:f t="array" ref="Z2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25" s="33" t="n">
        <x:f>--OR(WorkforceData[[#This Row],[Status]]="Active",WorkforceData[[#This Row],[Promoted]]="Yes",WorkforceData[[#This Row],[Total Days Worked]]&gt;=121)</x:f>
        <x:v>1</x:v>
      </x:c>
      <x:c r="AB25" s="33" t="n">
        <x:f>IF(AND(Q25="Terminated",R25="",O25=0),1,0)</x:f>
        <x:v>0</x:v>
      </x:c>
      <x:c r="AC25" s="33" t="n">
        <x:f>--OR(WorkforceData[[#This Row],[Status]]="Resigned",WorkforceData[[#This Row],[Status After Training]]="Withdrew")</x:f>
        <x:v>0</x:v>
      </x:c>
      <x:c r="AD25" s="34" t="n">
        <x:f>EOMONTH(WorkforceData[[#This Row],[Training Date]],0)</x:f>
        <x:v>45808</x:v>
      </x:c>
      <x:c r="AE25" s="32" t="str">
        <x:f>IF(M25&lt;H25,"Existing Employee",IF(U25="","No Assignment",IF(V25=0,"0 Days",IF(V25&lt;=7,"1-7 Days",IF(V25&lt;=14,"8-14 Days",IF(V25&lt;=21,"15-21 Days","21+ Days"))))))</x:f>
        <x:v>Existing Employee</x:v>
      </x:c>
      <x:c r="AF2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5" s="33" t="n">
        <x:f>--(WorkforceData[[#This Row],[Total Days Worked]]&gt;=121)</x:f>
        <x:v>1</x:v>
      </x:c>
    </x:row>
    <x:row r="26">
      <x:c r="A26" s="236" t="str">
        <x:v>TRN-0025</x:v>
      </x:c>
      <x:c r="B26" s="243"/>
      <x:c r="C26" s="243"/>
      <x:c r="D26" s="243"/>
      <x:c r="E26" s="243"/>
      <x:c r="F26" s="14" t="str">
        <x:v>Recruiter G</x:v>
      </x:c>
      <x:c r="G26" s="14" t="str">
        <x:v>Training Center A</x:v>
      </x:c>
      <x:c r="H26" s="28">
        <x:v>45801</x:v>
      </x:c>
      <x:c r="I26" s="14">
        <x:v>2025</x:v>
      </x:c>
      <x:c r="J26" s="14" t="s">
        <x:v>118</x:v>
      </x:c>
      <x:c r="K26" s="14">
        <x:v>18</x:v>
      </x:c>
      <x:c r="L26" s="29" t="s">
        <x:v>119</x:v>
      </x:c>
      <x:c r="M26" s="28">
        <x:v>45801</x:v>
      </x:c>
      <x:c r="N26" s="28">
        <x:v>45951</x:v>
      </x:c>
      <x:c r="O26" s="14">
        <x:v>150</x:v>
      </x:c>
      <x:c r="P26" s="14" t="s">
        <x:v>113</x:v>
      </x:c>
      <x:c r="Q26" s="14" t="s">
        <x:v>103</x:v>
      </x:c>
      <x:c r="R26" s="14" t="s">
        <x:v>104</x:v>
      </x:c>
      <x:c r="S26" s="14" t="s">
        <x:v>105</x:v>
      </x:c>
      <x:c r="T26" s="14" t="str">
        <x:v>Region A</x:v>
      </x:c>
      <x:c r="U26" s="28">
        <x:v>45857</x:v>
      </x:c>
      <x:c r="V26" s="30">
        <x:v>56</x:v>
      </x:c>
      <x:c r="W26" s="14" t="s">
        <x:v>63</x:v>
      </x:c>
      <x:c r="X26" s="14" t="s">
        <x:v>117</x:v>
      </x:c>
      <x:c r="Y26" s="32" t="str">
        <x:v>TRN-0025|20250524</x:v>
      </x:c>
      <x:c r="Z26" s="32" t="str" cm="1">
        <x:f t="array" ref="Z2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Complete</x:v>
      </x:c>
      <x:c r="AA26" s="33" t="n">
        <x:f>--OR(WorkforceData[[#This Row],[Status]]="Active",WorkforceData[[#This Row],[Promoted]]="Yes",WorkforceData[[#This Row],[Total Days Worked]]&gt;=121)</x:f>
        <x:v>1</x:v>
      </x:c>
      <x:c r="AB26" s="33" t="n">
        <x:f>IF(AND(Q26="Terminated",R26="",O26=0),1,0)</x:f>
        <x:v>0</x:v>
      </x:c>
      <x:c r="AC26" s="33" t="n">
        <x:f>--OR(WorkforceData[[#This Row],[Status]]="Resigned",WorkforceData[[#This Row],[Status After Training]]="Withdrew")</x:f>
        <x:v>1</x:v>
      </x:c>
      <x:c r="AD26" s="34" t="n">
        <x:f>EOMONTH(WorkforceData[[#This Row],[Training Date]],0)</x:f>
        <x:v>45808</x:v>
      </x:c>
      <x:c r="AE26" s="32" t="str">
        <x:f>IF(M26&lt;H26,"Existing Employee",IF(U26="","No Assignment",IF(V26=0,"0 Days",IF(V26&lt;=7,"1-7 Days",IF(V26&lt;=14,"8-14 Days",IF(V26&lt;=21,"15-21 Days","21+ Days"))))))</x:f>
        <x:v>21+ Days</x:v>
      </x:c>
      <x:c r="AF2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6" s="33" t="n">
        <x:f>--(WorkforceData[[#This Row],[Total Days Worked]]&gt;=121)</x:f>
        <x:v>1</x:v>
      </x:c>
    </x:row>
    <x:row r="27">
      <x:c r="A27" s="236" t="str">
        <x:v>TRN-0026</x:v>
      </x:c>
      <x:c r="B27" s="243"/>
      <x:c r="C27" s="243"/>
      <x:c r="D27" s="243"/>
      <x:c r="E27" s="243"/>
      <x:c r="F27" s="14" t="str">
        <x:v>Recruiter H</x:v>
      </x:c>
      <x:c r="G27" s="14" t="str">
        <x:v>Training Center A</x:v>
      </x:c>
      <x:c r="H27" s="28">
        <x:v>45801</x:v>
      </x:c>
      <x:c r="I27" s="14">
        <x:v>2025</x:v>
      </x:c>
      <x:c r="J27" s="14" t="s">
        <x:v>118</x:v>
      </x:c>
      <x:c r="K27" s="14">
        <x:v>18</x:v>
      </x:c>
      <x:c r="L27" s="29" t="s">
        <x:v>119</x:v>
      </x:c>
      <x:c r="M27" s="28">
        <x:v>45800</x:v>
      </x:c>
      <x:c r="N27" s="14"/>
      <x:c r="O27" s="14">
        <x:v>451</x:v>
      </x:c>
      <x:c r="P27" s="14" t="s">
        <x:v>120</x:v>
      </x:c>
      <x:c r="Q27" s="14" t="s">
        <x:v>25</x:v>
      </x:c>
      <x:c r="R27" s="14"/>
      <x:c r="S27" s="14" t="s">
        <x:v>108</x:v>
      </x:c>
      <x:c r="T27" s="14" t="str">
        <x:v>Region A</x:v>
      </x:c>
      <x:c r="U27" s="28">
        <x:v>45808</x:v>
      </x:c>
      <x:c r="V27" s="30">
        <x:v>7</x:v>
      </x:c>
      <x:c r="W27" s="14" t="s">
        <x:v>109</x:v>
      </x:c>
      <x:c r="X27" s="14" t="s">
        <x:v>106</x:v>
      </x:c>
      <x:c r="Y27" s="32" t="str">
        <x:v>TRN-0026|20250524</x:v>
      </x:c>
      <x:c r="Z27" s="32" t="str" cm="1">
        <x:f t="array" ref="Z2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27" s="33" t="n">
        <x:f>--OR(WorkforceData[[#This Row],[Status]]="Active",WorkforceData[[#This Row],[Promoted]]="Yes",WorkforceData[[#This Row],[Total Days Worked]]&gt;=121)</x:f>
        <x:v>1</x:v>
      </x:c>
      <x:c r="AB27" s="33" t="n">
        <x:f>IF(AND(Q27="Terminated",R27="",O27=0),1,0)</x:f>
        <x:v>0</x:v>
      </x:c>
      <x:c r="AC27" s="33" t="n">
        <x:f>--OR(WorkforceData[[#This Row],[Status]]="Resigned",WorkforceData[[#This Row],[Status After Training]]="Withdrew")</x:f>
        <x:v>0</x:v>
      </x:c>
      <x:c r="AD27" s="34" t="n">
        <x:f>EOMONTH(WorkforceData[[#This Row],[Training Date]],0)</x:f>
        <x:v>45808</x:v>
      </x:c>
      <x:c r="AE27" s="32" t="str">
        <x:f>IF(M27&lt;H27,"Existing Employee",IF(U27="","No Assignment",IF(V27=0,"0 Days",IF(V27&lt;=7,"1-7 Days",IF(V27&lt;=14,"8-14 Days",IF(V27&lt;=21,"15-21 Days","21+ Days"))))))</x:f>
        <x:v>Existing Employee</x:v>
      </x:c>
      <x:c r="AF2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7" s="33" t="n">
        <x:f>--(WorkforceData[[#This Row],[Total Days Worked]]&gt;=121)</x:f>
        <x:v>1</x:v>
      </x:c>
    </x:row>
    <x:row r="28">
      <x:c r="A28" s="236" t="str">
        <x:v>TRN-0027</x:v>
      </x:c>
      <x:c r="B28" s="243"/>
      <x:c r="C28" s="243"/>
      <x:c r="D28" s="243"/>
      <x:c r="E28" s="243"/>
      <x:c r="F28" s="14" t="str">
        <x:v>Recruiter F</x:v>
      </x:c>
      <x:c r="G28" s="14" t="str">
        <x:v>Training Center A</x:v>
      </x:c>
      <x:c r="H28" s="28">
        <x:v>45801</x:v>
      </x:c>
      <x:c r="I28" s="14">
        <x:v>2025</x:v>
      </x:c>
      <x:c r="J28" s="14" t="s">
        <x:v>118</x:v>
      </x:c>
      <x:c r="K28" s="14">
        <x:v>18</x:v>
      </x:c>
      <x:c r="L28" s="29" t="s">
        <x:v>119</x:v>
      </x:c>
      <x:c r="M28" s="28">
        <x:v>45799</x:v>
      </x:c>
      <x:c r="N28" s="28">
        <x:v>45889</x:v>
      </x:c>
      <x:c r="O28" s="14">
        <x:v>90</x:v>
      </x:c>
      <x:c r="P28" s="14" t="s">
        <x:v>110</x:v>
      </x:c>
      <x:c r="Q28" s="14" t="s">
        <x:v>103</x:v>
      </x:c>
      <x:c r="R28" s="14" t="s">
        <x:v>104</x:v>
      </x:c>
      <x:c r="S28" s="14" t="s">
        <x:v>105</x:v>
      </x:c>
      <x:c r="T28" s="14" t="str">
        <x:v>Region B</x:v>
      </x:c>
      <x:c r="U28" s="28">
        <x:v>45811</x:v>
      </x:c>
      <x:c r="V28" s="30">
        <x:v>10</x:v>
      </x:c>
      <x:c r="W28" s="14" t="s">
        <x:v>45</x:v>
      </x:c>
      <x:c r="X28" s="14" t="s">
        <x:v>106</x:v>
      </x:c>
      <x:c r="Y28" s="32" t="str">
        <x:v>TRN-0027|20250524</x:v>
      </x:c>
      <x:c r="Z28" s="32" t="str" cm="1">
        <x:f t="array" ref="Z2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28" s="33" t="n">
        <x:f>--OR(WorkforceData[[#This Row],[Status]]="Active",WorkforceData[[#This Row],[Promoted]]="Yes",WorkforceData[[#This Row],[Total Days Worked]]&gt;=121)</x:f>
        <x:v>0</x:v>
      </x:c>
      <x:c r="AB28" s="33" t="n">
        <x:f>IF(AND(Q28="Terminated",R28="",O28=0),1,0)</x:f>
        <x:v>0</x:v>
      </x:c>
      <x:c r="AC28" s="33" t="n">
        <x:f>--OR(WorkforceData[[#This Row],[Status]]="Resigned",WorkforceData[[#This Row],[Status After Training]]="Withdrew")</x:f>
        <x:v>1</x:v>
      </x:c>
      <x:c r="AD28" s="34" t="n">
        <x:f>EOMONTH(WorkforceData[[#This Row],[Training Date]],0)</x:f>
        <x:v>45808</x:v>
      </x:c>
      <x:c r="AE28" s="32" t="str">
        <x:f>IF(M28&lt;H28,"Existing Employee",IF(U28="","No Assignment",IF(V28=0,"0 Days",IF(V28&lt;=7,"1-7 Days",IF(V28&lt;=14,"8-14 Days",IF(V28&lt;=21,"15-21 Days","21+ Days"))))))</x:f>
        <x:v>Existing Employee</x:v>
      </x:c>
      <x:c r="AF2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61-90 Days</x:v>
      </x:c>
      <x:c r="AG28" s="33" t="n">
        <x:f>--(WorkforceData[[#This Row],[Total Days Worked]]&gt;=121)</x:f>
        <x:v>0</x:v>
      </x:c>
    </x:row>
    <x:row r="29">
      <x:c r="A29" s="236" t="str">
        <x:v>TRN-0028</x:v>
      </x:c>
      <x:c r="B29" s="243"/>
      <x:c r="C29" s="243"/>
      <x:c r="D29" s="243"/>
      <x:c r="E29" s="243"/>
      <x:c r="F29" s="14" t="str">
        <x:v>Recruiter A</x:v>
      </x:c>
      <x:c r="G29" s="14" t="str">
        <x:v>Training Center A</x:v>
      </x:c>
      <x:c r="H29" s="28">
        <x:v>45801</x:v>
      </x:c>
      <x:c r="I29" s="14">
        <x:v>2025</x:v>
      </x:c>
      <x:c r="J29" s="14" t="s">
        <x:v>118</x:v>
      </x:c>
      <x:c r="K29" s="14">
        <x:v>18</x:v>
      </x:c>
      <x:c r="L29" s="29" t="s">
        <x:v>119</x:v>
      </x:c>
      <x:c r="M29" s="28">
        <x:v>45801</x:v>
      </x:c>
      <x:c r="N29" s="14"/>
      <x:c r="O29" s="14">
        <x:v>450</x:v>
      </x:c>
      <x:c r="P29" s="14" t="s">
        <x:v>120</x:v>
      </x:c>
      <x:c r="Q29" s="14" t="s">
        <x:v>25</x:v>
      </x:c>
      <x:c r="R29" s="14"/>
      <x:c r="S29" s="14" t="s">
        <x:v>108</x:v>
      </x:c>
      <x:c r="T29" s="14" t="str">
        <x:v>Region B</x:v>
      </x:c>
      <x:c r="U29" s="28">
        <x:v>45806</x:v>
      </x:c>
      <x:c r="V29" s="30">
        <x:v>5</x:v>
      </x:c>
      <x:c r="W29" s="14" t="s">
        <x:v>109</x:v>
      </x:c>
      <x:c r="X29" s="14" t="s">
        <x:v>106</x:v>
      </x:c>
      <x:c r="Y29" s="32" t="str">
        <x:v>TRN-0028|20250524</x:v>
      </x:c>
      <x:c r="Z29" s="32" t="str" cm="1">
        <x:f t="array" ref="Z2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29" s="33" t="n">
        <x:f>--OR(WorkforceData[[#This Row],[Status]]="Active",WorkforceData[[#This Row],[Promoted]]="Yes",WorkforceData[[#This Row],[Total Days Worked]]&gt;=121)</x:f>
        <x:v>1</x:v>
      </x:c>
      <x:c r="AB29" s="33" t="n">
        <x:f>IF(AND(Q29="Terminated",R29="",O29=0),1,0)</x:f>
        <x:v>0</x:v>
      </x:c>
      <x:c r="AC29" s="33" t="n">
        <x:f>--OR(WorkforceData[[#This Row],[Status]]="Resigned",WorkforceData[[#This Row],[Status After Training]]="Withdrew")</x:f>
        <x:v>0</x:v>
      </x:c>
      <x:c r="AD29" s="34" t="n">
        <x:f>EOMONTH(WorkforceData[[#This Row],[Training Date]],0)</x:f>
        <x:v>45808</x:v>
      </x:c>
      <x:c r="AE29" s="32" t="str">
        <x:f>IF(M29&lt;H29,"Existing Employee",IF(U29="","No Assignment",IF(V29=0,"0 Days",IF(V29&lt;=7,"1-7 Days",IF(V29&lt;=14,"8-14 Days",IF(V29&lt;=21,"15-21 Days","21+ Days"))))))</x:f>
        <x:v>1-7 Days</x:v>
      </x:c>
      <x:c r="AF2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9" s="33" t="n">
        <x:f>--(WorkforceData[[#This Row],[Total Days Worked]]&gt;=121)</x:f>
        <x:v>1</x:v>
      </x:c>
    </x:row>
    <x:row r="30">
      <x:c r="A30" s="236" t="str">
        <x:v>TRN-0029</x:v>
      </x:c>
      <x:c r="B30" s="243"/>
      <x:c r="C30" s="243"/>
      <x:c r="D30" s="243"/>
      <x:c r="E30" s="243"/>
      <x:c r="F30" s="14" t="str">
        <x:v>Recruiter E</x:v>
      </x:c>
      <x:c r="G30" s="14" t="str">
        <x:v>Training Center A</x:v>
      </x:c>
      <x:c r="H30" s="28">
        <x:v>45801</x:v>
      </x:c>
      <x:c r="I30" s="14">
        <x:v>2025</x:v>
      </x:c>
      <x:c r="J30" s="14" t="s">
        <x:v>118</x:v>
      </x:c>
      <x:c r="K30" s="14">
        <x:v>18</x:v>
      </x:c>
      <x:c r="L30" s="29" t="s">
        <x:v>119</x:v>
      </x:c>
      <x:c r="M30" s="28">
        <x:v>45801</x:v>
      </x:c>
      <x:c r="N30" s="28">
        <x:v>46038</x:v>
      </x:c>
      <x:c r="O30" s="14">
        <x:v>237</x:v>
      </x:c>
      <x:c r="P30" s="14" t="s">
        <x:v>107</x:v>
      </x:c>
      <x:c r="Q30" s="14" t="s">
        <x:v>103</x:v>
      </x:c>
      <x:c r="R30" s="14" t="s">
        <x:v>111</x:v>
      </x:c>
      <x:c r="S30" s="14" t="s">
        <x:v>108</x:v>
      </x:c>
      <x:c r="T30" s="14" t="str">
        <x:v>Region E</x:v>
      </x:c>
      <x:c r="U30" s="28">
        <x:v>45889</x:v>
      </x:c>
      <x:c r="V30" s="30">
        <x:v>88</x:v>
      </x:c>
      <x:c r="W30" s="14" t="s">
        <x:v>114</x:v>
      </x:c>
      <x:c r="X30" s="14" t="s">
        <x:v>117</x:v>
      </x:c>
      <x:c r="Y30" s="32" t="str">
        <x:v>TRN-0029|20250524</x:v>
      </x:c>
      <x:c r="Z30" s="32" t="str" cm="1">
        <x:f t="array" ref="Z3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30" s="33" t="n">
        <x:f>--OR(WorkforceData[[#This Row],[Status]]="Active",WorkforceData[[#This Row],[Promoted]]="Yes",WorkforceData[[#This Row],[Total Days Worked]]&gt;=121)</x:f>
        <x:v>1</x:v>
      </x:c>
      <x:c r="AB30" s="33" t="n">
        <x:f>IF(AND(Q30="Terminated",R30="",O30=0),1,0)</x:f>
        <x:v>0</x:v>
      </x:c>
      <x:c r="AC30" s="33" t="n">
        <x:f>--OR(WorkforceData[[#This Row],[Status]]="Resigned",WorkforceData[[#This Row],[Status After Training]]="Withdrew")</x:f>
        <x:v>1</x:v>
      </x:c>
      <x:c r="AD30" s="34" t="n">
        <x:f>EOMONTH(WorkforceData[[#This Row],[Training Date]],0)</x:f>
        <x:v>45808</x:v>
      </x:c>
      <x:c r="AE30" s="32" t="str">
        <x:f>IF(M30&lt;H30,"Existing Employee",IF(U30="","No Assignment",IF(V30=0,"0 Days",IF(V30&lt;=7,"1-7 Days",IF(V30&lt;=14,"8-14 Days",IF(V30&lt;=21,"15-21 Days","21+ Days"))))))</x:f>
        <x:v>21+ Days</x:v>
      </x:c>
      <x:c r="AF3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0" s="33" t="n">
        <x:f>--(WorkforceData[[#This Row],[Total Days Worked]]&gt;=121)</x:f>
        <x:v>1</x:v>
      </x:c>
    </x:row>
    <x:row r="31">
      <x:c r="A31" s="236" t="str">
        <x:v>TRN-0030</x:v>
      </x:c>
      <x:c r="B31" s="243"/>
      <x:c r="C31" s="243"/>
      <x:c r="D31" s="243"/>
      <x:c r="E31" s="243"/>
      <x:c r="F31" s="14" t="str">
        <x:v>Recruiter E</x:v>
      </x:c>
      <x:c r="G31" s="14" t="str">
        <x:v>Training Center A</x:v>
      </x:c>
      <x:c r="H31" s="28">
        <x:v>45801</x:v>
      </x:c>
      <x:c r="I31" s="14">
        <x:v>2025</x:v>
      </x:c>
      <x:c r="J31" s="14" t="s">
        <x:v>118</x:v>
      </x:c>
      <x:c r="K31" s="14">
        <x:v>18</x:v>
      </x:c>
      <x:c r="L31" s="29" t="s">
        <x:v>119</x:v>
      </x:c>
      <x:c r="M31" s="28">
        <x:v>45796</x:v>
      </x:c>
      <x:c r="N31" s="14"/>
      <x:c r="O31" s="14">
        <x:v>455</x:v>
      </x:c>
      <x:c r="P31" s="14" t="s">
        <x:v>120</x:v>
      </x:c>
      <x:c r="Q31" s="14" t="s">
        <x:v>25</x:v>
      </x:c>
      <x:c r="R31" s="14"/>
      <x:c r="S31" s="14" t="s">
        <x:v>108</x:v>
      </x:c>
      <x:c r="T31" s="14" t="str">
        <x:v>Region C</x:v>
      </x:c>
      <x:c r="U31" s="28">
        <x:v>45805</x:v>
      </x:c>
      <x:c r="V31" s="30">
        <x:v>4</x:v>
      </x:c>
      <x:c r="W31" s="14" t="s">
        <x:v>109</x:v>
      </x:c>
      <x:c r="X31" s="14" t="s">
        <x:v>106</x:v>
      </x:c>
      <x:c r="Y31" s="32" t="str">
        <x:v>TRN-0030|20250524</x:v>
      </x:c>
      <x:c r="Z31" s="32" t="str" cm="1">
        <x:f t="array" ref="Z3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31" s="33" t="n">
        <x:f>--OR(WorkforceData[[#This Row],[Status]]="Active",WorkforceData[[#This Row],[Promoted]]="Yes",WorkforceData[[#This Row],[Total Days Worked]]&gt;=121)</x:f>
        <x:v>1</x:v>
      </x:c>
      <x:c r="AB31" s="33" t="n">
        <x:f>IF(AND(Q31="Terminated",R31="",O31=0),1,0)</x:f>
        <x:v>0</x:v>
      </x:c>
      <x:c r="AC31" s="33" t="n">
        <x:f>--OR(WorkforceData[[#This Row],[Status]]="Resigned",WorkforceData[[#This Row],[Status After Training]]="Withdrew")</x:f>
        <x:v>0</x:v>
      </x:c>
      <x:c r="AD31" s="34" t="n">
        <x:f>EOMONTH(WorkforceData[[#This Row],[Training Date]],0)</x:f>
        <x:v>45808</x:v>
      </x:c>
      <x:c r="AE31" s="32" t="str">
        <x:f>IF(M31&lt;H31,"Existing Employee",IF(U31="","No Assignment",IF(V31=0,"0 Days",IF(V31&lt;=7,"1-7 Days",IF(V31&lt;=14,"8-14 Days",IF(V31&lt;=21,"15-21 Days","21+ Days"))))))</x:f>
        <x:v>Existing Employee</x:v>
      </x:c>
      <x:c r="AF3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1" s="33" t="n">
        <x:f>--(WorkforceData[[#This Row],[Total Days Worked]]&gt;=121)</x:f>
        <x:v>1</x:v>
      </x:c>
    </x:row>
    <x:row r="32">
      <x:c r="A32" s="236" t="str">
        <x:v>TRN-0031</x:v>
      </x:c>
      <x:c r="B32" s="243"/>
      <x:c r="C32" s="243"/>
      <x:c r="D32" s="243"/>
      <x:c r="E32" s="243"/>
      <x:c r="F32" s="14" t="str">
        <x:v>Recruiter E</x:v>
      </x:c>
      <x:c r="G32" s="14" t="str">
        <x:v>Training Center A</x:v>
      </x:c>
      <x:c r="H32" s="28">
        <x:v>45801</x:v>
      </x:c>
      <x:c r="I32" s="14">
        <x:v>2025</x:v>
      </x:c>
      <x:c r="J32" s="14" t="s">
        <x:v>118</x:v>
      </x:c>
      <x:c r="K32" s="14">
        <x:v>18</x:v>
      </x:c>
      <x:c r="L32" s="29" t="s">
        <x:v>119</x:v>
      </x:c>
      <x:c r="M32" s="28">
        <x:v>45796</x:v>
      </x:c>
      <x:c r="N32" s="28">
        <x:v>45983</x:v>
      </x:c>
      <x:c r="O32" s="14">
        <x:v>187</x:v>
      </x:c>
      <x:c r="P32" s="14" t="s">
        <x:v>107</x:v>
      </x:c>
      <x:c r="Q32" s="14" t="s">
        <x:v>103</x:v>
      </x:c>
      <x:c r="R32" s="14" t="s">
        <x:v>111</x:v>
      </x:c>
      <x:c r="S32" s="14" t="s">
        <x:v>108</x:v>
      </x:c>
      <x:c r="T32" s="14" t="str">
        <x:v>Region E</x:v>
      </x:c>
      <x:c r="U32" s="28">
        <x:v>45811</x:v>
      </x:c>
      <x:c r="V32" s="30">
        <x:v>10</x:v>
      </x:c>
      <x:c r="W32" s="14" t="s">
        <x:v>45</x:v>
      </x:c>
      <x:c r="X32" s="14" t="s">
        <x:v>106</x:v>
      </x:c>
      <x:c r="Y32" s="32" t="str">
        <x:v>TRN-0031|20250524</x:v>
      </x:c>
      <x:c r="Z32" s="32" t="str" cm="1">
        <x:f t="array" ref="Z3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32" s="33" t="n">
        <x:f>--OR(WorkforceData[[#This Row],[Status]]="Active",WorkforceData[[#This Row],[Promoted]]="Yes",WorkforceData[[#This Row],[Total Days Worked]]&gt;=121)</x:f>
        <x:v>1</x:v>
      </x:c>
      <x:c r="AB32" s="33" t="n">
        <x:f>IF(AND(Q32="Terminated",R32="",O32=0),1,0)</x:f>
        <x:v>0</x:v>
      </x:c>
      <x:c r="AC32" s="33" t="n">
        <x:f>--OR(WorkforceData[[#This Row],[Status]]="Resigned",WorkforceData[[#This Row],[Status After Training]]="Withdrew")</x:f>
        <x:v>1</x:v>
      </x:c>
      <x:c r="AD32" s="34" t="n">
        <x:f>EOMONTH(WorkforceData[[#This Row],[Training Date]],0)</x:f>
        <x:v>45808</x:v>
      </x:c>
      <x:c r="AE32" s="32" t="str">
        <x:f>IF(M32&lt;H32,"Existing Employee",IF(U32="","No Assignment",IF(V32=0,"0 Days",IF(V32&lt;=7,"1-7 Days",IF(V32&lt;=14,"8-14 Days",IF(V32&lt;=21,"15-21 Days","21+ Days"))))))</x:f>
        <x:v>Existing Employee</x:v>
      </x:c>
      <x:c r="AF3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2" s="33" t="n">
        <x:f>--(WorkforceData[[#This Row],[Total Days Worked]]&gt;=121)</x:f>
        <x:v>1</x:v>
      </x:c>
    </x:row>
    <x:row r="33">
      <x:c r="A33" s="236" t="str">
        <x:v>TRN-0032</x:v>
      </x:c>
      <x:c r="B33" s="243"/>
      <x:c r="C33" s="243"/>
      <x:c r="D33" s="243"/>
      <x:c r="E33" s="243"/>
      <x:c r="F33" s="14" t="str">
        <x:v>Recruiter C</x:v>
      </x:c>
      <x:c r="G33" s="14" t="str">
        <x:v>Training Center A</x:v>
      </x:c>
      <x:c r="H33" s="28">
        <x:v>45801</x:v>
      </x:c>
      <x:c r="I33" s="14">
        <x:v>2025</x:v>
      </x:c>
      <x:c r="J33" s="14" t="s">
        <x:v>118</x:v>
      </x:c>
      <x:c r="K33" s="14">
        <x:v>18</x:v>
      </x:c>
      <x:c r="L33" s="29" t="s">
        <x:v>119</x:v>
      </x:c>
      <x:c r="M33" s="28">
        <x:v>45801</x:v>
      </x:c>
      <x:c r="N33" s="28">
        <x:v>46056</x:v>
      </x:c>
      <x:c r="O33" s="14">
        <x:v>255</x:v>
      </x:c>
      <x:c r="P33" s="14" t="s">
        <x:v>107</x:v>
      </x:c>
      <x:c r="Q33" s="14" t="s">
        <x:v>103</x:v>
      </x:c>
      <x:c r="R33" s="14" t="s">
        <x:v>111</x:v>
      </x:c>
      <x:c r="S33" s="14" t="s">
        <x:v>108</x:v>
      </x:c>
      <x:c r="T33" s="14" t="str">
        <x:v>Region B</x:v>
      </x:c>
      <x:c r="U33" s="28">
        <x:v>45881</x:v>
      </x:c>
      <x:c r="V33" s="30">
        <x:v>80</x:v>
      </x:c>
      <x:c r="W33" s="14" t="s">
        <x:v>114</x:v>
      </x:c>
      <x:c r="X33" s="14" t="s">
        <x:v>117</x:v>
      </x:c>
      <x:c r="Y33" s="32" t="str">
        <x:v>TRN-0032|20250524</x:v>
      </x:c>
      <x:c r="Z33" s="32" t="str" cm="1">
        <x:f t="array" ref="Z3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33" s="33" t="n">
        <x:f>--OR(WorkforceData[[#This Row],[Status]]="Active",WorkforceData[[#This Row],[Promoted]]="Yes",WorkforceData[[#This Row],[Total Days Worked]]&gt;=121)</x:f>
        <x:v>1</x:v>
      </x:c>
      <x:c r="AB33" s="33" t="n">
        <x:f>IF(AND(Q33="Terminated",R33="",O33=0),1,0)</x:f>
        <x:v>0</x:v>
      </x:c>
      <x:c r="AC33" s="33" t="n">
        <x:f>--OR(WorkforceData[[#This Row],[Status]]="Resigned",WorkforceData[[#This Row],[Status After Training]]="Withdrew")</x:f>
        <x:v>1</x:v>
      </x:c>
      <x:c r="AD33" s="34" t="n">
        <x:f>EOMONTH(WorkforceData[[#This Row],[Training Date]],0)</x:f>
        <x:v>45808</x:v>
      </x:c>
      <x:c r="AE33" s="32" t="str">
        <x:f>IF(M33&lt;H33,"Existing Employee",IF(U33="","No Assignment",IF(V33=0,"0 Days",IF(V33&lt;=7,"1-7 Days",IF(V33&lt;=14,"8-14 Days",IF(V33&lt;=21,"15-21 Days","21+ Days"))))))</x:f>
        <x:v>21+ Days</x:v>
      </x:c>
      <x:c r="AF3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3" s="33" t="n">
        <x:f>--(WorkforceData[[#This Row],[Total Days Worked]]&gt;=121)</x:f>
        <x:v>1</x:v>
      </x:c>
    </x:row>
    <x:row r="34">
      <x:c r="A34" s="236" t="str">
        <x:v>TRN-0033</x:v>
      </x:c>
      <x:c r="B34" s="243"/>
      <x:c r="C34" s="243"/>
      <x:c r="D34" s="243"/>
      <x:c r="E34" s="243"/>
      <x:c r="F34" s="14" t="str">
        <x:v>Recruiter H</x:v>
      </x:c>
      <x:c r="G34" s="14" t="str">
        <x:v>Training Center A</x:v>
      </x:c>
      <x:c r="H34" s="28">
        <x:v>45801</x:v>
      </x:c>
      <x:c r="I34" s="14">
        <x:v>2025</x:v>
      </x:c>
      <x:c r="J34" s="14" t="s">
        <x:v>118</x:v>
      </x:c>
      <x:c r="K34" s="14">
        <x:v>18</x:v>
      </x:c>
      <x:c r="L34" s="29" t="s">
        <x:v>119</x:v>
      </x:c>
      <x:c r="M34" s="28">
        <x:v>45796</x:v>
      </x:c>
      <x:c r="N34" s="28">
        <x:v>45838</x:v>
      </x:c>
      <x:c r="O34" s="14">
        <x:v>42</x:v>
      </x:c>
      <x:c r="P34" s="14" t="s">
        <x:v>110</x:v>
      </x:c>
      <x:c r="Q34" s="14" t="s">
        <x:v>103</x:v>
      </x:c>
      <x:c r="R34" s="14" t="s">
        <x:v>111</x:v>
      </x:c>
      <x:c r="S34" s="14" t="s">
        <x:v>105</x:v>
      </x:c>
      <x:c r="T34" s="14" t="str">
        <x:v>Region A</x:v>
      </x:c>
      <x:c r="U34" s="28">
        <x:v>45828</x:v>
      </x:c>
      <x:c r="V34" s="30">
        <x:v>27</x:v>
      </x:c>
      <x:c r="W34" s="14" t="s">
        <x:v>112</x:v>
      </x:c>
      <x:c r="X34" s="14" t="s">
        <x:v>106</x:v>
      </x:c>
      <x:c r="Y34" s="32" t="str">
        <x:v>TRN-0033|20250524</x:v>
      </x:c>
      <x:c r="Z34" s="32" t="str" cm="1">
        <x:f t="array" ref="Z3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34" s="33" t="n">
        <x:f>--OR(WorkforceData[[#This Row],[Status]]="Active",WorkforceData[[#This Row],[Promoted]]="Yes",WorkforceData[[#This Row],[Total Days Worked]]&gt;=121)</x:f>
        <x:v>0</x:v>
      </x:c>
      <x:c r="AB34" s="33" t="n">
        <x:f>IF(AND(Q34="Terminated",R34="",O34=0),1,0)</x:f>
        <x:v>0</x:v>
      </x:c>
      <x:c r="AC34" s="33" t="n">
        <x:f>--OR(WorkforceData[[#This Row],[Status]]="Resigned",WorkforceData[[#This Row],[Status After Training]]="Withdrew")</x:f>
        <x:v>1</x:v>
      </x:c>
      <x:c r="AD34" s="34" t="n">
        <x:f>EOMONTH(WorkforceData[[#This Row],[Training Date]],0)</x:f>
        <x:v>45808</x:v>
      </x:c>
      <x:c r="AE34" s="32" t="str">
        <x:f>IF(M34&lt;H34,"Existing Employee",IF(U34="","No Assignment",IF(V34=0,"0 Days",IF(V34&lt;=7,"1-7 Days",IF(V34&lt;=14,"8-14 Days",IF(V34&lt;=21,"15-21 Days","21+ Days"))))))</x:f>
        <x:v>Existing Employee</x:v>
      </x:c>
      <x:c r="AF3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34" s="33" t="n">
        <x:f>--(WorkforceData[[#This Row],[Total Days Worked]]&gt;=121)</x:f>
        <x:v>0</x:v>
      </x:c>
    </x:row>
    <x:row r="35">
      <x:c r="A35" s="236" t="str">
        <x:v>TRN-0034</x:v>
      </x:c>
      <x:c r="B35" s="243"/>
      <x:c r="C35" s="243"/>
      <x:c r="D35" s="243"/>
      <x:c r="E35" s="243"/>
      <x:c r="F35" s="14" t="str">
        <x:v>Recruiter G</x:v>
      </x:c>
      <x:c r="G35" s="14" t="str">
        <x:v>Training Center A</x:v>
      </x:c>
      <x:c r="H35" s="28">
        <x:v>45801</x:v>
      </x:c>
      <x:c r="I35" s="14">
        <x:v>2025</x:v>
      </x:c>
      <x:c r="J35" s="14" t="s">
        <x:v>118</x:v>
      </x:c>
      <x:c r="K35" s="14">
        <x:v>18</x:v>
      </x:c>
      <x:c r="L35" s="29" t="s">
        <x:v>119</x:v>
      </x:c>
      <x:c r="M35" s="28">
        <x:v>45800</x:v>
      </x:c>
      <x:c r="N35" s="28">
        <x:v>46251</x:v>
      </x:c>
      <x:c r="O35" s="14">
        <x:v>451</x:v>
      </x:c>
      <x:c r="P35" s="14" t="s">
        <x:v>120</x:v>
      </x:c>
      <x:c r="Q35" s="14" t="s">
        <x:v>103</x:v>
      </x:c>
      <x:c r="R35" s="14" t="s">
        <x:v>104</x:v>
      </x:c>
      <x:c r="S35" s="14" t="s">
        <x:v>108</x:v>
      </x:c>
      <x:c r="T35" s="14" t="str">
        <x:v>Region C</x:v>
      </x:c>
      <x:c r="U35" s="28">
        <x:v>45823</x:v>
      </x:c>
      <x:c r="V35" s="30">
        <x:v>22</x:v>
      </x:c>
      <x:c r="W35" s="14" t="s">
        <x:v>112</x:v>
      </x:c>
      <x:c r="X35" s="14" t="s">
        <x:v>106</x:v>
      </x:c>
      <x:c r="Y35" s="32" t="str">
        <x:v>TRN-0034|20250524</x:v>
      </x:c>
      <x:c r="Z35" s="32" t="str" cm="1">
        <x:f t="array" ref="Z3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35" s="33" t="n">
        <x:f>--OR(WorkforceData[[#This Row],[Status]]="Active",WorkforceData[[#This Row],[Promoted]]="Yes",WorkforceData[[#This Row],[Total Days Worked]]&gt;=121)</x:f>
        <x:v>1</x:v>
      </x:c>
      <x:c r="AB35" s="33" t="n">
        <x:f>IF(AND(Q35="Terminated",R35="",O35=0),1,0)</x:f>
        <x:v>0</x:v>
      </x:c>
      <x:c r="AC35" s="33" t="n">
        <x:f>--OR(WorkforceData[[#This Row],[Status]]="Resigned",WorkforceData[[#This Row],[Status After Training]]="Withdrew")</x:f>
        <x:v>1</x:v>
      </x:c>
      <x:c r="AD35" s="34" t="n">
        <x:f>EOMONTH(WorkforceData[[#This Row],[Training Date]],0)</x:f>
        <x:v>45808</x:v>
      </x:c>
      <x:c r="AE35" s="32" t="str">
        <x:f>IF(M35&lt;H35,"Existing Employee",IF(U35="","No Assignment",IF(V35=0,"0 Days",IF(V35&lt;=7,"1-7 Days",IF(V35&lt;=14,"8-14 Days",IF(V35&lt;=21,"15-21 Days","21+ Days"))))))</x:f>
        <x:v>Existing Employee</x:v>
      </x:c>
      <x:c r="AF3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5" s="33" t="n">
        <x:f>--(WorkforceData[[#This Row],[Total Days Worked]]&gt;=121)</x:f>
        <x:v>1</x:v>
      </x:c>
    </x:row>
    <x:row r="36">
      <x:c r="A36" s="236" t="str">
        <x:v>TRN-0035</x:v>
      </x:c>
      <x:c r="B36" s="243"/>
      <x:c r="C36" s="243"/>
      <x:c r="D36" s="243"/>
      <x:c r="E36" s="243"/>
      <x:c r="F36" s="14" t="str">
        <x:v>Recruiter H</x:v>
      </x:c>
      <x:c r="G36" s="14" t="str">
        <x:v>Training Center A</x:v>
      </x:c>
      <x:c r="H36" s="28">
        <x:v>45801</x:v>
      </x:c>
      <x:c r="I36" s="14">
        <x:v>2025</x:v>
      </x:c>
      <x:c r="J36" s="14" t="s">
        <x:v>118</x:v>
      </x:c>
      <x:c r="K36" s="14">
        <x:v>18</x:v>
      </x:c>
      <x:c r="L36" s="29" t="s">
        <x:v>119</x:v>
      </x:c>
      <x:c r="M36" s="28">
        <x:v>45791</x:v>
      </x:c>
      <x:c r="N36" s="28">
        <x:v>46156</x:v>
      </x:c>
      <x:c r="O36" s="14">
        <x:v>365</x:v>
      </x:c>
      <x:c r="P36" s="14" t="s">
        <x:v>107</x:v>
      </x:c>
      <x:c r="Q36" s="14" t="s">
        <x:v>103</x:v>
      </x:c>
      <x:c r="R36" s="14" t="s">
        <x:v>104</x:v>
      </x:c>
      <x:c r="S36" s="14" t="s">
        <x:v>108</x:v>
      </x:c>
      <x:c r="T36" s="14" t="str">
        <x:v>Region C</x:v>
      </x:c>
      <x:c r="U36" s="28">
        <x:v>45831</x:v>
      </x:c>
      <x:c r="V36" s="30">
        <x:v>30</x:v>
      </x:c>
      <x:c r="W36" s="14" t="s">
        <x:v>112</x:v>
      </x:c>
      <x:c r="X36" s="14" t="s">
        <x:v>106</x:v>
      </x:c>
      <x:c r="Y36" s="32" t="str">
        <x:v>TRN-0035|20250524</x:v>
      </x:c>
      <x:c r="Z36" s="32" t="str" cm="1">
        <x:f t="array" ref="Z3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36" s="33" t="n">
        <x:f>--OR(WorkforceData[[#This Row],[Status]]="Active",WorkforceData[[#This Row],[Promoted]]="Yes",WorkforceData[[#This Row],[Total Days Worked]]&gt;=121)</x:f>
        <x:v>1</x:v>
      </x:c>
      <x:c r="AB36" s="33" t="n">
        <x:f>IF(AND(Q36="Terminated",R36="",O36=0),1,0)</x:f>
        <x:v>0</x:v>
      </x:c>
      <x:c r="AC36" s="33" t="n">
        <x:f>--OR(WorkforceData[[#This Row],[Status]]="Resigned",WorkforceData[[#This Row],[Status After Training]]="Withdrew")</x:f>
        <x:v>1</x:v>
      </x:c>
      <x:c r="AD36" s="34" t="n">
        <x:f>EOMONTH(WorkforceData[[#This Row],[Training Date]],0)</x:f>
        <x:v>45808</x:v>
      </x:c>
      <x:c r="AE36" s="32" t="str">
        <x:f>IF(M36&lt;H36,"Existing Employee",IF(U36="","No Assignment",IF(V36=0,"0 Days",IF(V36&lt;=7,"1-7 Days",IF(V36&lt;=14,"8-14 Days",IF(V36&lt;=21,"15-21 Days","21+ Days"))))))</x:f>
        <x:v>Existing Employee</x:v>
      </x:c>
      <x:c r="AF3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6" s="33" t="n">
        <x:f>--(WorkforceData[[#This Row],[Total Days Worked]]&gt;=121)</x:f>
        <x:v>1</x:v>
      </x:c>
    </x:row>
    <x:row r="37">
      <x:c r="A37" s="236" t="str">
        <x:v>TRN-0036</x:v>
      </x:c>
      <x:c r="B37" s="243"/>
      <x:c r="C37" s="243"/>
      <x:c r="D37" s="243"/>
      <x:c r="E37" s="243"/>
      <x:c r="F37" s="14" t="str">
        <x:v>Recruiter E</x:v>
      </x:c>
      <x:c r="G37" s="14" t="str">
        <x:v>Training Center A</x:v>
      </x:c>
      <x:c r="H37" s="28">
        <x:v>45801</x:v>
      </x:c>
      <x:c r="I37" s="14">
        <x:v>2025</x:v>
      </x:c>
      <x:c r="J37" s="14" t="s">
        <x:v>118</x:v>
      </x:c>
      <x:c r="K37" s="14">
        <x:v>18</x:v>
      </x:c>
      <x:c r="L37" s="29" t="s">
        <x:v>119</x:v>
      </x:c>
      <x:c r="M37" s="28">
        <x:v>45794</x:v>
      </x:c>
      <x:c r="N37" s="28">
        <x:v>45824</x:v>
      </x:c>
      <x:c r="O37" s="14">
        <x:v>30</x:v>
      </x:c>
      <x:c r="P37" s="14" t="s">
        <x:v>102</x:v>
      </x:c>
      <x:c r="Q37" s="14" t="s">
        <x:v>33</x:v>
      </x:c>
      <x:c r="R37" s="14" t="s">
        <x:v>121</x:v>
      </x:c>
      <x:c r="S37" s="14" t="s">
        <x:v>105</x:v>
      </x:c>
      <x:c r="T37" s="14" t="str">
        <x:v>Region B</x:v>
      </x:c>
      <x:c r="U37" s="28">
        <x:v>45805</x:v>
      </x:c>
      <x:c r="V37" s="30">
        <x:v>4</x:v>
      </x:c>
      <x:c r="W37" s="14" t="s">
        <x:v>109</x:v>
      </x:c>
      <x:c r="X37" s="14" t="s">
        <x:v>106</x:v>
      </x:c>
      <x:c r="Y37" s="32" t="str">
        <x:v>TRN-0036|20250524</x:v>
      </x:c>
      <x:c r="Z37" s="32" t="str" cm="1">
        <x:f t="array" ref="Z3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37" s="33" t="n">
        <x:f>--OR(WorkforceData[[#This Row],[Status]]="Active",WorkforceData[[#This Row],[Promoted]]="Yes",WorkforceData[[#This Row],[Total Days Worked]]&gt;=121)</x:f>
        <x:v>0</x:v>
      </x:c>
      <x:c r="AB37" s="33" t="n">
        <x:f>IF(AND(Q37="Terminated",R37="",O37=0),1,0)</x:f>
        <x:v>0</x:v>
      </x:c>
      <x:c r="AC37" s="33" t="n">
        <x:f>--OR(WorkforceData[[#This Row],[Status]]="Resigned",WorkforceData[[#This Row],[Status After Training]]="Withdrew")</x:f>
        <x:v>0</x:v>
      </x:c>
      <x:c r="AD37" s="34" t="n">
        <x:f>EOMONTH(WorkforceData[[#This Row],[Training Date]],0)</x:f>
        <x:v>45808</x:v>
      </x:c>
      <x:c r="AE37" s="32" t="str">
        <x:f>IF(M37&lt;H37,"Existing Employee",IF(U37="","No Assignment",IF(V37=0,"0 Days",IF(V37&lt;=7,"1-7 Days",IF(V37&lt;=14,"8-14 Days",IF(V37&lt;=21,"15-21 Days","21+ Days"))))))</x:f>
        <x:v>Existing Employee</x:v>
      </x:c>
      <x:c r="AF3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37" s="33" t="n">
        <x:f>--(WorkforceData[[#This Row],[Total Days Worked]]&gt;=121)</x:f>
        <x:v>0</x:v>
      </x:c>
    </x:row>
    <x:row r="38">
      <x:c r="A38" s="236" t="str">
        <x:v>TRN-0037</x:v>
      </x:c>
      <x:c r="B38" s="243"/>
      <x:c r="C38" s="243"/>
      <x:c r="D38" s="243"/>
      <x:c r="E38" s="243"/>
      <x:c r="F38" s="14" t="str">
        <x:v>Recruiter B</x:v>
      </x:c>
      <x:c r="G38" s="14" t="str">
        <x:v>Training Center A</x:v>
      </x:c>
      <x:c r="H38" s="28">
        <x:v>45801</x:v>
      </x:c>
      <x:c r="I38" s="14">
        <x:v>2025</x:v>
      </x:c>
      <x:c r="J38" s="14" t="s">
        <x:v>118</x:v>
      </x:c>
      <x:c r="K38" s="14">
        <x:v>18</x:v>
      </x:c>
      <x:c r="L38" s="29" t="s">
        <x:v>119</x:v>
      </x:c>
      <x:c r="M38" s="28">
        <x:v>45796</x:v>
      </x:c>
      <x:c r="N38" s="14"/>
      <x:c r="O38" s="14">
        <x:v>455</x:v>
      </x:c>
      <x:c r="P38" s="14" t="s">
        <x:v>120</x:v>
      </x:c>
      <x:c r="Q38" s="14" t="s">
        <x:v>25</x:v>
      </x:c>
      <x:c r="R38" s="14"/>
      <x:c r="S38" s="14" t="s">
        <x:v>108</x:v>
      </x:c>
      <x:c r="T38" s="14" t="str">
        <x:v>Region B</x:v>
      </x:c>
      <x:c r="U38" s="28">
        <x:v>45812</x:v>
      </x:c>
      <x:c r="V38" s="30">
        <x:v>11</x:v>
      </x:c>
      <x:c r="W38" s="14" t="s">
        <x:v>45</x:v>
      </x:c>
      <x:c r="X38" s="14" t="s">
        <x:v>106</x:v>
      </x:c>
      <x:c r="Y38" s="32" t="str">
        <x:v>TRN-0037|20250524</x:v>
      </x:c>
      <x:c r="Z38" s="32" t="str" cm="1">
        <x:f t="array" ref="Z3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38" s="33" t="n">
        <x:f>--OR(WorkforceData[[#This Row],[Status]]="Active",WorkforceData[[#This Row],[Promoted]]="Yes",WorkforceData[[#This Row],[Total Days Worked]]&gt;=121)</x:f>
        <x:v>1</x:v>
      </x:c>
      <x:c r="AB38" s="33" t="n">
        <x:f>IF(AND(Q38="Terminated",R38="",O38=0),1,0)</x:f>
        <x:v>0</x:v>
      </x:c>
      <x:c r="AC38" s="33" t="n">
        <x:f>--OR(WorkforceData[[#This Row],[Status]]="Resigned",WorkforceData[[#This Row],[Status After Training]]="Withdrew")</x:f>
        <x:v>0</x:v>
      </x:c>
      <x:c r="AD38" s="34" t="n">
        <x:f>EOMONTH(WorkforceData[[#This Row],[Training Date]],0)</x:f>
        <x:v>45808</x:v>
      </x:c>
      <x:c r="AE38" s="32" t="str">
        <x:f>IF(M38&lt;H38,"Existing Employee",IF(U38="","No Assignment",IF(V38=0,"0 Days",IF(V38&lt;=7,"1-7 Days",IF(V38&lt;=14,"8-14 Days",IF(V38&lt;=21,"15-21 Days","21+ Days"))))))</x:f>
        <x:v>Existing Employee</x:v>
      </x:c>
      <x:c r="AF3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8" s="33" t="n">
        <x:f>--(WorkforceData[[#This Row],[Total Days Worked]]&gt;=121)</x:f>
        <x:v>1</x:v>
      </x:c>
    </x:row>
    <x:row r="39">
      <x:c r="A39" s="236" t="str">
        <x:v>TRN-0038</x:v>
      </x:c>
      <x:c r="B39" s="243"/>
      <x:c r="C39" s="243"/>
      <x:c r="D39" s="243"/>
      <x:c r="E39" s="243"/>
      <x:c r="F39" s="14" t="str">
        <x:v>Recruiter G</x:v>
      </x:c>
      <x:c r="G39" s="14" t="str">
        <x:v>Training Center A</x:v>
      </x:c>
      <x:c r="H39" s="28">
        <x:v>45801</x:v>
      </x:c>
      <x:c r="I39" s="14">
        <x:v>2025</x:v>
      </x:c>
      <x:c r="J39" s="14" t="s">
        <x:v>118</x:v>
      </x:c>
      <x:c r="K39" s="14">
        <x:v>18</x:v>
      </x:c>
      <x:c r="L39" s="29" t="s">
        <x:v>119</x:v>
      </x:c>
      <x:c r="M39" s="28">
        <x:v>45794</x:v>
      </x:c>
      <x:c r="N39" s="14"/>
      <x:c r="O39" s="14">
        <x:v>457</x:v>
      </x:c>
      <x:c r="P39" s="14" t="s">
        <x:v>120</x:v>
      </x:c>
      <x:c r="Q39" s="14" t="s">
        <x:v>25</x:v>
      </x:c>
      <x:c r="R39" s="14"/>
      <x:c r="S39" s="14" t="s">
        <x:v>105</x:v>
      </x:c>
      <x:c r="T39" s="14"/>
      <x:c r="U39" s="28"/>
      <x:c r="V39" s="30"/>
      <x:c r="W39" s="14"/>
      <x:c r="X39" s="14" t="s">
        <x:v>71</x:v>
      </x:c>
      <x:c r="Y39" s="32" t="str">
        <x:v>TRN-0038|20250524</x:v>
      </x:c>
      <x:c r="Z39" s="32" t="str" cm="1">
        <x:f t="array" ref="Z3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39" s="33" t="n">
        <x:f>--OR(WorkforceData[[#This Row],[Status]]="Active",WorkforceData[[#This Row],[Promoted]]="Yes",WorkforceData[[#This Row],[Total Days Worked]]&gt;=121)</x:f>
        <x:v>1</x:v>
      </x:c>
      <x:c r="AB39" s="33" t="n">
        <x:f>IF(AND(Q39="Terminated",R39="",O39=0),1,0)</x:f>
        <x:v>0</x:v>
      </x:c>
      <x:c r="AC39" s="33" t="n">
        <x:f>--OR(WorkforceData[[#This Row],[Status]]="Resigned",WorkforceData[[#This Row],[Status After Training]]="Withdrew")</x:f>
        <x:v>0</x:v>
      </x:c>
      <x:c r="AD39" s="34" t="n">
        <x:f>EOMONTH(WorkforceData[[#This Row],[Training Date]],0)</x:f>
        <x:v>45808</x:v>
      </x:c>
      <x:c r="AE39" s="32" t="str">
        <x:f>IF(M39&lt;H39,"Existing Employee",IF(U39="","No Assignment",IF(V39=0,"0 Days",IF(V39&lt;=7,"1-7 Days",IF(V39&lt;=14,"8-14 Days",IF(V39&lt;=21,"15-21 Days","21+ Days"))))))</x:f>
        <x:v>Existing Employee</x:v>
      </x:c>
      <x:c r="AF3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9" s="33" t="n">
        <x:f>--(WorkforceData[[#This Row],[Total Days Worked]]&gt;=121)</x:f>
        <x:v>1</x:v>
      </x:c>
    </x:row>
    <x:row r="40">
      <x:c r="A40" s="236" t="str">
        <x:v>TRN-0039</x:v>
      </x:c>
      <x:c r="B40" s="243"/>
      <x:c r="C40" s="243"/>
      <x:c r="D40" s="243"/>
      <x:c r="E40" s="243"/>
      <x:c r="F40" s="14" t="str">
        <x:v>Recruiter D</x:v>
      </x:c>
      <x:c r="G40" s="14" t="str">
        <x:v>Training Center A</x:v>
      </x:c>
      <x:c r="H40" s="28">
        <x:v>45801</x:v>
      </x:c>
      <x:c r="I40" s="14">
        <x:v>2025</x:v>
      </x:c>
      <x:c r="J40" s="14" t="s">
        <x:v>118</x:v>
      </x:c>
      <x:c r="K40" s="14">
        <x:v>18</x:v>
      </x:c>
      <x:c r="L40" s="29" t="s">
        <x:v>119</x:v>
      </x:c>
      <x:c r="M40" s="28">
        <x:v>45794</x:v>
      </x:c>
      <x:c r="N40" s="14"/>
      <x:c r="O40" s="14">
        <x:v>457</x:v>
      </x:c>
      <x:c r="P40" s="14" t="s">
        <x:v>120</x:v>
      </x:c>
      <x:c r="Q40" s="14" t="s">
        <x:v>25</x:v>
      </x:c>
      <x:c r="R40" s="14"/>
      <x:c r="S40" s="14" t="s">
        <x:v>108</x:v>
      </x:c>
      <x:c r="T40" s="14" t="str">
        <x:v>Region B</x:v>
      </x:c>
      <x:c r="U40" s="28">
        <x:v>45807</x:v>
      </x:c>
      <x:c r="V40" s="30">
        <x:v>6</x:v>
      </x:c>
      <x:c r="W40" s="14" t="s">
        <x:v>109</x:v>
      </x:c>
      <x:c r="X40" s="14" t="s">
        <x:v>106</x:v>
      </x:c>
      <x:c r="Y40" s="32" t="str">
        <x:v>TRN-0039|20250524</x:v>
      </x:c>
      <x:c r="Z40" s="32" t="str" cm="1">
        <x:f t="array" ref="Z4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40" s="33" t="n">
        <x:f>--OR(WorkforceData[[#This Row],[Status]]="Active",WorkforceData[[#This Row],[Promoted]]="Yes",WorkforceData[[#This Row],[Total Days Worked]]&gt;=121)</x:f>
        <x:v>1</x:v>
      </x:c>
      <x:c r="AB40" s="33" t="n">
        <x:f>IF(AND(Q40="Terminated",R40="",O40=0),1,0)</x:f>
        <x:v>0</x:v>
      </x:c>
      <x:c r="AC40" s="33" t="n">
        <x:f>--OR(WorkforceData[[#This Row],[Status]]="Resigned",WorkforceData[[#This Row],[Status After Training]]="Withdrew")</x:f>
        <x:v>0</x:v>
      </x:c>
      <x:c r="AD40" s="34" t="n">
        <x:f>EOMONTH(WorkforceData[[#This Row],[Training Date]],0)</x:f>
        <x:v>45808</x:v>
      </x:c>
      <x:c r="AE40" s="32" t="str">
        <x:f>IF(M40&lt;H40,"Existing Employee",IF(U40="","No Assignment",IF(V40=0,"0 Days",IF(V40&lt;=7,"1-7 Days",IF(V40&lt;=14,"8-14 Days",IF(V40&lt;=21,"15-21 Days","21+ Days"))))))</x:f>
        <x:v>Existing Employee</x:v>
      </x:c>
      <x:c r="AF4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0" s="33" t="n">
        <x:f>--(WorkforceData[[#This Row],[Total Days Worked]]&gt;=121)</x:f>
        <x:v>1</x:v>
      </x:c>
    </x:row>
    <x:row r="41">
      <x:c r="A41" s="236" t="str">
        <x:v>TRN-0040</x:v>
      </x:c>
      <x:c r="B41" s="243"/>
      <x:c r="C41" s="243"/>
      <x:c r="D41" s="243"/>
      <x:c r="E41" s="243"/>
      <x:c r="F41" s="14" t="str">
        <x:v>Recruiter C</x:v>
      </x:c>
      <x:c r="G41" s="14" t="str">
        <x:v>Training Center A</x:v>
      </x:c>
      <x:c r="H41" s="28">
        <x:v>45801</x:v>
      </x:c>
      <x:c r="I41" s="14">
        <x:v>2025</x:v>
      </x:c>
      <x:c r="J41" s="14" t="s">
        <x:v>118</x:v>
      </x:c>
      <x:c r="K41" s="14">
        <x:v>18</x:v>
      </x:c>
      <x:c r="L41" s="29" t="s">
        <x:v>119</x:v>
      </x:c>
      <x:c r="M41" s="28">
        <x:v>45791</x:v>
      </x:c>
      <x:c r="N41" s="14"/>
      <x:c r="O41" s="14">
        <x:v>460</x:v>
      </x:c>
      <x:c r="P41" s="14" t="s">
        <x:v>120</x:v>
      </x:c>
      <x:c r="Q41" s="14" t="s">
        <x:v>25</x:v>
      </x:c>
      <x:c r="R41" s="14"/>
      <x:c r="S41" s="14" t="s">
        <x:v>105</x:v>
      </x:c>
      <x:c r="T41" s="14"/>
      <x:c r="U41" s="28"/>
      <x:c r="V41" s="30"/>
      <x:c r="W41" s="14"/>
      <x:c r="X41" s="14" t="s">
        <x:v>71</x:v>
      </x:c>
      <x:c r="Y41" s="32" t="str">
        <x:v>TRN-0040|20250524</x:v>
      </x:c>
      <x:c r="Z41" s="32" t="str" cm="1">
        <x:f t="array" ref="Z4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41" s="33" t="n">
        <x:f>--OR(WorkforceData[[#This Row],[Status]]="Active",WorkforceData[[#This Row],[Promoted]]="Yes",WorkforceData[[#This Row],[Total Days Worked]]&gt;=121)</x:f>
        <x:v>1</x:v>
      </x:c>
      <x:c r="AB41" s="33" t="n">
        <x:f>IF(AND(Q41="Terminated",R41="",O41=0),1,0)</x:f>
        <x:v>0</x:v>
      </x:c>
      <x:c r="AC41" s="33" t="n">
        <x:f>--OR(WorkforceData[[#This Row],[Status]]="Resigned",WorkforceData[[#This Row],[Status After Training]]="Withdrew")</x:f>
        <x:v>0</x:v>
      </x:c>
      <x:c r="AD41" s="34" t="n">
        <x:f>EOMONTH(WorkforceData[[#This Row],[Training Date]],0)</x:f>
        <x:v>45808</x:v>
      </x:c>
      <x:c r="AE41" s="32" t="str">
        <x:f>IF(M41&lt;H41,"Existing Employee",IF(U41="","No Assignment",IF(V41=0,"0 Days",IF(V41&lt;=7,"1-7 Days",IF(V41&lt;=14,"8-14 Days",IF(V41&lt;=21,"15-21 Days","21+ Days"))))))</x:f>
        <x:v>Existing Employee</x:v>
      </x:c>
      <x:c r="AF4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1" s="33" t="n">
        <x:f>--(WorkforceData[[#This Row],[Total Days Worked]]&gt;=121)</x:f>
        <x:v>1</x:v>
      </x:c>
    </x:row>
    <x:row r="42">
      <x:c r="A42" s="236" t="str">
        <x:v>TRN-0041</x:v>
      </x:c>
      <x:c r="B42" s="243"/>
      <x:c r="C42" s="243"/>
      <x:c r="D42" s="243"/>
      <x:c r="E42" s="243"/>
      <x:c r="F42" s="14" t="str">
        <x:v>Recruiter B</x:v>
      </x:c>
      <x:c r="G42" s="14" t="str">
        <x:v>Training Center A</x:v>
      </x:c>
      <x:c r="H42" s="28">
        <x:v>45801</x:v>
      </x:c>
      <x:c r="I42" s="14">
        <x:v>2025</x:v>
      </x:c>
      <x:c r="J42" s="14" t="s">
        <x:v>118</x:v>
      </x:c>
      <x:c r="K42" s="14">
        <x:v>18</x:v>
      </x:c>
      <x:c r="L42" s="29" t="s">
        <x:v>119</x:v>
      </x:c>
      <x:c r="M42" s="28">
        <x:v>45796</x:v>
      </x:c>
      <x:c r="N42" s="28">
        <x:v>46089</x:v>
      </x:c>
      <x:c r="O42" s="14">
        <x:v>293</x:v>
      </x:c>
      <x:c r="P42" s="14" t="s">
        <x:v>107</x:v>
      </x:c>
      <x:c r="Q42" s="14" t="s">
        <x:v>103</x:v>
      </x:c>
      <x:c r="R42" s="14" t="s">
        <x:v>104</x:v>
      </x:c>
      <x:c r="S42" s="14" t="s">
        <x:v>108</x:v>
      </x:c>
      <x:c r="T42" s="14" t="str">
        <x:v>Region B</x:v>
      </x:c>
      <x:c r="U42" s="28">
        <x:v>45808</x:v>
      </x:c>
      <x:c r="V42" s="30">
        <x:v>7</x:v>
      </x:c>
      <x:c r="W42" s="14" t="s">
        <x:v>109</x:v>
      </x:c>
      <x:c r="X42" s="14" t="s">
        <x:v>106</x:v>
      </x:c>
      <x:c r="Y42" s="32" t="str">
        <x:v>TRN-0041|20250524</x:v>
      </x:c>
      <x:c r="Z42" s="32" t="str" cm="1">
        <x:f t="array" ref="Z4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42" s="33" t="n">
        <x:f>--OR(WorkforceData[[#This Row],[Status]]="Active",WorkforceData[[#This Row],[Promoted]]="Yes",WorkforceData[[#This Row],[Total Days Worked]]&gt;=121)</x:f>
        <x:v>1</x:v>
      </x:c>
      <x:c r="AB42" s="33" t="n">
        <x:f>IF(AND(Q42="Terminated",R42="",O42=0),1,0)</x:f>
        <x:v>0</x:v>
      </x:c>
      <x:c r="AC42" s="33" t="n">
        <x:f>--OR(WorkforceData[[#This Row],[Status]]="Resigned",WorkforceData[[#This Row],[Status After Training]]="Withdrew")</x:f>
        <x:v>1</x:v>
      </x:c>
      <x:c r="AD42" s="34" t="n">
        <x:f>EOMONTH(WorkforceData[[#This Row],[Training Date]],0)</x:f>
        <x:v>45808</x:v>
      </x:c>
      <x:c r="AE42" s="32" t="str">
        <x:f>IF(M42&lt;H42,"Existing Employee",IF(U42="","No Assignment",IF(V42=0,"0 Days",IF(V42&lt;=7,"1-7 Days",IF(V42&lt;=14,"8-14 Days",IF(V42&lt;=21,"15-21 Days","21+ Days"))))))</x:f>
        <x:v>Existing Employee</x:v>
      </x:c>
      <x:c r="AF4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2" s="33" t="n">
        <x:f>--(WorkforceData[[#This Row],[Total Days Worked]]&gt;=121)</x:f>
        <x:v>1</x:v>
      </x:c>
    </x:row>
    <x:row r="43">
      <x:c r="A43" s="236" t="str">
        <x:v>TRN-0042</x:v>
      </x:c>
      <x:c r="B43" s="243"/>
      <x:c r="C43" s="243"/>
      <x:c r="D43" s="243"/>
      <x:c r="E43" s="243"/>
      <x:c r="F43" s="14" t="str">
        <x:v>Recruiter E</x:v>
      </x:c>
      <x:c r="G43" s="14" t="str">
        <x:v>Training Center B</x:v>
      </x:c>
      <x:c r="H43" s="28">
        <x:v>45214</x:v>
      </x:c>
      <x:c r="I43" s="14">
        <x:v>2023</x:v>
      </x:c>
      <x:c r="J43" s="14" t="s">
        <x:v>100</x:v>
      </x:c>
      <x:c r="K43" s="14">
        <x:v>18</x:v>
      </x:c>
      <x:c r="L43" s="29" t="s">
        <x:v>119</x:v>
      </x:c>
      <x:c r="M43" s="28">
        <x:v>45214</x:v>
      </x:c>
      <x:c r="N43" s="14"/>
      <x:c r="O43" s="14">
        <x:v>1037</x:v>
      </x:c>
      <x:c r="P43" s="14" t="s">
        <x:v>122</x:v>
      </x:c>
      <x:c r="Q43" s="14" t="s">
        <x:v>38</x:v>
      </x:c>
      <x:c r="R43" s="14"/>
      <x:c r="S43" s="14" t="s">
        <x:v>105</x:v>
      </x:c>
      <x:c r="T43" s="14" t="str">
        <x:v>Region D</x:v>
      </x:c>
      <x:c r="U43" s="28">
        <x:v>45279</x:v>
      </x:c>
      <x:c r="V43" s="30">
        <x:v>65</x:v>
      </x:c>
      <x:c r="W43" s="14" t="s">
        <x:v>114</x:v>
      </x:c>
      <x:c r="X43" s="14" t="s">
        <x:v>115</x:v>
      </x:c>
      <x:c r="Y43" s="32" t="str">
        <x:v>TRN-0042|20231015</x:v>
      </x:c>
      <x:c r="Z43" s="32" t="str" cm="1">
        <x:f t="array" ref="Z4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43" s="33" t="n">
        <x:f>--OR(WorkforceData[[#This Row],[Status]]="Active",WorkforceData[[#This Row],[Promoted]]="Yes",WorkforceData[[#This Row],[Total Days Worked]]&gt;=121)</x:f>
        <x:v>1</x:v>
      </x:c>
      <x:c r="AB43" s="33" t="n">
        <x:f>IF(AND(Q43="Terminated",R43="",O43=0),1,0)</x:f>
        <x:v>0</x:v>
      </x:c>
      <x:c r="AC43" s="33" t="n">
        <x:f>--OR(WorkforceData[[#This Row],[Status]]="Resigned",WorkforceData[[#This Row],[Status After Training]]="Withdrew")</x:f>
        <x:v>1</x:v>
      </x:c>
      <x:c r="AD43" s="34" t="n">
        <x:f>EOMONTH(WorkforceData[[#This Row],[Training Date]],0)</x:f>
        <x:v>45230</x:v>
      </x:c>
      <x:c r="AE43" s="32" t="str">
        <x:f>IF(M43&lt;H43,"Existing Employee",IF(U43="","No Assignment",IF(V43=0,"0 Days",IF(V43&lt;=7,"1-7 Days",IF(V43&lt;=14,"8-14 Days",IF(V43&lt;=21,"15-21 Days","21+ Days"))))))</x:f>
        <x:v>21+ Days</x:v>
      </x:c>
      <x:c r="AF4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3" s="33" t="n">
        <x:f>--(WorkforceData[[#This Row],[Total Days Worked]]&gt;=121)</x:f>
        <x:v>1</x:v>
      </x:c>
    </x:row>
    <x:row r="44">
      <x:c r="A44" s="236" t="str">
        <x:v>TRN-0043</x:v>
      </x:c>
      <x:c r="B44" s="243"/>
      <x:c r="C44" s="243"/>
      <x:c r="D44" s="243"/>
      <x:c r="E44" s="243"/>
      <x:c r="F44" s="14" t="str">
        <x:v>Recruiter A</x:v>
      </x:c>
      <x:c r="G44" s="14" t="str">
        <x:v>Training Center B</x:v>
      </x:c>
      <x:c r="H44" s="28">
        <x:v>45214</x:v>
      </x:c>
      <x:c r="I44" s="14">
        <x:v>2023</x:v>
      </x:c>
      <x:c r="J44" s="14" t="s">
        <x:v>100</x:v>
      </x:c>
      <x:c r="K44" s="14">
        <x:v>18</x:v>
      </x:c>
      <x:c r="L44" s="29" t="s">
        <x:v>119</x:v>
      </x:c>
      <x:c r="M44" s="28">
        <x:v>45214</x:v>
      </x:c>
      <x:c r="N44" s="28">
        <x:v>45474</x:v>
      </x:c>
      <x:c r="O44" s="14">
        <x:v>260</x:v>
      </x:c>
      <x:c r="P44" s="14" t="s">
        <x:v>107</x:v>
      </x:c>
      <x:c r="Q44" s="14" t="s">
        <x:v>103</x:v>
      </x:c>
      <x:c r="R44" s="14" t="s">
        <x:v>123</x:v>
      </x:c>
      <x:c r="S44" s="14" t="s">
        <x:v>108</x:v>
      </x:c>
      <x:c r="T44" s="14" t="str">
        <x:v>Region D</x:v>
      </x:c>
      <x:c r="U44" s="28">
        <x:v>45221</x:v>
      </x:c>
      <x:c r="V44" s="30">
        <x:v>7</x:v>
      </x:c>
      <x:c r="W44" s="14" t="s">
        <x:v>109</x:v>
      </x:c>
      <x:c r="X44" s="14" t="s">
        <x:v>106</x:v>
      </x:c>
      <x:c r="Y44" s="32" t="str">
        <x:v>TRN-0043|20231015</x:v>
      </x:c>
      <x:c r="Z44" s="32" t="str" cm="1">
        <x:f t="array" ref="Z4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44" s="33" t="n">
        <x:f>--OR(WorkforceData[[#This Row],[Status]]="Active",WorkforceData[[#This Row],[Promoted]]="Yes",WorkforceData[[#This Row],[Total Days Worked]]&gt;=121)</x:f>
        <x:v>1</x:v>
      </x:c>
      <x:c r="AB44" s="33" t="n">
        <x:f>IF(AND(Q44="Terminated",R44="",O44=0),1,0)</x:f>
        <x:v>0</x:v>
      </x:c>
      <x:c r="AC44" s="33" t="n">
        <x:f>--OR(WorkforceData[[#This Row],[Status]]="Resigned",WorkforceData[[#This Row],[Status After Training]]="Withdrew")</x:f>
        <x:v>1</x:v>
      </x:c>
      <x:c r="AD44" s="34" t="n">
        <x:f>EOMONTH(WorkforceData[[#This Row],[Training Date]],0)</x:f>
        <x:v>45230</x:v>
      </x:c>
      <x:c r="AE44" s="32" t="str">
        <x:f>IF(M44&lt;H44,"Existing Employee",IF(U44="","No Assignment",IF(V44=0,"0 Days",IF(V44&lt;=7,"1-7 Days",IF(V44&lt;=14,"8-14 Days",IF(V44&lt;=21,"15-21 Days","21+ Days"))))))</x:f>
        <x:v>1-7 Days</x:v>
      </x:c>
      <x:c r="AF4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4" s="33" t="n">
        <x:f>--(WorkforceData[[#This Row],[Total Days Worked]]&gt;=121)</x:f>
        <x:v>1</x:v>
      </x:c>
    </x:row>
    <x:row r="45">
      <x:c r="A45" s="236" t="str">
        <x:v>TRN-0044</x:v>
      </x:c>
      <x:c r="B45" s="243"/>
      <x:c r="C45" s="243"/>
      <x:c r="D45" s="243"/>
      <x:c r="E45" s="243"/>
      <x:c r="F45" s="14" t="str">
        <x:v>Recruiter C</x:v>
      </x:c>
      <x:c r="G45" s="14" t="str">
        <x:v>Training Center B</x:v>
      </x:c>
      <x:c r="H45" s="28">
        <x:v>45214</x:v>
      </x:c>
      <x:c r="I45" s="14">
        <x:v>2023</x:v>
      </x:c>
      <x:c r="J45" s="14" t="s">
        <x:v>100</x:v>
      </x:c>
      <x:c r="K45" s="14">
        <x:v>18</x:v>
      </x:c>
      <x:c r="L45" s="29" t="s">
        <x:v>119</x:v>
      </x:c>
      <x:c r="M45" s="28">
        <x:v>45212</x:v>
      </x:c>
      <x:c r="N45" s="28">
        <x:v>45315</x:v>
      </x:c>
      <x:c r="O45" s="14">
        <x:v>103</x:v>
      </x:c>
      <x:c r="P45" s="14" t="s">
        <x:v>113</x:v>
      </x:c>
      <x:c r="Q45" s="14" t="s">
        <x:v>103</x:v>
      </x:c>
      <x:c r="R45" s="14" t="s">
        <x:v>104</x:v>
      </x:c>
      <x:c r="S45" s="14" t="s">
        <x:v>105</x:v>
      </x:c>
      <x:c r="T45" s="14" t="str">
        <x:v>Region C</x:v>
      </x:c>
      <x:c r="U45" s="28">
        <x:v>45315</x:v>
      </x:c>
      <x:c r="V45" s="30">
        <x:v>101</x:v>
      </x:c>
      <x:c r="W45" s="14" t="s">
        <x:v>114</x:v>
      </x:c>
      <x:c r="X45" s="14" t="s">
        <x:v>117</x:v>
      </x:c>
      <x:c r="Y45" s="32" t="str">
        <x:v>TRN-0044|20231015</x:v>
      </x:c>
      <x:c r="Z45" s="32" t="str" cm="1">
        <x:f t="array" ref="Z4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45" s="33" t="n">
        <x:f>--OR(WorkforceData[[#This Row],[Status]]="Active",WorkforceData[[#This Row],[Promoted]]="Yes",WorkforceData[[#This Row],[Total Days Worked]]&gt;=121)</x:f>
        <x:v>0</x:v>
      </x:c>
      <x:c r="AB45" s="33" t="n">
        <x:f>IF(AND(Q45="Terminated",R45="",O45=0),1,0)</x:f>
        <x:v>0</x:v>
      </x:c>
      <x:c r="AC45" s="33" t="n">
        <x:f>--OR(WorkforceData[[#This Row],[Status]]="Resigned",WorkforceData[[#This Row],[Status After Training]]="Withdrew")</x:f>
        <x:v>1</x:v>
      </x:c>
      <x:c r="AD45" s="34" t="n">
        <x:f>EOMONTH(WorkforceData[[#This Row],[Training Date]],0)</x:f>
        <x:v>45230</x:v>
      </x:c>
      <x:c r="AE45" s="32" t="str">
        <x:f>IF(M45&lt;H45,"Existing Employee",IF(U45="","No Assignment",IF(V45=0,"0 Days",IF(V45&lt;=7,"1-7 Days",IF(V45&lt;=14,"8-14 Days",IF(V45&lt;=21,"15-21 Days","21+ Days"))))))</x:f>
        <x:v>Existing Employee</x:v>
      </x:c>
      <x:c r="AF4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91-120 Days</x:v>
      </x:c>
      <x:c r="AG45" s="33" t="n">
        <x:f>--(WorkforceData[[#This Row],[Total Days Worked]]&gt;=121)</x:f>
        <x:v>0</x:v>
      </x:c>
    </x:row>
    <x:row r="46">
      <x:c r="A46" s="236" t="str">
        <x:v>TRN-0045</x:v>
      </x:c>
      <x:c r="B46" s="243"/>
      <x:c r="C46" s="243"/>
      <x:c r="D46" s="243"/>
      <x:c r="E46" s="243"/>
      <x:c r="F46" s="14" t="str">
        <x:v>Recruiter A</x:v>
      </x:c>
      <x:c r="G46" s="14" t="str">
        <x:v>Training Center B</x:v>
      </x:c>
      <x:c r="H46" s="28">
        <x:v>45214</x:v>
      </x:c>
      <x:c r="I46" s="14">
        <x:v>2023</x:v>
      </x:c>
      <x:c r="J46" s="14" t="s">
        <x:v>100</x:v>
      </x:c>
      <x:c r="K46" s="14">
        <x:v>18</x:v>
      </x:c>
      <x:c r="L46" s="29" t="s">
        <x:v>119</x:v>
      </x:c>
      <x:c r="M46" s="28">
        <x:v>45211</x:v>
      </x:c>
      <x:c r="N46" s="28">
        <x:v>46176</x:v>
      </x:c>
      <x:c r="O46" s="14">
        <x:v>965</x:v>
      </x:c>
      <x:c r="P46" s="14" t="s">
        <x:v>122</x:v>
      </x:c>
      <x:c r="Q46" s="14" t="s">
        <x:v>103</x:v>
      </x:c>
      <x:c r="R46" s="14" t="s">
        <x:v>104</x:v>
      </x:c>
      <x:c r="S46" s="14" t="s">
        <x:v>108</x:v>
      </x:c>
      <x:c r="T46" s="14" t="str">
        <x:v>Region A</x:v>
      </x:c>
      <x:c r="U46" s="28">
        <x:v>45219</x:v>
      </x:c>
      <x:c r="V46" s="30">
        <x:v>5</x:v>
      </x:c>
      <x:c r="W46" s="14" t="s">
        <x:v>109</x:v>
      </x:c>
      <x:c r="X46" s="14" t="s">
        <x:v>106</x:v>
      </x:c>
      <x:c r="Y46" s="32" t="str">
        <x:v>TRN-0045|20231015</x:v>
      </x:c>
      <x:c r="Z46" s="32" t="str" cm="1">
        <x:f t="array" ref="Z4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46" s="33" t="n">
        <x:f>--OR(WorkforceData[[#This Row],[Status]]="Active",WorkforceData[[#This Row],[Promoted]]="Yes",WorkforceData[[#This Row],[Total Days Worked]]&gt;=121)</x:f>
        <x:v>1</x:v>
      </x:c>
      <x:c r="AB46" s="33" t="n">
        <x:f>IF(AND(Q46="Terminated",R46="",O46=0),1,0)</x:f>
        <x:v>0</x:v>
      </x:c>
      <x:c r="AC46" s="33" t="n">
        <x:f>--OR(WorkforceData[[#This Row],[Status]]="Resigned",WorkforceData[[#This Row],[Status After Training]]="Withdrew")</x:f>
        <x:v>1</x:v>
      </x:c>
      <x:c r="AD46" s="34" t="n">
        <x:f>EOMONTH(WorkforceData[[#This Row],[Training Date]],0)</x:f>
        <x:v>45230</x:v>
      </x:c>
      <x:c r="AE46" s="32" t="str">
        <x:f>IF(M46&lt;H46,"Existing Employee",IF(U46="","No Assignment",IF(V46=0,"0 Days",IF(V46&lt;=7,"1-7 Days",IF(V46&lt;=14,"8-14 Days",IF(V46&lt;=21,"15-21 Days","21+ Days"))))))</x:f>
        <x:v>Existing Employee</x:v>
      </x:c>
      <x:c r="AF4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6" s="33" t="n">
        <x:f>--(WorkforceData[[#This Row],[Total Days Worked]]&gt;=121)</x:f>
        <x:v>1</x:v>
      </x:c>
    </x:row>
    <x:row r="47">
      <x:c r="A47" s="236" t="str">
        <x:v>TRN-0046</x:v>
      </x:c>
      <x:c r="B47" s="243"/>
      <x:c r="C47" s="243"/>
      <x:c r="D47" s="243"/>
      <x:c r="E47" s="243"/>
      <x:c r="F47" s="14" t="str">
        <x:v>Recruiter C</x:v>
      </x:c>
      <x:c r="G47" s="14" t="str">
        <x:v>Training Center B</x:v>
      </x:c>
      <x:c r="H47" s="28">
        <x:v>45214</x:v>
      </x:c>
      <x:c r="I47" s="14">
        <x:v>2023</x:v>
      </x:c>
      <x:c r="J47" s="14" t="s">
        <x:v>100</x:v>
      </x:c>
      <x:c r="K47" s="14">
        <x:v>18</x:v>
      </x:c>
      <x:c r="L47" s="29" t="s">
        <x:v>119</x:v>
      </x:c>
      <x:c r="M47" s="28">
        <x:v>45209</x:v>
      </x:c>
      <x:c r="N47" s="28">
        <x:v>45381</x:v>
      </x:c>
      <x:c r="O47" s="14">
        <x:v>172</x:v>
      </x:c>
      <x:c r="P47" s="14" t="s">
        <x:v>113</x:v>
      </x:c>
      <x:c r="Q47" s="14" t="s">
        <x:v>103</x:v>
      </x:c>
      <x:c r="R47" s="14" t="s">
        <x:v>104</x:v>
      </x:c>
      <x:c r="S47" s="14" t="s">
        <x:v>105</x:v>
      </x:c>
      <x:c r="T47" s="14" t="str">
        <x:v>Region E</x:v>
      </x:c>
      <x:c r="U47" s="28">
        <x:v>45218</x:v>
      </x:c>
      <x:c r="V47" s="30">
        <x:v>4</x:v>
      </x:c>
      <x:c r="W47" s="14" t="s">
        <x:v>109</x:v>
      </x:c>
      <x:c r="X47" s="14" t="s">
        <x:v>106</x:v>
      </x:c>
      <x:c r="Y47" s="32" t="str">
        <x:v>TRN-0046|20231015</x:v>
      </x:c>
      <x:c r="Z47" s="32" t="str" cm="1">
        <x:f t="array" ref="Z4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Complete</x:v>
      </x:c>
      <x:c r="AA47" s="33" t="n">
        <x:f>--OR(WorkforceData[[#This Row],[Status]]="Active",WorkforceData[[#This Row],[Promoted]]="Yes",WorkforceData[[#This Row],[Total Days Worked]]&gt;=121)</x:f>
        <x:v>1</x:v>
      </x:c>
      <x:c r="AB47" s="33" t="n">
        <x:f>IF(AND(Q47="Terminated",R47="",O47=0),1,0)</x:f>
        <x:v>0</x:v>
      </x:c>
      <x:c r="AC47" s="33" t="n">
        <x:f>--OR(WorkforceData[[#This Row],[Status]]="Resigned",WorkforceData[[#This Row],[Status After Training]]="Withdrew")</x:f>
        <x:v>1</x:v>
      </x:c>
      <x:c r="AD47" s="34" t="n">
        <x:f>EOMONTH(WorkforceData[[#This Row],[Training Date]],0)</x:f>
        <x:v>45230</x:v>
      </x:c>
      <x:c r="AE47" s="32" t="str">
        <x:f>IF(M47&lt;H47,"Existing Employee",IF(U47="","No Assignment",IF(V47=0,"0 Days",IF(V47&lt;=7,"1-7 Days",IF(V47&lt;=14,"8-14 Days",IF(V47&lt;=21,"15-21 Days","21+ Days"))))))</x:f>
        <x:v>Existing Employee</x:v>
      </x:c>
      <x:c r="AF4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7" s="33" t="n">
        <x:f>--(WorkforceData[[#This Row],[Total Days Worked]]&gt;=121)</x:f>
        <x:v>1</x:v>
      </x:c>
    </x:row>
    <x:row r="48">
      <x:c r="A48" s="236" t="str">
        <x:v>TRN-0047</x:v>
      </x:c>
      <x:c r="B48" s="243"/>
      <x:c r="C48" s="243"/>
      <x:c r="D48" s="243"/>
      <x:c r="E48" s="243"/>
      <x:c r="F48" s="14" t="str">
        <x:v>Recruiter H</x:v>
      </x:c>
      <x:c r="G48" s="14" t="str">
        <x:v>Training Center B</x:v>
      </x:c>
      <x:c r="H48" s="28">
        <x:v>45214</x:v>
      </x:c>
      <x:c r="I48" s="14">
        <x:v>2023</x:v>
      </x:c>
      <x:c r="J48" s="14" t="s">
        <x:v>100</x:v>
      </x:c>
      <x:c r="K48" s="14">
        <x:v>18</x:v>
      </x:c>
      <x:c r="L48" s="29" t="s">
        <x:v>119</x:v>
      </x:c>
      <x:c r="M48" s="28">
        <x:v>45213</x:v>
      </x:c>
      <x:c r="N48" s="28">
        <x:v>45462</x:v>
      </x:c>
      <x:c r="O48" s="14">
        <x:v>249</x:v>
      </x:c>
      <x:c r="P48" s="14" t="s">
        <x:v>107</x:v>
      </x:c>
      <x:c r="Q48" s="14" t="s">
        <x:v>33</x:v>
      </x:c>
      <x:c r="R48" s="14" t="s">
        <x:v>121</x:v>
      </x:c>
      <x:c r="S48" s="14" t="s">
        <x:v>108</x:v>
      </x:c>
      <x:c r="T48" s="14" t="str">
        <x:v>Region D</x:v>
      </x:c>
      <x:c r="U48" s="28">
        <x:v>45220</x:v>
      </x:c>
      <x:c r="V48" s="30">
        <x:v>6</x:v>
      </x:c>
      <x:c r="W48" s="14" t="s">
        <x:v>109</x:v>
      </x:c>
      <x:c r="X48" s="14" t="s">
        <x:v>106</x:v>
      </x:c>
      <x:c r="Y48" s="32" t="str">
        <x:v>TRN-0047|20231015</x:v>
      </x:c>
      <x:c r="Z48" s="32" t="str" cm="1">
        <x:f t="array" ref="Z4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48" s="33" t="n">
        <x:f>--OR(WorkforceData[[#This Row],[Status]]="Active",WorkforceData[[#This Row],[Promoted]]="Yes",WorkforceData[[#This Row],[Total Days Worked]]&gt;=121)</x:f>
        <x:v>1</x:v>
      </x:c>
      <x:c r="AB48" s="33" t="n">
        <x:f>IF(AND(Q48="Terminated",R48="",O48=0),1,0)</x:f>
        <x:v>0</x:v>
      </x:c>
      <x:c r="AC48" s="33" t="n">
        <x:f>--OR(WorkforceData[[#This Row],[Status]]="Resigned",WorkforceData[[#This Row],[Status After Training]]="Withdrew")</x:f>
        <x:v>0</x:v>
      </x:c>
      <x:c r="AD48" s="34" t="n">
        <x:f>EOMONTH(WorkforceData[[#This Row],[Training Date]],0)</x:f>
        <x:v>45230</x:v>
      </x:c>
      <x:c r="AE48" s="32" t="str">
        <x:f>IF(M48&lt;H48,"Existing Employee",IF(U48="","No Assignment",IF(V48=0,"0 Days",IF(V48&lt;=7,"1-7 Days",IF(V48&lt;=14,"8-14 Days",IF(V48&lt;=21,"15-21 Days","21+ Days"))))))</x:f>
        <x:v>Existing Employee</x:v>
      </x:c>
      <x:c r="AF4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8" s="33" t="n">
        <x:f>--(WorkforceData[[#This Row],[Total Days Worked]]&gt;=121)</x:f>
        <x:v>1</x:v>
      </x:c>
    </x:row>
    <x:row r="49">
      <x:c r="A49" s="236" t="str">
        <x:v>TRN-0048</x:v>
      </x:c>
      <x:c r="B49" s="243"/>
      <x:c r="C49" s="243"/>
      <x:c r="D49" s="243"/>
      <x:c r="E49" s="243"/>
      <x:c r="F49" s="14" t="str">
        <x:v>Recruiter A</x:v>
      </x:c>
      <x:c r="G49" s="14" t="str">
        <x:v>Training Center B</x:v>
      </x:c>
      <x:c r="H49" s="28">
        <x:v>45214</x:v>
      </x:c>
      <x:c r="I49" s="14">
        <x:v>2023</x:v>
      </x:c>
      <x:c r="J49" s="14" t="s">
        <x:v>100</x:v>
      </x:c>
      <x:c r="K49" s="14">
        <x:v>18</x:v>
      </x:c>
      <x:c r="L49" s="29" t="s">
        <x:v>119</x:v>
      </x:c>
      <x:c r="M49" s="28">
        <x:v>45204</x:v>
      </x:c>
      <x:c r="N49" s="14"/>
      <x:c r="O49" s="14">
        <x:v>1047</x:v>
      </x:c>
      <x:c r="P49" s="14" t="s">
        <x:v>122</x:v>
      </x:c>
      <x:c r="Q49" s="14" t="s">
        <x:v>25</x:v>
      </x:c>
      <x:c r="R49" s="14"/>
      <x:c r="S49" s="14" t="s">
        <x:v>108</x:v>
      </x:c>
      <x:c r="T49" s="14" t="str">
        <x:v>Region B</x:v>
      </x:c>
      <x:c r="U49" s="28">
        <x:v>45215</x:v>
      </x:c>
      <x:c r="V49" s="30">
        <x:v>1</x:v>
      </x:c>
      <x:c r="W49" s="14" t="s">
        <x:v>109</x:v>
      </x:c>
      <x:c r="X49" s="14" t="s">
        <x:v>106</x:v>
      </x:c>
      <x:c r="Y49" s="32" t="str">
        <x:v>TRN-0048|20231015</x:v>
      </x:c>
      <x:c r="Z49" s="32" t="str" cm="1">
        <x:f t="array" ref="Z4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49" s="33" t="n">
        <x:f>--OR(WorkforceData[[#This Row],[Status]]="Active",WorkforceData[[#This Row],[Promoted]]="Yes",WorkforceData[[#This Row],[Total Days Worked]]&gt;=121)</x:f>
        <x:v>1</x:v>
      </x:c>
      <x:c r="AB49" s="33" t="n">
        <x:f>IF(AND(Q49="Terminated",R49="",O49=0),1,0)</x:f>
        <x:v>0</x:v>
      </x:c>
      <x:c r="AC49" s="33" t="n">
        <x:f>--OR(WorkforceData[[#This Row],[Status]]="Resigned",WorkforceData[[#This Row],[Status After Training]]="Withdrew")</x:f>
        <x:v>0</x:v>
      </x:c>
      <x:c r="AD49" s="34" t="n">
        <x:f>EOMONTH(WorkforceData[[#This Row],[Training Date]],0)</x:f>
        <x:v>45230</x:v>
      </x:c>
      <x:c r="AE49" s="32" t="str">
        <x:f>IF(M49&lt;H49,"Existing Employee",IF(U49="","No Assignment",IF(V49=0,"0 Days",IF(V49&lt;=7,"1-7 Days",IF(V49&lt;=14,"8-14 Days",IF(V49&lt;=21,"15-21 Days","21+ Days"))))))</x:f>
        <x:v>Existing Employee</x:v>
      </x:c>
      <x:c r="AF4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9" s="33" t="n">
        <x:f>--(WorkforceData[[#This Row],[Total Days Worked]]&gt;=121)</x:f>
        <x:v>1</x:v>
      </x:c>
    </x:row>
    <x:row r="50">
      <x:c r="A50" s="236" t="str">
        <x:v>TRN-0049</x:v>
      </x:c>
      <x:c r="B50" s="243"/>
      <x:c r="C50" s="243"/>
      <x:c r="D50" s="243"/>
      <x:c r="E50" s="243"/>
      <x:c r="F50" s="14" t="str">
        <x:v>Recruiter H</x:v>
      </x:c>
      <x:c r="G50" s="14" t="str">
        <x:v>Training Center B</x:v>
      </x:c>
      <x:c r="H50" s="28">
        <x:v>45214</x:v>
      </x:c>
      <x:c r="I50" s="14">
        <x:v>2023</x:v>
      </x:c>
      <x:c r="J50" s="14" t="s">
        <x:v>100</x:v>
      </x:c>
      <x:c r="K50" s="14">
        <x:v>18</x:v>
      </x:c>
      <x:c r="L50" s="29" t="s">
        <x:v>119</x:v>
      </x:c>
      <x:c r="M50" s="28">
        <x:v>45214</x:v>
      </x:c>
      <x:c r="N50" s="14"/>
      <x:c r="O50" s="14">
        <x:v>1037</x:v>
      </x:c>
      <x:c r="P50" s="14" t="s">
        <x:v>122</x:v>
      </x:c>
      <x:c r="Q50" s="14" t="s">
        <x:v>25</x:v>
      </x:c>
      <x:c r="R50" s="14"/>
      <x:c r="S50" s="14" t="s">
        <x:v>108</x:v>
      </x:c>
      <x:c r="T50" s="14" t="str">
        <x:v>Region D</x:v>
      </x:c>
      <x:c r="U50" s="28">
        <x:v>45236</x:v>
      </x:c>
      <x:c r="V50" s="30">
        <x:v>22</x:v>
      </x:c>
      <x:c r="W50" s="14" t="s">
        <x:v>112</x:v>
      </x:c>
      <x:c r="X50" s="14" t="s">
        <x:v>106</x:v>
      </x:c>
      <x:c r="Y50" s="32" t="str">
        <x:v>TRN-0049|20231015</x:v>
      </x:c>
      <x:c r="Z50" s="32" t="str" cm="1">
        <x:f t="array" ref="Z5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50" s="33" t="n">
        <x:f>--OR(WorkforceData[[#This Row],[Status]]="Active",WorkforceData[[#This Row],[Promoted]]="Yes",WorkforceData[[#This Row],[Total Days Worked]]&gt;=121)</x:f>
        <x:v>1</x:v>
      </x:c>
      <x:c r="AB50" s="33" t="n">
        <x:f>IF(AND(Q50="Terminated",R50="",O50=0),1,0)</x:f>
        <x:v>0</x:v>
      </x:c>
      <x:c r="AC50" s="33" t="n">
        <x:f>--OR(WorkforceData[[#This Row],[Status]]="Resigned",WorkforceData[[#This Row],[Status After Training]]="Withdrew")</x:f>
        <x:v>0</x:v>
      </x:c>
      <x:c r="AD50" s="34" t="n">
        <x:f>EOMONTH(WorkforceData[[#This Row],[Training Date]],0)</x:f>
        <x:v>45230</x:v>
      </x:c>
      <x:c r="AE50" s="32" t="str">
        <x:f>IF(M50&lt;H50,"Existing Employee",IF(U50="","No Assignment",IF(V50=0,"0 Days",IF(V50&lt;=7,"1-7 Days",IF(V50&lt;=14,"8-14 Days",IF(V50&lt;=21,"15-21 Days","21+ Days"))))))</x:f>
        <x:v>21+ Days</x:v>
      </x:c>
      <x:c r="AF5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0" s="33" t="n">
        <x:f>--(WorkforceData[[#This Row],[Total Days Worked]]&gt;=121)</x:f>
        <x:v>1</x:v>
      </x:c>
    </x:row>
    <x:row r="51">
      <x:c r="A51" s="236" t="str">
        <x:v>TRN-0050</x:v>
      </x:c>
      <x:c r="B51" s="243"/>
      <x:c r="C51" s="243"/>
      <x:c r="D51" s="243"/>
      <x:c r="E51" s="243"/>
      <x:c r="F51" s="14" t="str">
        <x:v>Recruiter F</x:v>
      </x:c>
      <x:c r="G51" s="14" t="str">
        <x:v>Training Center B</x:v>
      </x:c>
      <x:c r="H51" s="28">
        <x:v>45214</x:v>
      </x:c>
      <x:c r="I51" s="14">
        <x:v>2023</x:v>
      </x:c>
      <x:c r="J51" s="14" t="s">
        <x:v>100</x:v>
      </x:c>
      <x:c r="K51" s="14">
        <x:v>18</x:v>
      </x:c>
      <x:c r="L51" s="29" t="s">
        <x:v>119</x:v>
      </x:c>
      <x:c r="M51" s="28">
        <x:v>45211</x:v>
      </x:c>
      <x:c r="N51" s="14"/>
      <x:c r="O51" s="14">
        <x:v>1040</x:v>
      </x:c>
      <x:c r="P51" s="14" t="s">
        <x:v>122</x:v>
      </x:c>
      <x:c r="Q51" s="14" t="s">
        <x:v>25</x:v>
      </x:c>
      <x:c r="R51" s="14"/>
      <x:c r="S51" s="14" t="s">
        <x:v>108</x:v>
      </x:c>
      <x:c r="T51" s="14" t="str">
        <x:v>Region B</x:v>
      </x:c>
      <x:c r="U51" s="28">
        <x:v>45224</x:v>
      </x:c>
      <x:c r="V51" s="30">
        <x:v>10</x:v>
      </x:c>
      <x:c r="W51" s="14" t="s">
        <x:v>45</x:v>
      </x:c>
      <x:c r="X51" s="14" t="s">
        <x:v>106</x:v>
      </x:c>
      <x:c r="Y51" s="32" t="str">
        <x:v>TRN-0050|20231015</x:v>
      </x:c>
      <x:c r="Z51" s="32" t="str" cm="1">
        <x:f t="array" ref="Z5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51" s="33" t="n">
        <x:f>--OR(WorkforceData[[#This Row],[Status]]="Active",WorkforceData[[#This Row],[Promoted]]="Yes",WorkforceData[[#This Row],[Total Days Worked]]&gt;=121)</x:f>
        <x:v>1</x:v>
      </x:c>
      <x:c r="AB51" s="33" t="n">
        <x:f>IF(AND(Q51="Terminated",R51="",O51=0),1,0)</x:f>
        <x:v>0</x:v>
      </x:c>
      <x:c r="AC51" s="33" t="n">
        <x:f>--OR(WorkforceData[[#This Row],[Status]]="Resigned",WorkforceData[[#This Row],[Status After Training]]="Withdrew")</x:f>
        <x:v>0</x:v>
      </x:c>
      <x:c r="AD51" s="34" t="n">
        <x:f>EOMONTH(WorkforceData[[#This Row],[Training Date]],0)</x:f>
        <x:v>45230</x:v>
      </x:c>
      <x:c r="AE51" s="32" t="str">
        <x:f>IF(M51&lt;H51,"Existing Employee",IF(U51="","No Assignment",IF(V51=0,"0 Days",IF(V51&lt;=7,"1-7 Days",IF(V51&lt;=14,"8-14 Days",IF(V51&lt;=21,"15-21 Days","21+ Days"))))))</x:f>
        <x:v>Existing Employee</x:v>
      </x:c>
      <x:c r="AF5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1" s="33" t="n">
        <x:f>--(WorkforceData[[#This Row],[Total Days Worked]]&gt;=121)</x:f>
        <x:v>1</x:v>
      </x:c>
    </x:row>
    <x:row r="52">
      <x:c r="A52" s="236" t="str">
        <x:v>TRN-0051</x:v>
      </x:c>
      <x:c r="B52" s="243"/>
      <x:c r="C52" s="243"/>
      <x:c r="D52" s="243"/>
      <x:c r="E52" s="243"/>
      <x:c r="F52" s="14" t="str">
        <x:v>Recruiter D</x:v>
      </x:c>
      <x:c r="G52" s="14" t="str">
        <x:v>Training Center B</x:v>
      </x:c>
      <x:c r="H52" s="28">
        <x:v>45214</x:v>
      </x:c>
      <x:c r="I52" s="14">
        <x:v>2023</x:v>
      </x:c>
      <x:c r="J52" s="14" t="s">
        <x:v>100</x:v>
      </x:c>
      <x:c r="K52" s="14">
        <x:v>18</x:v>
      </x:c>
      <x:c r="L52" s="29" t="s">
        <x:v>119</x:v>
      </x:c>
      <x:c r="M52" s="28">
        <x:v>45213</x:v>
      </x:c>
      <x:c r="N52" s="28">
        <x:v>45214</x:v>
      </x:c>
      <x:c r="O52" s="14">
        <x:v>1</x:v>
      </x:c>
      <x:c r="P52" s="14" t="s">
        <x:v>102</x:v>
      </x:c>
      <x:c r="Q52" s="14" t="s">
        <x:v>33</x:v>
      </x:c>
      <x:c r="R52" s="14" t="s">
        <x:v>124</x:v>
      </x:c>
      <x:c r="S52" s="14" t="s">
        <x:v>105</x:v>
      </x:c>
      <x:c r="T52" s="14" t="str">
        <x:v>Region A</x:v>
      </x:c>
      <x:c r="U52" s="28">
        <x:v>45214</x:v>
      </x:c>
      <x:c r="V52" s="30">
        <x:v>0</x:v>
      </x:c>
      <x:c r="W52" s="14" t="s">
        <x:v>109</x:v>
      </x:c>
      <x:c r="X52" s="14" t="s">
        <x:v>106</x:v>
      </x:c>
      <x:c r="Y52" s="32" t="str">
        <x:v>TRN-0051|20231015</x:v>
      </x:c>
      <x:c r="Z52" s="32" t="str" cm="1">
        <x:f t="array" ref="Z5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52" s="33" t="n">
        <x:f>--OR(WorkforceData[[#This Row],[Status]]="Active",WorkforceData[[#This Row],[Promoted]]="Yes",WorkforceData[[#This Row],[Total Days Worked]]&gt;=121)</x:f>
        <x:v>0</x:v>
      </x:c>
      <x:c r="AB52" s="33" t="n">
        <x:f>IF(AND(Q52="Terminated",R52="",O52=0),1,0)</x:f>
        <x:v>0</x:v>
      </x:c>
      <x:c r="AC52" s="33" t="n">
        <x:f>--OR(WorkforceData[[#This Row],[Status]]="Resigned",WorkforceData[[#This Row],[Status After Training]]="Withdrew")</x:f>
        <x:v>0</x:v>
      </x:c>
      <x:c r="AD52" s="34" t="n">
        <x:f>EOMONTH(WorkforceData[[#This Row],[Training Date]],0)</x:f>
        <x:v>45230</x:v>
      </x:c>
      <x:c r="AE52" s="32" t="str">
        <x:f>IF(M52&lt;H52,"Existing Employee",IF(U52="","No Assignment",IF(V52=0,"0 Days",IF(V52&lt;=7,"1-7 Days",IF(V52&lt;=14,"8-14 Days",IF(V52&lt;=21,"15-21 Days","21+ Days"))))))</x:f>
        <x:v>Existing Employee</x:v>
      </x:c>
      <x:c r="AF5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1-7 Days</x:v>
      </x:c>
      <x:c r="AG52" s="33" t="n">
        <x:f>--(WorkforceData[[#This Row],[Total Days Worked]]&gt;=121)</x:f>
        <x:v>0</x:v>
      </x:c>
    </x:row>
    <x:row r="53">
      <x:c r="A53" s="236" t="str">
        <x:v>TRN-0052</x:v>
      </x:c>
      <x:c r="B53" s="243"/>
      <x:c r="C53" s="243"/>
      <x:c r="D53" s="243"/>
      <x:c r="E53" s="243"/>
      <x:c r="F53" s="14" t="str">
        <x:v>Recruiter A</x:v>
      </x:c>
      <x:c r="G53" s="14" t="str">
        <x:v>Training Center B</x:v>
      </x:c>
      <x:c r="H53" s="28">
        <x:v>45214</x:v>
      </x:c>
      <x:c r="I53" s="14">
        <x:v>2023</x:v>
      </x:c>
      <x:c r="J53" s="14" t="s">
        <x:v>100</x:v>
      </x:c>
      <x:c r="K53" s="14">
        <x:v>18</x:v>
      </x:c>
      <x:c r="L53" s="29" t="s">
        <x:v>119</x:v>
      </x:c>
      <x:c r="M53" s="28">
        <x:v>45214</x:v>
      </x:c>
      <x:c r="N53" s="28">
        <x:v>45518</x:v>
      </x:c>
      <x:c r="O53" s="14">
        <x:v>304</x:v>
      </x:c>
      <x:c r="P53" s="14" t="s">
        <x:v>107</x:v>
      </x:c>
      <x:c r="Q53" s="14" t="s">
        <x:v>103</x:v>
      </x:c>
      <x:c r="R53" s="14" t="s">
        <x:v>104</x:v>
      </x:c>
      <x:c r="S53" s="14" t="s">
        <x:v>108</x:v>
      </x:c>
      <x:c r="T53" s="14" t="str">
        <x:v>Region C</x:v>
      </x:c>
      <x:c r="U53" s="28">
        <x:v>45227</x:v>
      </x:c>
      <x:c r="V53" s="30">
        <x:v>13</x:v>
      </x:c>
      <x:c r="W53" s="14" t="s">
        <x:v>45</x:v>
      </x:c>
      <x:c r="X53" s="14" t="s">
        <x:v>125</x:v>
      </x:c>
      <x:c r="Y53" s="32" t="str">
        <x:v>TRN-0052|20231015</x:v>
      </x:c>
      <x:c r="Z53" s="32" t="str" cm="1">
        <x:f t="array" ref="Z5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53" s="33" t="n">
        <x:f>--OR(WorkforceData[[#This Row],[Status]]="Active",WorkforceData[[#This Row],[Promoted]]="Yes",WorkforceData[[#This Row],[Total Days Worked]]&gt;=121)</x:f>
        <x:v>1</x:v>
      </x:c>
      <x:c r="AB53" s="33" t="n">
        <x:f>IF(AND(Q53="Terminated",R53="",O53=0),1,0)</x:f>
        <x:v>0</x:v>
      </x:c>
      <x:c r="AC53" s="33" t="n">
        <x:f>--OR(WorkforceData[[#This Row],[Status]]="Resigned",WorkforceData[[#This Row],[Status After Training]]="Withdrew")</x:f>
        <x:v>1</x:v>
      </x:c>
      <x:c r="AD53" s="34" t="n">
        <x:f>EOMONTH(WorkforceData[[#This Row],[Training Date]],0)</x:f>
        <x:v>45230</x:v>
      </x:c>
      <x:c r="AE53" s="32" t="str">
        <x:f>IF(M53&lt;H53,"Existing Employee",IF(U53="","No Assignment",IF(V53=0,"0 Days",IF(V53&lt;=7,"1-7 Days",IF(V53&lt;=14,"8-14 Days",IF(V53&lt;=21,"15-21 Days","21+ Days"))))))</x:f>
        <x:v>8-14 Days</x:v>
      </x:c>
      <x:c r="AF5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3" s="33" t="n">
        <x:f>--(WorkforceData[[#This Row],[Total Days Worked]]&gt;=121)</x:f>
        <x:v>1</x:v>
      </x:c>
    </x:row>
    <x:row r="54">
      <x:c r="A54" s="236" t="str">
        <x:v>TRN-0053</x:v>
      </x:c>
      <x:c r="B54" s="243"/>
      <x:c r="C54" s="243"/>
      <x:c r="D54" s="243"/>
      <x:c r="E54" s="243"/>
      <x:c r="F54" s="14" t="str">
        <x:v>Recruiter H</x:v>
      </x:c>
      <x:c r="G54" s="14" t="str">
        <x:v>Training Center B</x:v>
      </x:c>
      <x:c r="H54" s="28">
        <x:v>45214</x:v>
      </x:c>
      <x:c r="I54" s="14">
        <x:v>2023</x:v>
      </x:c>
      <x:c r="J54" s="14" t="s">
        <x:v>100</x:v>
      </x:c>
      <x:c r="K54" s="14">
        <x:v>18</x:v>
      </x:c>
      <x:c r="L54" s="29" t="s">
        <x:v>119</x:v>
      </x:c>
      <x:c r="M54" s="28">
        <x:v>45214</x:v>
      </x:c>
      <x:c r="N54" s="14"/>
      <x:c r="O54" s="14">
        <x:v>1037</x:v>
      </x:c>
      <x:c r="P54" s="14" t="s">
        <x:v>122</x:v>
      </x:c>
      <x:c r="Q54" s="14" t="s">
        <x:v>25</x:v>
      </x:c>
      <x:c r="R54" s="14"/>
      <x:c r="S54" s="14" t="s">
        <x:v>108</x:v>
      </x:c>
      <x:c r="T54" s="14" t="str">
        <x:v>Region A</x:v>
      </x:c>
      <x:c r="U54" s="28">
        <x:v>45220</x:v>
      </x:c>
      <x:c r="V54" s="30">
        <x:v>6</x:v>
      </x:c>
      <x:c r="W54" s="14" t="s">
        <x:v>109</x:v>
      </x:c>
      <x:c r="X54" s="14" t="s">
        <x:v>106</x:v>
      </x:c>
      <x:c r="Y54" s="32" t="str">
        <x:v>TRN-0053|20231015</x:v>
      </x:c>
      <x:c r="Z54" s="32" t="str" cm="1">
        <x:f t="array" ref="Z5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54" s="33" t="n">
        <x:f>--OR(WorkforceData[[#This Row],[Status]]="Active",WorkforceData[[#This Row],[Promoted]]="Yes",WorkforceData[[#This Row],[Total Days Worked]]&gt;=121)</x:f>
        <x:v>1</x:v>
      </x:c>
      <x:c r="AB54" s="33" t="n">
        <x:f>IF(AND(Q54="Terminated",R54="",O54=0),1,0)</x:f>
        <x:v>0</x:v>
      </x:c>
      <x:c r="AC54" s="33" t="n">
        <x:f>--OR(WorkforceData[[#This Row],[Status]]="Resigned",WorkforceData[[#This Row],[Status After Training]]="Withdrew")</x:f>
        <x:v>0</x:v>
      </x:c>
      <x:c r="AD54" s="34" t="n">
        <x:f>EOMONTH(WorkforceData[[#This Row],[Training Date]],0)</x:f>
        <x:v>45230</x:v>
      </x:c>
      <x:c r="AE54" s="32" t="str">
        <x:f>IF(M54&lt;H54,"Existing Employee",IF(U54="","No Assignment",IF(V54=0,"0 Days",IF(V54&lt;=7,"1-7 Days",IF(V54&lt;=14,"8-14 Days",IF(V54&lt;=21,"15-21 Days","21+ Days"))))))</x:f>
        <x:v>1-7 Days</x:v>
      </x:c>
      <x:c r="AF5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4" s="33" t="n">
        <x:f>--(WorkforceData[[#This Row],[Total Days Worked]]&gt;=121)</x:f>
        <x:v>1</x:v>
      </x:c>
    </x:row>
    <x:row r="55">
      <x:c r="A55" s="236" t="str">
        <x:v>TRN-0054</x:v>
      </x:c>
      <x:c r="B55" s="243"/>
      <x:c r="C55" s="243"/>
      <x:c r="D55" s="243"/>
      <x:c r="E55" s="243"/>
      <x:c r="F55" s="14" t="str">
        <x:v>Recruiter B</x:v>
      </x:c>
      <x:c r="G55" s="14" t="str">
        <x:v>Training Center B</x:v>
      </x:c>
      <x:c r="H55" s="28">
        <x:v>45214</x:v>
      </x:c>
      <x:c r="I55" s="14">
        <x:v>2023</x:v>
      </x:c>
      <x:c r="J55" s="14" t="s">
        <x:v>100</x:v>
      </x:c>
      <x:c r="K55" s="14">
        <x:v>18</x:v>
      </x:c>
      <x:c r="L55" s="29" t="s">
        <x:v>119</x:v>
      </x:c>
      <x:c r="M55" s="28">
        <x:v>45213</x:v>
      </x:c>
      <x:c r="N55" s="28">
        <x:v>45390</x:v>
      </x:c>
      <x:c r="O55" s="14">
        <x:v>177</x:v>
      </x:c>
      <x:c r="P55" s="14" t="s">
        <x:v>113</x:v>
      </x:c>
      <x:c r="Q55" s="14" t="s">
        <x:v>103</x:v>
      </x:c>
      <x:c r="R55" s="14" t="s">
        <x:v>104</x:v>
      </x:c>
      <x:c r="S55" s="14" t="s">
        <x:v>105</x:v>
      </x:c>
      <x:c r="T55" s="14" t="str">
        <x:v>Region A</x:v>
      </x:c>
      <x:c r="U55" s="28">
        <x:v>45220</x:v>
      </x:c>
      <x:c r="V55" s="30">
        <x:v>6</x:v>
      </x:c>
      <x:c r="W55" s="14" t="s">
        <x:v>109</x:v>
      </x:c>
      <x:c r="X55" s="14" t="s">
        <x:v>106</x:v>
      </x:c>
      <x:c r="Y55" s="32" t="str">
        <x:v>TRN-0054|20231015</x:v>
      </x:c>
      <x:c r="Z55" s="32" t="str" cm="1">
        <x:f t="array" ref="Z5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Complete</x:v>
      </x:c>
      <x:c r="AA55" s="33" t="n">
        <x:f>--OR(WorkforceData[[#This Row],[Status]]="Active",WorkforceData[[#This Row],[Promoted]]="Yes",WorkforceData[[#This Row],[Total Days Worked]]&gt;=121)</x:f>
        <x:v>1</x:v>
      </x:c>
      <x:c r="AB55" s="33" t="n">
        <x:f>IF(AND(Q55="Terminated",R55="",O55=0),1,0)</x:f>
        <x:v>0</x:v>
      </x:c>
      <x:c r="AC55" s="33" t="n">
        <x:f>--OR(WorkforceData[[#This Row],[Status]]="Resigned",WorkforceData[[#This Row],[Status After Training]]="Withdrew")</x:f>
        <x:v>1</x:v>
      </x:c>
      <x:c r="AD55" s="34" t="n">
        <x:f>EOMONTH(WorkforceData[[#This Row],[Training Date]],0)</x:f>
        <x:v>45230</x:v>
      </x:c>
      <x:c r="AE55" s="32" t="str">
        <x:f>IF(M55&lt;H55,"Existing Employee",IF(U55="","No Assignment",IF(V55=0,"0 Days",IF(V55&lt;=7,"1-7 Days",IF(V55&lt;=14,"8-14 Days",IF(V55&lt;=21,"15-21 Days","21+ Days"))))))</x:f>
        <x:v>Existing Employee</x:v>
      </x:c>
      <x:c r="AF5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5" s="33" t="n">
        <x:f>--(WorkforceData[[#This Row],[Total Days Worked]]&gt;=121)</x:f>
        <x:v>1</x:v>
      </x:c>
    </x:row>
    <x:row r="56">
      <x:c r="A56" s="236" t="str">
        <x:v>TRN-0055</x:v>
      </x:c>
      <x:c r="B56" s="243"/>
      <x:c r="C56" s="243"/>
      <x:c r="D56" s="243"/>
      <x:c r="E56" s="243"/>
      <x:c r="F56" s="14" t="str">
        <x:v>Recruiter B</x:v>
      </x:c>
      <x:c r="G56" s="14" t="str">
        <x:v>Training Center B</x:v>
      </x:c>
      <x:c r="H56" s="28">
        <x:v>45214</x:v>
      </x:c>
      <x:c r="I56" s="14">
        <x:v>2023</x:v>
      </x:c>
      <x:c r="J56" s="14" t="s">
        <x:v>100</x:v>
      </x:c>
      <x:c r="K56" s="14">
        <x:v>18</x:v>
      </x:c>
      <x:c r="L56" s="29" t="s">
        <x:v>119</x:v>
      </x:c>
      <x:c r="M56" s="28">
        <x:v>45213</x:v>
      </x:c>
      <x:c r="N56" s="28">
        <x:v>45303</x:v>
      </x:c>
      <x:c r="O56" s="14">
        <x:v>90</x:v>
      </x:c>
      <x:c r="P56" s="14" t="s">
        <x:v>110</x:v>
      </x:c>
      <x:c r="Q56" s="14" t="s">
        <x:v>103</x:v>
      </x:c>
      <x:c r="R56" s="14" t="s">
        <x:v>104</x:v>
      </x:c>
      <x:c r="S56" s="14" t="s">
        <x:v>105</x:v>
      </x:c>
      <x:c r="T56" s="14" t="str">
        <x:v>Region D</x:v>
      </x:c>
      <x:c r="U56" s="28">
        <x:v>45250</x:v>
      </x:c>
      <x:c r="V56" s="30">
        <x:v>36</x:v>
      </x:c>
      <x:c r="W56" s="14" t="s">
        <x:v>63</x:v>
      </x:c>
      <x:c r="X56" s="14" t="s">
        <x:v>117</x:v>
      </x:c>
      <x:c r="Y56" s="32" t="str">
        <x:v>TRN-0055|20231015</x:v>
      </x:c>
      <x:c r="Z56" s="32" t="str" cm="1">
        <x:f t="array" ref="Z5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56" s="33" t="n">
        <x:f>--OR(WorkforceData[[#This Row],[Status]]="Active",WorkforceData[[#This Row],[Promoted]]="Yes",WorkforceData[[#This Row],[Total Days Worked]]&gt;=121)</x:f>
        <x:v>0</x:v>
      </x:c>
      <x:c r="AB56" s="33" t="n">
        <x:f>IF(AND(Q56="Terminated",R56="",O56=0),1,0)</x:f>
        <x:v>0</x:v>
      </x:c>
      <x:c r="AC56" s="33" t="n">
        <x:f>--OR(WorkforceData[[#This Row],[Status]]="Resigned",WorkforceData[[#This Row],[Status After Training]]="Withdrew")</x:f>
        <x:v>1</x:v>
      </x:c>
      <x:c r="AD56" s="34" t="n">
        <x:f>EOMONTH(WorkforceData[[#This Row],[Training Date]],0)</x:f>
        <x:v>45230</x:v>
      </x:c>
      <x:c r="AE56" s="32" t="str">
        <x:f>IF(M56&lt;H56,"Existing Employee",IF(U56="","No Assignment",IF(V56=0,"0 Days",IF(V56&lt;=7,"1-7 Days",IF(V56&lt;=14,"8-14 Days",IF(V56&lt;=21,"15-21 Days","21+ Days"))))))</x:f>
        <x:v>Existing Employee</x:v>
      </x:c>
      <x:c r="AF5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61-90 Days</x:v>
      </x:c>
      <x:c r="AG56" s="33" t="n">
        <x:f>--(WorkforceData[[#This Row],[Total Days Worked]]&gt;=121)</x:f>
        <x:v>0</x:v>
      </x:c>
    </x:row>
    <x:row r="57">
      <x:c r="A57" s="236" t="str">
        <x:v>TRN-0056</x:v>
      </x:c>
      <x:c r="B57" s="243"/>
      <x:c r="C57" s="243"/>
      <x:c r="D57" s="243"/>
      <x:c r="E57" s="243"/>
      <x:c r="F57" s="14" t="str">
        <x:v>Recruiter A</x:v>
      </x:c>
      <x:c r="G57" s="14" t="str">
        <x:v>Training Center B</x:v>
      </x:c>
      <x:c r="H57" s="28">
        <x:v>45214</x:v>
      </x:c>
      <x:c r="I57" s="14">
        <x:v>2023</x:v>
      </x:c>
      <x:c r="J57" s="14" t="s">
        <x:v>100</x:v>
      </x:c>
      <x:c r="K57" s="14">
        <x:v>18</x:v>
      </x:c>
      <x:c r="L57" s="29" t="s">
        <x:v>119</x:v>
      </x:c>
      <x:c r="M57" s="28">
        <x:v>45213</x:v>
      </x:c>
      <x:c r="N57" s="14"/>
      <x:c r="O57" s="14">
        <x:v>1038</x:v>
      </x:c>
      <x:c r="P57" s="14" t="s">
        <x:v>122</x:v>
      </x:c>
      <x:c r="Q57" s="14" t="s">
        <x:v>25</x:v>
      </x:c>
      <x:c r="R57" s="14"/>
      <x:c r="S57" s="14" t="s">
        <x:v>108</x:v>
      </x:c>
      <x:c r="T57" s="14" t="str">
        <x:v>Region B</x:v>
      </x:c>
      <x:c r="U57" s="28">
        <x:v>45218</x:v>
      </x:c>
      <x:c r="V57" s="30">
        <x:v>4</x:v>
      </x:c>
      <x:c r="W57" s="14" t="s">
        <x:v>109</x:v>
      </x:c>
      <x:c r="X57" s="14" t="s">
        <x:v>106</x:v>
      </x:c>
      <x:c r="Y57" s="32" t="str">
        <x:v>TRN-0056|20231015</x:v>
      </x:c>
      <x:c r="Z57" s="32" t="str" cm="1">
        <x:f t="array" ref="Z5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57" s="33" t="n">
        <x:f>--OR(WorkforceData[[#This Row],[Status]]="Active",WorkforceData[[#This Row],[Promoted]]="Yes",WorkforceData[[#This Row],[Total Days Worked]]&gt;=121)</x:f>
        <x:v>1</x:v>
      </x:c>
      <x:c r="AB57" s="33" t="n">
        <x:f>IF(AND(Q57="Terminated",R57="",O57=0),1,0)</x:f>
        <x:v>0</x:v>
      </x:c>
      <x:c r="AC57" s="33" t="n">
        <x:f>--OR(WorkforceData[[#This Row],[Status]]="Resigned",WorkforceData[[#This Row],[Status After Training]]="Withdrew")</x:f>
        <x:v>0</x:v>
      </x:c>
      <x:c r="AD57" s="34" t="n">
        <x:f>EOMONTH(WorkforceData[[#This Row],[Training Date]],0)</x:f>
        <x:v>45230</x:v>
      </x:c>
      <x:c r="AE57" s="32" t="str">
        <x:f>IF(M57&lt;H57,"Existing Employee",IF(U57="","No Assignment",IF(V57=0,"0 Days",IF(V57&lt;=7,"1-7 Days",IF(V57&lt;=14,"8-14 Days",IF(V57&lt;=21,"15-21 Days","21+ Days"))))))</x:f>
        <x:v>Existing Employee</x:v>
      </x:c>
      <x:c r="AF5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7" s="33" t="n">
        <x:f>--(WorkforceData[[#This Row],[Total Days Worked]]&gt;=121)</x:f>
        <x:v>1</x:v>
      </x:c>
    </x:row>
    <x:row r="58">
      <x:c r="A58" s="236" t="str">
        <x:v>TRN-0057</x:v>
      </x:c>
      <x:c r="B58" s="243"/>
      <x:c r="C58" s="243"/>
      <x:c r="D58" s="243"/>
      <x:c r="E58" s="243"/>
      <x:c r="F58" s="14" t="str">
        <x:v>Recruiter G</x:v>
      </x:c>
      <x:c r="G58" s="14" t="str">
        <x:v>Training Center B</x:v>
      </x:c>
      <x:c r="H58" s="28">
        <x:v>45214</x:v>
      </x:c>
      <x:c r="I58" s="14">
        <x:v>2023</x:v>
      </x:c>
      <x:c r="J58" s="14" t="s">
        <x:v>100</x:v>
      </x:c>
      <x:c r="K58" s="14">
        <x:v>18</x:v>
      </x:c>
      <x:c r="L58" s="29" t="s">
        <x:v>119</x:v>
      </x:c>
      <x:c r="M58" s="28">
        <x:v>45214</x:v>
      </x:c>
      <x:c r="N58" s="14"/>
      <x:c r="O58" s="14">
        <x:v>1037</x:v>
      </x:c>
      <x:c r="P58" s="14" t="s">
        <x:v>122</x:v>
      </x:c>
      <x:c r="Q58" s="14" t="s">
        <x:v>25</x:v>
      </x:c>
      <x:c r="R58" s="14"/>
      <x:c r="S58" s="14" t="s">
        <x:v>108</x:v>
      </x:c>
      <x:c r="T58" s="14" t="str">
        <x:v>Region B</x:v>
      </x:c>
      <x:c r="U58" s="28">
        <x:v>45233</x:v>
      </x:c>
      <x:c r="V58" s="30">
        <x:v>19</x:v>
      </x:c>
      <x:c r="W58" s="14" t="s">
        <x:v>112</x:v>
      </x:c>
      <x:c r="X58" s="14" t="s">
        <x:v>106</x:v>
      </x:c>
      <x:c r="Y58" s="32" t="str">
        <x:v>TRN-0057|20231015</x:v>
      </x:c>
      <x:c r="Z58" s="32" t="str" cm="1">
        <x:f t="array" ref="Z5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58" s="33" t="n">
        <x:f>--OR(WorkforceData[[#This Row],[Status]]="Active",WorkforceData[[#This Row],[Promoted]]="Yes",WorkforceData[[#This Row],[Total Days Worked]]&gt;=121)</x:f>
        <x:v>1</x:v>
      </x:c>
      <x:c r="AB58" s="33" t="n">
        <x:f>IF(AND(Q58="Terminated",R58="",O58=0),1,0)</x:f>
        <x:v>0</x:v>
      </x:c>
      <x:c r="AC58" s="33" t="n">
        <x:f>--OR(WorkforceData[[#This Row],[Status]]="Resigned",WorkforceData[[#This Row],[Status After Training]]="Withdrew")</x:f>
        <x:v>0</x:v>
      </x:c>
      <x:c r="AD58" s="34" t="n">
        <x:f>EOMONTH(WorkforceData[[#This Row],[Training Date]],0)</x:f>
        <x:v>45230</x:v>
      </x:c>
      <x:c r="AE58" s="32" t="str">
        <x:f>IF(M58&lt;H58,"Existing Employee",IF(U58="","No Assignment",IF(V58=0,"0 Days",IF(V58&lt;=7,"1-7 Days",IF(V58&lt;=14,"8-14 Days",IF(V58&lt;=21,"15-21 Days","21+ Days"))))))</x:f>
        <x:v>15-21 Days</x:v>
      </x:c>
      <x:c r="AF5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8" s="33" t="n">
        <x:f>--(WorkforceData[[#This Row],[Total Days Worked]]&gt;=121)</x:f>
        <x:v>1</x:v>
      </x:c>
    </x:row>
    <x:row r="59">
      <x:c r="A59" s="236" t="str">
        <x:v>TRN-0058</x:v>
      </x:c>
      <x:c r="B59" s="243"/>
      <x:c r="C59" s="243"/>
      <x:c r="D59" s="243"/>
      <x:c r="E59" s="243"/>
      <x:c r="F59" s="14" t="str">
        <x:v>Recruiter H</x:v>
      </x:c>
      <x:c r="G59" s="14" t="str">
        <x:v>Training Center B</x:v>
      </x:c>
      <x:c r="H59" s="28">
        <x:v>45214</x:v>
      </x:c>
      <x:c r="I59" s="14">
        <x:v>2023</x:v>
      </x:c>
      <x:c r="J59" s="14" t="s">
        <x:v>100</x:v>
      </x:c>
      <x:c r="K59" s="14">
        <x:v>18</x:v>
      </x:c>
      <x:c r="L59" s="29" t="s">
        <x:v>119</x:v>
      </x:c>
      <x:c r="M59" s="28">
        <x:v>45214</x:v>
      </x:c>
      <x:c r="N59" s="14"/>
      <x:c r="O59" s="14">
        <x:v>1037</x:v>
      </x:c>
      <x:c r="P59" s="14" t="s">
        <x:v>122</x:v>
      </x:c>
      <x:c r="Q59" s="14" t="s">
        <x:v>25</x:v>
      </x:c>
      <x:c r="R59" s="14"/>
      <x:c r="S59" s="14" t="s">
        <x:v>108</x:v>
      </x:c>
      <x:c r="T59" s="14" t="str">
        <x:v>Region C</x:v>
      </x:c>
      <x:c r="U59" s="28">
        <x:v>45218</x:v>
      </x:c>
      <x:c r="V59" s="30">
        <x:v>4</x:v>
      </x:c>
      <x:c r="W59" s="14" t="s">
        <x:v>109</x:v>
      </x:c>
      <x:c r="X59" s="14" t="s">
        <x:v>106</x:v>
      </x:c>
      <x:c r="Y59" s="32" t="str">
        <x:v>TRN-0058|20231015</x:v>
      </x:c>
      <x:c r="Z59" s="32" t="str" cm="1">
        <x:f t="array" ref="Z5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59" s="33" t="n">
        <x:f>--OR(WorkforceData[[#This Row],[Status]]="Active",WorkforceData[[#This Row],[Promoted]]="Yes",WorkforceData[[#This Row],[Total Days Worked]]&gt;=121)</x:f>
        <x:v>1</x:v>
      </x:c>
      <x:c r="AB59" s="33" t="n">
        <x:f>IF(AND(Q59="Terminated",R59="",O59=0),1,0)</x:f>
        <x:v>0</x:v>
      </x:c>
      <x:c r="AC59" s="33" t="n">
        <x:f>--OR(WorkforceData[[#This Row],[Status]]="Resigned",WorkforceData[[#This Row],[Status After Training]]="Withdrew")</x:f>
        <x:v>0</x:v>
      </x:c>
      <x:c r="AD59" s="34" t="n">
        <x:f>EOMONTH(WorkforceData[[#This Row],[Training Date]],0)</x:f>
        <x:v>45230</x:v>
      </x:c>
      <x:c r="AE59" s="32" t="str">
        <x:f>IF(M59&lt;H59,"Existing Employee",IF(U59="","No Assignment",IF(V59=0,"0 Days",IF(V59&lt;=7,"1-7 Days",IF(V59&lt;=14,"8-14 Days",IF(V59&lt;=21,"15-21 Days","21+ Days"))))))</x:f>
        <x:v>1-7 Days</x:v>
      </x:c>
      <x:c r="AF5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9" s="33" t="n">
        <x:f>--(WorkforceData[[#This Row],[Total Days Worked]]&gt;=121)</x:f>
        <x:v>1</x:v>
      </x:c>
    </x:row>
    <x:row r="60">
      <x:c r="A60" s="236" t="str">
        <x:v>TRN-0059</x:v>
      </x:c>
      <x:c r="B60" s="243"/>
      <x:c r="C60" s="243"/>
      <x:c r="D60" s="243"/>
      <x:c r="E60" s="243"/>
      <x:c r="F60" s="14" t="str">
        <x:v>Recruiter F</x:v>
      </x:c>
      <x:c r="G60" s="14" t="str">
        <x:v>Training Center B</x:v>
      </x:c>
      <x:c r="H60" s="28">
        <x:v>45214</x:v>
      </x:c>
      <x:c r="I60" s="14">
        <x:v>2023</x:v>
      </x:c>
      <x:c r="J60" s="14" t="s">
        <x:v>100</x:v>
      </x:c>
      <x:c r="K60" s="14">
        <x:v>18</x:v>
      </x:c>
      <x:c r="L60" s="29" t="s">
        <x:v>119</x:v>
      </x:c>
      <x:c r="M60" s="28">
        <x:v>45212</x:v>
      </x:c>
      <x:c r="N60" s="14"/>
      <x:c r="O60" s="14">
        <x:v>1039</x:v>
      </x:c>
      <x:c r="P60" s="14" t="s">
        <x:v>122</x:v>
      </x:c>
      <x:c r="Q60" s="14" t="s">
        <x:v>25</x:v>
      </x:c>
      <x:c r="R60" s="14"/>
      <x:c r="S60" s="14" t="s">
        <x:v>105</x:v>
      </x:c>
      <x:c r="T60" s="14"/>
      <x:c r="U60" s="28"/>
      <x:c r="V60" s="30"/>
      <x:c r="W60" s="14"/>
      <x:c r="X60" s="14" t="s">
        <x:v>71</x:v>
      </x:c>
      <x:c r="Y60" s="32" t="str">
        <x:v>TRN-0059|20231015</x:v>
      </x:c>
      <x:c r="Z60" s="32" t="str" cm="1">
        <x:f t="array" ref="Z6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60" s="33" t="n">
        <x:f>--OR(WorkforceData[[#This Row],[Status]]="Active",WorkforceData[[#This Row],[Promoted]]="Yes",WorkforceData[[#This Row],[Total Days Worked]]&gt;=121)</x:f>
        <x:v>1</x:v>
      </x:c>
      <x:c r="AB60" s="33" t="n">
        <x:f>IF(AND(Q60="Terminated",R60="",O60=0),1,0)</x:f>
        <x:v>0</x:v>
      </x:c>
      <x:c r="AC60" s="33" t="n">
        <x:f>--OR(WorkforceData[[#This Row],[Status]]="Resigned",WorkforceData[[#This Row],[Status After Training]]="Withdrew")</x:f>
        <x:v>0</x:v>
      </x:c>
      <x:c r="AD60" s="34" t="n">
        <x:f>EOMONTH(WorkforceData[[#This Row],[Training Date]],0)</x:f>
        <x:v>45230</x:v>
      </x:c>
      <x:c r="AE60" s="32" t="str">
        <x:f>IF(M60&lt;H60,"Existing Employee",IF(U60="","No Assignment",IF(V60=0,"0 Days",IF(V60&lt;=7,"1-7 Days",IF(V60&lt;=14,"8-14 Days",IF(V60&lt;=21,"15-21 Days","21+ Days"))))))</x:f>
        <x:v>Existing Employee</x:v>
      </x:c>
      <x:c r="AF6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0" s="33" t="n">
        <x:f>--(WorkforceData[[#This Row],[Total Days Worked]]&gt;=121)</x:f>
        <x:v>1</x:v>
      </x:c>
    </x:row>
    <x:row r="61">
      <x:c r="A61" s="236" t="str">
        <x:v>TRN-0060</x:v>
      </x:c>
      <x:c r="B61" s="243"/>
      <x:c r="C61" s="243"/>
      <x:c r="D61" s="243"/>
      <x:c r="E61" s="243"/>
      <x:c r="F61" s="14" t="str">
        <x:v>Recruiter E</x:v>
      </x:c>
      <x:c r="G61" s="14" t="str">
        <x:v>Training Center A</x:v>
      </x:c>
      <x:c r="H61" s="28">
        <x:v>46119</x:v>
      </x:c>
      <x:c r="I61" s="14">
        <x:v>2026</x:v>
      </x:c>
      <x:c r="J61" s="14" t="s">
        <x:v>126</x:v>
      </x:c>
      <x:c r="K61" s="14">
        <x:v>18</x:v>
      </x:c>
      <x:c r="L61" s="29" t="s">
        <x:v>119</x:v>
      </x:c>
      <x:c r="M61" s="28">
        <x:v>46119</x:v>
      </x:c>
      <x:c r="N61" s="14"/>
      <x:c r="O61" s="14">
        <x:v>132</x:v>
      </x:c>
      <x:c r="P61" s="14" t="s">
        <x:v>113</x:v>
      </x:c>
      <x:c r="Q61" s="14" t="s">
        <x:v>25</x:v>
      </x:c>
      <x:c r="R61" s="14"/>
      <x:c r="S61" s="14" t="s">
        <x:v>105</x:v>
      </x:c>
      <x:c r="T61" s="14" t="str">
        <x:v>Region A</x:v>
      </x:c>
      <x:c r="U61" s="28">
        <x:v>46179</x:v>
      </x:c>
      <x:c r="V61" s="30">
        <x:v>60</x:v>
      </x:c>
      <x:c r="W61" s="14" t="s">
        <x:v>63</x:v>
      </x:c>
      <x:c r="X61" s="14" t="s">
        <x:v>117</x:v>
      </x:c>
      <x:c r="Y61" s="32" t="str">
        <x:v>TRN-0060|20260407</x:v>
      </x:c>
      <x:c r="Z61" s="32" t="str" cm="1">
        <x:f t="array" ref="Z6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61" s="33" t="n">
        <x:f>--OR(WorkforceData[[#This Row],[Status]]="Active",WorkforceData[[#This Row],[Promoted]]="Yes",WorkforceData[[#This Row],[Total Days Worked]]&gt;=121)</x:f>
        <x:v>1</x:v>
      </x:c>
      <x:c r="AB61" s="33" t="n">
        <x:f>IF(AND(Q61="Terminated",R61="",O61=0),1,0)</x:f>
        <x:v>0</x:v>
      </x:c>
      <x:c r="AC61" s="33" t="n">
        <x:f>--OR(WorkforceData[[#This Row],[Status]]="Resigned",WorkforceData[[#This Row],[Status After Training]]="Withdrew")</x:f>
        <x:v>0</x:v>
      </x:c>
      <x:c r="AD61" s="34" t="n">
        <x:f>EOMONTH(WorkforceData[[#This Row],[Training Date]],0)</x:f>
        <x:v>46142</x:v>
      </x:c>
      <x:c r="AE61" s="32" t="str">
        <x:f>IF(M61&lt;H61,"Existing Employee",IF(U61="","No Assignment",IF(V61=0,"0 Days",IF(V61&lt;=7,"1-7 Days",IF(V61&lt;=14,"8-14 Days",IF(V61&lt;=21,"15-21 Days","21+ Days"))))))</x:f>
        <x:v>21+ Days</x:v>
      </x:c>
      <x:c r="AF6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1" s="33" t="n">
        <x:f>--(WorkforceData[[#This Row],[Total Days Worked]]&gt;=121)</x:f>
        <x:v>1</x:v>
      </x:c>
    </x:row>
    <x:row r="62">
      <x:c r="A62" s="236" t="str">
        <x:v>TRN-0061</x:v>
      </x:c>
      <x:c r="B62" s="243"/>
      <x:c r="C62" s="243"/>
      <x:c r="D62" s="243"/>
      <x:c r="E62" s="243"/>
      <x:c r="F62" s="14" t="str">
        <x:v>Recruiter B</x:v>
      </x:c>
      <x:c r="G62" s="14" t="str">
        <x:v>Training Center A</x:v>
      </x:c>
      <x:c r="H62" s="28">
        <x:v>46119</x:v>
      </x:c>
      <x:c r="I62" s="14">
        <x:v>2026</x:v>
      </x:c>
      <x:c r="J62" s="14" t="s">
        <x:v>126</x:v>
      </x:c>
      <x:c r="K62" s="14">
        <x:v>18</x:v>
      </x:c>
      <x:c r="L62" s="29" t="s">
        <x:v>119</x:v>
      </x:c>
      <x:c r="M62" s="28">
        <x:v>46112</x:v>
      </x:c>
      <x:c r="N62" s="28">
        <x:v>46203</x:v>
      </x:c>
      <x:c r="O62" s="14">
        <x:v>91</x:v>
      </x:c>
      <x:c r="P62" s="14" t="s">
        <x:v>113</x:v>
      </x:c>
      <x:c r="Q62" s="14" t="s">
        <x:v>103</x:v>
      </x:c>
      <x:c r="R62" s="14" t="s">
        <x:v>111</x:v>
      </x:c>
      <x:c r="S62" s="14" t="s">
        <x:v>105</x:v>
      </x:c>
      <x:c r="T62" s="14" t="str">
        <x:v>Region C</x:v>
      </x:c>
      <x:c r="U62" s="28">
        <x:v>46124</x:v>
      </x:c>
      <x:c r="V62" s="30">
        <x:v>5</x:v>
      </x:c>
      <x:c r="W62" s="14" t="s">
        <x:v>109</x:v>
      </x:c>
      <x:c r="X62" s="14" t="s">
        <x:v>106</x:v>
      </x:c>
      <x:c r="Y62" s="32" t="str">
        <x:v>TRN-0061|20260407</x:v>
      </x:c>
      <x:c r="Z62" s="32" t="str" cm="1">
        <x:f t="array" ref="Z6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62" s="33" t="n">
        <x:f>--OR(WorkforceData[[#This Row],[Status]]="Active",WorkforceData[[#This Row],[Promoted]]="Yes",WorkforceData[[#This Row],[Total Days Worked]]&gt;=121)</x:f>
        <x:v>0</x:v>
      </x:c>
      <x:c r="AB62" s="33" t="n">
        <x:f>IF(AND(Q62="Terminated",R62="",O62=0),1,0)</x:f>
        <x:v>0</x:v>
      </x:c>
      <x:c r="AC62" s="33" t="n">
        <x:f>--OR(WorkforceData[[#This Row],[Status]]="Resigned",WorkforceData[[#This Row],[Status After Training]]="Withdrew")</x:f>
        <x:v>1</x:v>
      </x:c>
      <x:c r="AD62" s="34" t="n">
        <x:f>EOMONTH(WorkforceData[[#This Row],[Training Date]],0)</x:f>
        <x:v>46142</x:v>
      </x:c>
      <x:c r="AE62" s="32" t="str">
        <x:f>IF(M62&lt;H62,"Existing Employee",IF(U62="","No Assignment",IF(V62=0,"0 Days",IF(V62&lt;=7,"1-7 Days",IF(V62&lt;=14,"8-14 Days",IF(V62&lt;=21,"15-21 Days","21+ Days"))))))</x:f>
        <x:v>Existing Employee</x:v>
      </x:c>
      <x:c r="AF6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91-120 Days</x:v>
      </x:c>
      <x:c r="AG62" s="33" t="n">
        <x:f>--(WorkforceData[[#This Row],[Total Days Worked]]&gt;=121)</x:f>
        <x:v>0</x:v>
      </x:c>
    </x:row>
    <x:row r="63">
      <x:c r="A63" s="236" t="str">
        <x:v>TRN-0062</x:v>
      </x:c>
      <x:c r="B63" s="243"/>
      <x:c r="C63" s="243"/>
      <x:c r="D63" s="243"/>
      <x:c r="E63" s="243"/>
      <x:c r="F63" s="14" t="str">
        <x:v>Recruiter H</x:v>
      </x:c>
      <x:c r="G63" s="14" t="str">
        <x:v>Training Center A</x:v>
      </x:c>
      <x:c r="H63" s="28">
        <x:v>46119</x:v>
      </x:c>
      <x:c r="I63" s="14">
        <x:v>2026</x:v>
      </x:c>
      <x:c r="J63" s="14" t="s">
        <x:v>126</x:v>
      </x:c>
      <x:c r="K63" s="14">
        <x:v>18</x:v>
      </x:c>
      <x:c r="L63" s="29" t="s">
        <x:v>119</x:v>
      </x:c>
      <x:c r="M63" s="28">
        <x:v>46119</x:v>
      </x:c>
      <x:c r="N63" s="14"/>
      <x:c r="O63" s="14">
        <x:v>132</x:v>
      </x:c>
      <x:c r="P63" s="14" t="s">
        <x:v>113</x:v>
      </x:c>
      <x:c r="Q63" s="14" t="s">
        <x:v>25</x:v>
      </x:c>
      <x:c r="R63" s="14"/>
      <x:c r="S63" s="14" t="s">
        <x:v>105</x:v>
      </x:c>
      <x:c r="T63" s="14" t="str">
        <x:v>Region C</x:v>
      </x:c>
      <x:c r="U63" s="28">
        <x:v>46177</x:v>
      </x:c>
      <x:c r="V63" s="30">
        <x:v>58</x:v>
      </x:c>
      <x:c r="W63" s="14" t="s">
        <x:v>63</x:v>
      </x:c>
      <x:c r="X63" s="14" t="s">
        <x:v>117</x:v>
      </x:c>
      <x:c r="Y63" s="32" t="str">
        <x:v>TRN-0062|20260407</x:v>
      </x:c>
      <x:c r="Z63" s="32" t="str" cm="1">
        <x:f t="array" ref="Z6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63" s="33" t="n">
        <x:f>--OR(WorkforceData[[#This Row],[Status]]="Active",WorkforceData[[#This Row],[Promoted]]="Yes",WorkforceData[[#This Row],[Total Days Worked]]&gt;=121)</x:f>
        <x:v>1</x:v>
      </x:c>
      <x:c r="AB63" s="33" t="n">
        <x:f>IF(AND(Q63="Terminated",R63="",O63=0),1,0)</x:f>
        <x:v>0</x:v>
      </x:c>
      <x:c r="AC63" s="33" t="n">
        <x:f>--OR(WorkforceData[[#This Row],[Status]]="Resigned",WorkforceData[[#This Row],[Status After Training]]="Withdrew")</x:f>
        <x:v>0</x:v>
      </x:c>
      <x:c r="AD63" s="34" t="n">
        <x:f>EOMONTH(WorkforceData[[#This Row],[Training Date]],0)</x:f>
        <x:v>46142</x:v>
      </x:c>
      <x:c r="AE63" s="32" t="str">
        <x:f>IF(M63&lt;H63,"Existing Employee",IF(U63="","No Assignment",IF(V63=0,"0 Days",IF(V63&lt;=7,"1-7 Days",IF(V63&lt;=14,"8-14 Days",IF(V63&lt;=21,"15-21 Days","21+ Days"))))))</x:f>
        <x:v>21+ Days</x:v>
      </x:c>
      <x:c r="AF6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3" s="33" t="n">
        <x:f>--(WorkforceData[[#This Row],[Total Days Worked]]&gt;=121)</x:f>
        <x:v>1</x:v>
      </x:c>
    </x:row>
    <x:row r="64">
      <x:c r="A64" s="236" t="str">
        <x:v>TRN-0063</x:v>
      </x:c>
      <x:c r="B64" s="243"/>
      <x:c r="C64" s="243"/>
      <x:c r="D64" s="243"/>
      <x:c r="E64" s="243"/>
      <x:c r="F64" s="14" t="str">
        <x:v>Recruiter G</x:v>
      </x:c>
      <x:c r="G64" s="14" t="str">
        <x:v>Training Center A</x:v>
      </x:c>
      <x:c r="H64" s="28">
        <x:v>46119</x:v>
      </x:c>
      <x:c r="I64" s="14">
        <x:v>2026</x:v>
      </x:c>
      <x:c r="J64" s="14" t="s">
        <x:v>126</x:v>
      </x:c>
      <x:c r="K64" s="14">
        <x:v>18</x:v>
      </x:c>
      <x:c r="L64" s="29" t="s">
        <x:v>119</x:v>
      </x:c>
      <x:c r="M64" s="28">
        <x:v>46119</x:v>
      </x:c>
      <x:c r="N64" s="14"/>
      <x:c r="O64" s="14">
        <x:v>132</x:v>
      </x:c>
      <x:c r="P64" s="14" t="s">
        <x:v>113</x:v>
      </x:c>
      <x:c r="Q64" s="14" t="s">
        <x:v>25</x:v>
      </x:c>
      <x:c r="R64" s="14"/>
      <x:c r="S64" s="14" t="s">
        <x:v>105</x:v>
      </x:c>
      <x:c r="T64" s="14" t="str">
        <x:v>Region B</x:v>
      </x:c>
      <x:c r="U64" s="28">
        <x:v>46149</x:v>
      </x:c>
      <x:c r="V64" s="30">
        <x:v>30</x:v>
      </x:c>
      <x:c r="W64" s="14" t="s">
        <x:v>112</x:v>
      </x:c>
      <x:c r="X64" s="14" t="s">
        <x:v>106</x:v>
      </x:c>
      <x:c r="Y64" s="32" t="str">
        <x:v>TRN-0063|20260407</x:v>
      </x:c>
      <x:c r="Z64" s="32" t="str" cm="1">
        <x:f t="array" ref="Z6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64" s="33" t="n">
        <x:f>--OR(WorkforceData[[#This Row],[Status]]="Active",WorkforceData[[#This Row],[Promoted]]="Yes",WorkforceData[[#This Row],[Total Days Worked]]&gt;=121)</x:f>
        <x:v>1</x:v>
      </x:c>
      <x:c r="AB64" s="33" t="n">
        <x:f>IF(AND(Q64="Terminated",R64="",O64=0),1,0)</x:f>
        <x:v>0</x:v>
      </x:c>
      <x:c r="AC64" s="33" t="n">
        <x:f>--OR(WorkforceData[[#This Row],[Status]]="Resigned",WorkforceData[[#This Row],[Status After Training]]="Withdrew")</x:f>
        <x:v>0</x:v>
      </x:c>
      <x:c r="AD64" s="34" t="n">
        <x:f>EOMONTH(WorkforceData[[#This Row],[Training Date]],0)</x:f>
        <x:v>46142</x:v>
      </x:c>
      <x:c r="AE64" s="32" t="str">
        <x:f>IF(M64&lt;H64,"Existing Employee",IF(U64="","No Assignment",IF(V64=0,"0 Days",IF(V64&lt;=7,"1-7 Days",IF(V64&lt;=14,"8-14 Days",IF(V64&lt;=21,"15-21 Days","21+ Days"))))))</x:f>
        <x:v>21+ Days</x:v>
      </x:c>
      <x:c r="AF6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4" s="33" t="n">
        <x:f>--(WorkforceData[[#This Row],[Total Days Worked]]&gt;=121)</x:f>
        <x:v>1</x:v>
      </x:c>
    </x:row>
    <x:row r="65">
      <x:c r="A65" s="236" t="str">
        <x:v>TRN-0064</x:v>
      </x:c>
      <x:c r="B65" s="243"/>
      <x:c r="C65" s="243"/>
      <x:c r="D65" s="243"/>
      <x:c r="E65" s="243"/>
      <x:c r="F65" s="14" t="str">
        <x:v>Recruiter H</x:v>
      </x:c>
      <x:c r="G65" s="14" t="str">
        <x:v>Training Center A</x:v>
      </x:c>
      <x:c r="H65" s="28">
        <x:v>46119</x:v>
      </x:c>
      <x:c r="I65" s="14">
        <x:v>2026</x:v>
      </x:c>
      <x:c r="J65" s="14" t="s">
        <x:v>126</x:v>
      </x:c>
      <x:c r="K65" s="14">
        <x:v>18</x:v>
      </x:c>
      <x:c r="L65" s="29" t="s">
        <x:v>119</x:v>
      </x:c>
      <x:c r="M65" s="28">
        <x:v>46112</x:v>
      </x:c>
      <x:c r="N65" s="28">
        <x:v>46191</x:v>
      </x:c>
      <x:c r="O65" s="14">
        <x:v>79</x:v>
      </x:c>
      <x:c r="P65" s="14" t="s">
        <x:v>110</x:v>
      </x:c>
      <x:c r="Q65" s="14" t="s">
        <x:v>103</x:v>
      </x:c>
      <x:c r="R65" s="14" t="s">
        <x:v>104</x:v>
      </x:c>
      <x:c r="S65" s="14" t="s">
        <x:v>105</x:v>
      </x:c>
      <x:c r="T65" s="14" t="str">
        <x:v>Region D</x:v>
      </x:c>
      <x:c r="U65" s="28">
        <x:v>46139</x:v>
      </x:c>
      <x:c r="V65" s="30">
        <x:v>20</x:v>
      </x:c>
      <x:c r="W65" s="14" t="s">
        <x:v>112</x:v>
      </x:c>
      <x:c r="X65" s="14" t="s">
        <x:v>125</x:v>
      </x:c>
      <x:c r="Y65" s="32" t="str">
        <x:v>TRN-0064|20260407</x:v>
      </x:c>
      <x:c r="Z65" s="32" t="str" cm="1">
        <x:f t="array" ref="Z6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65" s="33" t="n">
        <x:f>--OR(WorkforceData[[#This Row],[Status]]="Active",WorkforceData[[#This Row],[Promoted]]="Yes",WorkforceData[[#This Row],[Total Days Worked]]&gt;=121)</x:f>
        <x:v>0</x:v>
      </x:c>
      <x:c r="AB65" s="33" t="n">
        <x:f>IF(AND(Q65="Terminated",R65="",O65=0),1,0)</x:f>
        <x:v>0</x:v>
      </x:c>
      <x:c r="AC65" s="33" t="n">
        <x:f>--OR(WorkforceData[[#This Row],[Status]]="Resigned",WorkforceData[[#This Row],[Status After Training]]="Withdrew")</x:f>
        <x:v>1</x:v>
      </x:c>
      <x:c r="AD65" s="34" t="n">
        <x:f>EOMONTH(WorkforceData[[#This Row],[Training Date]],0)</x:f>
        <x:v>46142</x:v>
      </x:c>
      <x:c r="AE65" s="32" t="str">
        <x:f>IF(M65&lt;H65,"Existing Employee",IF(U65="","No Assignment",IF(V65=0,"0 Days",IF(V65&lt;=7,"1-7 Days",IF(V65&lt;=14,"8-14 Days",IF(V65&lt;=21,"15-21 Days","21+ Days"))))))</x:f>
        <x:v>Existing Employee</x:v>
      </x:c>
      <x:c r="AF6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61-90 Days</x:v>
      </x:c>
      <x:c r="AG65" s="33" t="n">
        <x:f>--(WorkforceData[[#This Row],[Total Days Worked]]&gt;=121)</x:f>
        <x:v>0</x:v>
      </x:c>
    </x:row>
    <x:row r="66">
      <x:c r="A66" s="236" t="str">
        <x:v>TRN-0065</x:v>
      </x:c>
      <x:c r="B66" s="243"/>
      <x:c r="C66" s="243"/>
      <x:c r="D66" s="243"/>
      <x:c r="E66" s="243"/>
      <x:c r="F66" s="14" t="str">
        <x:v>Recruiter C</x:v>
      </x:c>
      <x:c r="G66" s="14" t="str">
        <x:v>Training Center A</x:v>
      </x:c>
      <x:c r="H66" s="28">
        <x:v>46119</x:v>
      </x:c>
      <x:c r="I66" s="14">
        <x:v>2026</x:v>
      </x:c>
      <x:c r="J66" s="14" t="s">
        <x:v>126</x:v>
      </x:c>
      <x:c r="K66" s="14">
        <x:v>18</x:v>
      </x:c>
      <x:c r="L66" s="29" t="s">
        <x:v>119</x:v>
      </x:c>
      <x:c r="M66" s="28">
        <x:v>46112</x:v>
      </x:c>
      <x:c r="N66" s="28">
        <x:v>46251</x:v>
      </x:c>
      <x:c r="O66" s="14">
        <x:v>139</x:v>
      </x:c>
      <x:c r="P66" s="14" t="s">
        <x:v>113</x:v>
      </x:c>
      <x:c r="Q66" s="14" t="s">
        <x:v>33</x:v>
      </x:c>
      <x:c r="R66" s="14" t="s">
        <x:v>121</x:v>
      </x:c>
      <x:c r="S66" s="14" t="s">
        <x:v>105</x:v>
      </x:c>
      <x:c r="T66" s="14" t="str">
        <x:v>Region B</x:v>
      </x:c>
      <x:c r="U66" s="28">
        <x:v>46163</x:v>
      </x:c>
      <x:c r="V66" s="30">
        <x:v>44</x:v>
      </x:c>
      <x:c r="W66" s="14" t="s">
        <x:v>63</x:v>
      </x:c>
      <x:c r="X66" s="14" t="s">
        <x:v>117</x:v>
      </x:c>
      <x:c r="Y66" s="32" t="str">
        <x:v>TRN-0065|20260407</x:v>
      </x:c>
      <x:c r="Z66" s="32" t="str" cm="1">
        <x:f t="array" ref="Z6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Complete</x:v>
      </x:c>
      <x:c r="AA66" s="33" t="n">
        <x:f>--OR(WorkforceData[[#This Row],[Status]]="Active",WorkforceData[[#This Row],[Promoted]]="Yes",WorkforceData[[#This Row],[Total Days Worked]]&gt;=121)</x:f>
        <x:v>1</x:v>
      </x:c>
      <x:c r="AB66" s="33" t="n">
        <x:f>IF(AND(Q66="Terminated",R66="",O66=0),1,0)</x:f>
        <x:v>0</x:v>
      </x:c>
      <x:c r="AC66" s="33" t="n">
        <x:f>--OR(WorkforceData[[#This Row],[Status]]="Resigned",WorkforceData[[#This Row],[Status After Training]]="Withdrew")</x:f>
        <x:v>0</x:v>
      </x:c>
      <x:c r="AD66" s="34" t="n">
        <x:f>EOMONTH(WorkforceData[[#This Row],[Training Date]],0)</x:f>
        <x:v>46142</x:v>
      </x:c>
      <x:c r="AE66" s="32" t="str">
        <x:f>IF(M66&lt;H66,"Existing Employee",IF(U66="","No Assignment",IF(V66=0,"0 Days",IF(V66&lt;=7,"1-7 Days",IF(V66&lt;=14,"8-14 Days",IF(V66&lt;=21,"15-21 Days","21+ Days"))))))</x:f>
        <x:v>Existing Employee</x:v>
      </x:c>
      <x:c r="AF6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6" s="33" t="n">
        <x:f>--(WorkforceData[[#This Row],[Total Days Worked]]&gt;=121)</x:f>
        <x:v>1</x:v>
      </x:c>
    </x:row>
    <x:row r="67">
      <x:c r="A67" s="236" t="str">
        <x:v>TRN-0066</x:v>
      </x:c>
      <x:c r="B67" s="243"/>
      <x:c r="C67" s="243"/>
      <x:c r="D67" s="243"/>
      <x:c r="E67" s="243"/>
      <x:c r="F67" s="14" t="str">
        <x:v>Recruiter B</x:v>
      </x:c>
      <x:c r="G67" s="14" t="str">
        <x:v>Training Center A</x:v>
      </x:c>
      <x:c r="H67" s="28">
        <x:v>46119</x:v>
      </x:c>
      <x:c r="I67" s="14">
        <x:v>2026</x:v>
      </x:c>
      <x:c r="J67" s="14" t="s">
        <x:v>126</x:v>
      </x:c>
      <x:c r="K67" s="14">
        <x:v>18</x:v>
      </x:c>
      <x:c r="L67" s="29" t="s">
        <x:v>119</x:v>
      </x:c>
      <x:c r="M67" s="28">
        <x:v>46117</x:v>
      </x:c>
      <x:c r="N67" s="14"/>
      <x:c r="O67" s="14">
        <x:v>134</x:v>
      </x:c>
      <x:c r="P67" s="14" t="s">
        <x:v>113</x:v>
      </x:c>
      <x:c r="Q67" s="14" t="s">
        <x:v>38</x:v>
      </x:c>
      <x:c r="R67" s="14"/>
      <x:c r="S67" s="14" t="s">
        <x:v>105</x:v>
      </x:c>
      <x:c r="T67" s="14" t="str">
        <x:v>Region A</x:v>
      </x:c>
      <x:c r="U67" s="28">
        <x:v>46180</x:v>
      </x:c>
      <x:c r="V67" s="30">
        <x:v>61</x:v>
      </x:c>
      <x:c r="W67" s="14" t="s">
        <x:v>114</x:v>
      </x:c>
      <x:c r="X67" s="14" t="s">
        <x:v>117</x:v>
      </x:c>
      <x:c r="Y67" s="32" t="str">
        <x:v>TRN-0066|20260407</x:v>
      </x:c>
      <x:c r="Z67" s="32" t="str" cm="1">
        <x:f t="array" ref="Z6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67" s="33" t="n">
        <x:f>--OR(WorkforceData[[#This Row],[Status]]="Active",WorkforceData[[#This Row],[Promoted]]="Yes",WorkforceData[[#This Row],[Total Days Worked]]&gt;=121)</x:f>
        <x:v>1</x:v>
      </x:c>
      <x:c r="AB67" s="33" t="n">
        <x:f>IF(AND(Q67="Terminated",R67="",O67=0),1,0)</x:f>
        <x:v>0</x:v>
      </x:c>
      <x:c r="AC67" s="33" t="n">
        <x:f>--OR(WorkforceData[[#This Row],[Status]]="Resigned",WorkforceData[[#This Row],[Status After Training]]="Withdrew")</x:f>
        <x:v>0</x:v>
      </x:c>
      <x:c r="AD67" s="34" t="n">
        <x:f>EOMONTH(WorkforceData[[#This Row],[Training Date]],0)</x:f>
        <x:v>46142</x:v>
      </x:c>
      <x:c r="AE67" s="32" t="str">
        <x:f>IF(M67&lt;H67,"Existing Employee",IF(U67="","No Assignment",IF(V67=0,"0 Days",IF(V67&lt;=7,"1-7 Days",IF(V67&lt;=14,"8-14 Days",IF(V67&lt;=21,"15-21 Days","21+ Days"))))))</x:f>
        <x:v>Existing Employee</x:v>
      </x:c>
      <x:c r="AF6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7" s="33" t="n">
        <x:f>--(WorkforceData[[#This Row],[Total Days Worked]]&gt;=121)</x:f>
        <x:v>1</x:v>
      </x:c>
    </x:row>
    <x:row r="68">
      <x:c r="A68" s="236" t="str">
        <x:v>TRN-0067</x:v>
      </x:c>
      <x:c r="B68" s="243"/>
      <x:c r="C68" s="243"/>
      <x:c r="D68" s="243"/>
      <x:c r="E68" s="243"/>
      <x:c r="F68" s="14" t="str">
        <x:v>Recruiter C</x:v>
      </x:c>
      <x:c r="G68" s="14" t="str">
        <x:v>Training Center A</x:v>
      </x:c>
      <x:c r="H68" s="28">
        <x:v>46119</x:v>
      </x:c>
      <x:c r="I68" s="14">
        <x:v>2026</x:v>
      </x:c>
      <x:c r="J68" s="14" t="s">
        <x:v>126</x:v>
      </x:c>
      <x:c r="K68" s="14">
        <x:v>18</x:v>
      </x:c>
      <x:c r="L68" s="29" t="s">
        <x:v>119</x:v>
      </x:c>
      <x:c r="M68" s="28">
        <x:v>46112</x:v>
      </x:c>
      <x:c r="N68" s="14"/>
      <x:c r="O68" s="14">
        <x:v>139</x:v>
      </x:c>
      <x:c r="P68" s="14" t="s">
        <x:v>113</x:v>
      </x:c>
      <x:c r="Q68" s="14" t="s">
        <x:v>25</x:v>
      </x:c>
      <x:c r="R68" s="14"/>
      <x:c r="S68" s="14" t="s">
        <x:v>105</x:v>
      </x:c>
      <x:c r="T68" s="14" t="str">
        <x:v>Region D</x:v>
      </x:c>
      <x:c r="U68" s="28">
        <x:v>46124</x:v>
      </x:c>
      <x:c r="V68" s="30">
        <x:v>5</x:v>
      </x:c>
      <x:c r="W68" s="14" t="s">
        <x:v>109</x:v>
      </x:c>
      <x:c r="X68" s="14" t="s">
        <x:v>106</x:v>
      </x:c>
      <x:c r="Y68" s="32" t="str">
        <x:v>TRN-0067|20260407</x:v>
      </x:c>
      <x:c r="Z68" s="32" t="str" cm="1">
        <x:f t="array" ref="Z6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68" s="33" t="n">
        <x:f>--OR(WorkforceData[[#This Row],[Status]]="Active",WorkforceData[[#This Row],[Promoted]]="Yes",WorkforceData[[#This Row],[Total Days Worked]]&gt;=121)</x:f>
        <x:v>1</x:v>
      </x:c>
      <x:c r="AB68" s="33" t="n">
        <x:f>IF(AND(Q68="Terminated",R68="",O68=0),1,0)</x:f>
        <x:v>0</x:v>
      </x:c>
      <x:c r="AC68" s="33" t="n">
        <x:f>--OR(WorkforceData[[#This Row],[Status]]="Resigned",WorkforceData[[#This Row],[Status After Training]]="Withdrew")</x:f>
        <x:v>0</x:v>
      </x:c>
      <x:c r="AD68" s="34" t="n">
        <x:f>EOMONTH(WorkforceData[[#This Row],[Training Date]],0)</x:f>
        <x:v>46142</x:v>
      </x:c>
      <x:c r="AE68" s="32" t="str">
        <x:f>IF(M68&lt;H68,"Existing Employee",IF(U68="","No Assignment",IF(V68=0,"0 Days",IF(V68&lt;=7,"1-7 Days",IF(V68&lt;=14,"8-14 Days",IF(V68&lt;=21,"15-21 Days","21+ Days"))))))</x:f>
        <x:v>Existing Employee</x:v>
      </x:c>
      <x:c r="AF6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8" s="33" t="n">
        <x:f>--(WorkforceData[[#This Row],[Total Days Worked]]&gt;=121)</x:f>
        <x:v>1</x:v>
      </x:c>
    </x:row>
    <x:row r="69">
      <x:c r="A69" s="236" t="str">
        <x:v>TRN-0068</x:v>
      </x:c>
      <x:c r="B69" s="243"/>
      <x:c r="C69" s="243"/>
      <x:c r="D69" s="243"/>
      <x:c r="E69" s="243"/>
      <x:c r="F69" s="14" t="str">
        <x:v>Recruiter D</x:v>
      </x:c>
      <x:c r="G69" s="14" t="str">
        <x:v>Training Center A</x:v>
      </x:c>
      <x:c r="H69" s="28">
        <x:v>46119</x:v>
      </x:c>
      <x:c r="I69" s="14">
        <x:v>2026</x:v>
      </x:c>
      <x:c r="J69" s="14" t="s">
        <x:v>126</x:v>
      </x:c>
      <x:c r="K69" s="14">
        <x:v>18</x:v>
      </x:c>
      <x:c r="L69" s="29" t="s">
        <x:v>119</x:v>
      </x:c>
      <x:c r="M69" s="28">
        <x:v>46114</x:v>
      </x:c>
      <x:c r="N69" s="14"/>
      <x:c r="O69" s="14">
        <x:v>137</x:v>
      </x:c>
      <x:c r="P69" s="14" t="s">
        <x:v>113</x:v>
      </x:c>
      <x:c r="Q69" s="14" t="s">
        <x:v>25</x:v>
      </x:c>
      <x:c r="R69" s="14"/>
      <x:c r="S69" s="14" t="s">
        <x:v>105</x:v>
      </x:c>
      <x:c r="T69" s="14"/>
      <x:c r="U69" s="28"/>
      <x:c r="V69" s="30"/>
      <x:c r="W69" s="14"/>
      <x:c r="X69" s="14" t="s">
        <x:v>71</x:v>
      </x:c>
      <x:c r="Y69" s="32" t="str">
        <x:v>TRN-0068|20260407</x:v>
      </x:c>
      <x:c r="Z69" s="32" t="str" cm="1">
        <x:f t="array" ref="Z6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69" s="33" t="n">
        <x:f>--OR(WorkforceData[[#This Row],[Status]]="Active",WorkforceData[[#This Row],[Promoted]]="Yes",WorkforceData[[#This Row],[Total Days Worked]]&gt;=121)</x:f>
        <x:v>1</x:v>
      </x:c>
      <x:c r="AB69" s="33" t="n">
        <x:f>IF(AND(Q69="Terminated",R69="",O69=0),1,0)</x:f>
        <x:v>0</x:v>
      </x:c>
      <x:c r="AC69" s="33" t="n">
        <x:f>--OR(WorkforceData[[#This Row],[Status]]="Resigned",WorkforceData[[#This Row],[Status After Training]]="Withdrew")</x:f>
        <x:v>0</x:v>
      </x:c>
      <x:c r="AD69" s="34" t="n">
        <x:f>EOMONTH(WorkforceData[[#This Row],[Training Date]],0)</x:f>
        <x:v>46142</x:v>
      </x:c>
      <x:c r="AE69" s="32" t="str">
        <x:f>IF(M69&lt;H69,"Existing Employee",IF(U69="","No Assignment",IF(V69=0,"0 Days",IF(V69&lt;=7,"1-7 Days",IF(V69&lt;=14,"8-14 Days",IF(V69&lt;=21,"15-21 Days","21+ Days"))))))</x:f>
        <x:v>Existing Employee</x:v>
      </x:c>
      <x:c r="AF6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9" s="33" t="n">
        <x:f>--(WorkforceData[[#This Row],[Total Days Worked]]&gt;=121)</x:f>
        <x:v>1</x:v>
      </x:c>
    </x:row>
    <x:row r="70">
      <x:c r="A70" s="236" t="str">
        <x:v>TRN-0069</x:v>
      </x:c>
      <x:c r="B70" s="243"/>
      <x:c r="C70" s="243"/>
      <x:c r="D70" s="243"/>
      <x:c r="E70" s="243"/>
      <x:c r="F70" s="14" t="str">
        <x:v>Recruiter G</x:v>
      </x:c>
      <x:c r="G70" s="14" t="str">
        <x:v>Training Center A</x:v>
      </x:c>
      <x:c r="H70" s="28">
        <x:v>46119</x:v>
      </x:c>
      <x:c r="I70" s="14">
        <x:v>2026</x:v>
      </x:c>
      <x:c r="J70" s="14" t="s">
        <x:v>126</x:v>
      </x:c>
      <x:c r="K70" s="14">
        <x:v>18</x:v>
      </x:c>
      <x:c r="L70" s="29" t="s">
        <x:v>119</x:v>
      </x:c>
      <x:c r="M70" s="28">
        <x:v>46119</x:v>
      </x:c>
      <x:c r="N70" s="14"/>
      <x:c r="O70" s="14">
        <x:v>132</x:v>
      </x:c>
      <x:c r="P70" s="14" t="s">
        <x:v>113</x:v>
      </x:c>
      <x:c r="Q70" s="14" t="s">
        <x:v>25</x:v>
      </x:c>
      <x:c r="R70" s="14"/>
      <x:c r="S70" s="14" t="s">
        <x:v>105</x:v>
      </x:c>
      <x:c r="T70" s="14" t="str">
        <x:v>Region D</x:v>
      </x:c>
      <x:c r="U70" s="28">
        <x:v>46119</x:v>
      </x:c>
      <x:c r="V70" s="30">
        <x:v>0</x:v>
      </x:c>
      <x:c r="W70" s="14" t="s">
        <x:v>109</x:v>
      </x:c>
      <x:c r="X70" s="14" t="s">
        <x:v>106</x:v>
      </x:c>
      <x:c r="Y70" s="32" t="str">
        <x:v>TRN-0069|20260407</x:v>
      </x:c>
      <x:c r="Z70" s="32" t="str" cm="1">
        <x:f t="array" ref="Z7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70" s="33" t="n">
        <x:f>--OR(WorkforceData[[#This Row],[Status]]="Active",WorkforceData[[#This Row],[Promoted]]="Yes",WorkforceData[[#This Row],[Total Days Worked]]&gt;=121)</x:f>
        <x:v>1</x:v>
      </x:c>
      <x:c r="AB70" s="33" t="n">
        <x:f>IF(AND(Q70="Terminated",R70="",O70=0),1,0)</x:f>
        <x:v>0</x:v>
      </x:c>
      <x:c r="AC70" s="33" t="n">
        <x:f>--OR(WorkforceData[[#This Row],[Status]]="Resigned",WorkforceData[[#This Row],[Status After Training]]="Withdrew")</x:f>
        <x:v>0</x:v>
      </x:c>
      <x:c r="AD70" s="34" t="n">
        <x:f>EOMONTH(WorkforceData[[#This Row],[Training Date]],0)</x:f>
        <x:v>46142</x:v>
      </x:c>
      <x:c r="AE70" s="32" t="str">
        <x:f>IF(M70&lt;H70,"Existing Employee",IF(U70="","No Assignment",IF(V70=0,"0 Days",IF(V70&lt;=7,"1-7 Days",IF(V70&lt;=14,"8-14 Days",IF(V70&lt;=21,"15-21 Days","21+ Days"))))))</x:f>
        <x:v>0 Days</x:v>
      </x:c>
      <x:c r="AF7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0" s="33" t="n">
        <x:f>--(WorkforceData[[#This Row],[Total Days Worked]]&gt;=121)</x:f>
        <x:v>1</x:v>
      </x:c>
    </x:row>
    <x:row r="71">
      <x:c r="A71" s="236" t="str">
        <x:v>TRN-0070</x:v>
      </x:c>
      <x:c r="B71" s="243"/>
      <x:c r="C71" s="243"/>
      <x:c r="D71" s="243"/>
      <x:c r="E71" s="243"/>
      <x:c r="F71" s="14" t="str">
        <x:v>Recruiter A</x:v>
      </x:c>
      <x:c r="G71" s="14" t="str">
        <x:v>Training Center A</x:v>
      </x:c>
      <x:c r="H71" s="28">
        <x:v>46119</x:v>
      </x:c>
      <x:c r="I71" s="14">
        <x:v>2026</x:v>
      </x:c>
      <x:c r="J71" s="14" t="s">
        <x:v>126</x:v>
      </x:c>
      <x:c r="K71" s="14">
        <x:v>18</x:v>
      </x:c>
      <x:c r="L71" s="29" t="s">
        <x:v>119</x:v>
      </x:c>
      <x:c r="M71" s="28">
        <x:v>46119</x:v>
      </x:c>
      <x:c r="N71" s="14"/>
      <x:c r="O71" s="14">
        <x:v>132</x:v>
      </x:c>
      <x:c r="P71" s="14" t="s">
        <x:v>113</x:v>
      </x:c>
      <x:c r="Q71" s="14" t="s">
        <x:v>25</x:v>
      </x:c>
      <x:c r="R71" s="14"/>
      <x:c r="S71" s="14" t="s">
        <x:v>105</x:v>
      </x:c>
      <x:c r="T71" s="14" t="str">
        <x:v>Region C</x:v>
      </x:c>
      <x:c r="U71" s="28">
        <x:v>46121</x:v>
      </x:c>
      <x:c r="V71" s="30">
        <x:v>2</x:v>
      </x:c>
      <x:c r="W71" s="14" t="s">
        <x:v>109</x:v>
      </x:c>
      <x:c r="X71" s="14" t="s">
        <x:v>106</x:v>
      </x:c>
      <x:c r="Y71" s="32" t="str">
        <x:v>TRN-0070|20260407</x:v>
      </x:c>
      <x:c r="Z71" s="32" t="str" cm="1">
        <x:f t="array" ref="Z7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71" s="33" t="n">
        <x:f>--OR(WorkforceData[[#This Row],[Status]]="Active",WorkforceData[[#This Row],[Promoted]]="Yes",WorkforceData[[#This Row],[Total Days Worked]]&gt;=121)</x:f>
        <x:v>1</x:v>
      </x:c>
      <x:c r="AB71" s="33" t="n">
        <x:f>IF(AND(Q71="Terminated",R71="",O71=0),1,0)</x:f>
        <x:v>0</x:v>
      </x:c>
      <x:c r="AC71" s="33" t="n">
        <x:f>--OR(WorkforceData[[#This Row],[Status]]="Resigned",WorkforceData[[#This Row],[Status After Training]]="Withdrew")</x:f>
        <x:v>0</x:v>
      </x:c>
      <x:c r="AD71" s="34" t="n">
        <x:f>EOMONTH(WorkforceData[[#This Row],[Training Date]],0)</x:f>
        <x:v>46142</x:v>
      </x:c>
      <x:c r="AE71" s="32" t="str">
        <x:f>IF(M71&lt;H71,"Existing Employee",IF(U71="","No Assignment",IF(V71=0,"0 Days",IF(V71&lt;=7,"1-7 Days",IF(V71&lt;=14,"8-14 Days",IF(V71&lt;=21,"15-21 Days","21+ Days"))))))</x:f>
        <x:v>1-7 Days</x:v>
      </x:c>
      <x:c r="AF7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1" s="33" t="n">
        <x:f>--(WorkforceData[[#This Row],[Total Days Worked]]&gt;=121)</x:f>
        <x:v>1</x:v>
      </x:c>
    </x:row>
    <x:row r="72">
      <x:c r="A72" s="236" t="str">
        <x:v>TRN-0071</x:v>
      </x:c>
      <x:c r="B72" s="243"/>
      <x:c r="C72" s="243"/>
      <x:c r="D72" s="243"/>
      <x:c r="E72" s="243"/>
      <x:c r="F72" s="14" t="str">
        <x:v>Recruiter G</x:v>
      </x:c>
      <x:c r="G72" s="14" t="str">
        <x:v>Training Center A</x:v>
      </x:c>
      <x:c r="H72" s="28">
        <x:v>46119</x:v>
      </x:c>
      <x:c r="I72" s="14">
        <x:v>2026</x:v>
      </x:c>
      <x:c r="J72" s="14" t="s">
        <x:v>126</x:v>
      </x:c>
      <x:c r="K72" s="14">
        <x:v>18</x:v>
      </x:c>
      <x:c r="L72" s="29" t="s">
        <x:v>119</x:v>
      </x:c>
      <x:c r="M72" s="28">
        <x:v>46116</x:v>
      </x:c>
      <x:c r="N72" s="28">
        <x:v>46216</x:v>
      </x:c>
      <x:c r="O72" s="14">
        <x:v>100</x:v>
      </x:c>
      <x:c r="P72" s="14" t="s">
        <x:v>113</x:v>
      </x:c>
      <x:c r="Q72" s="14" t="s">
        <x:v>33</x:v>
      </x:c>
      <x:c r="R72" s="14" t="s">
        <x:v>121</x:v>
      </x:c>
      <x:c r="S72" s="14" t="s">
        <x:v>105</x:v>
      </x:c>
      <x:c r="T72" s="14" t="str">
        <x:v>Region C</x:v>
      </x:c>
      <x:c r="U72" s="28">
        <x:v>46126</x:v>
      </x:c>
      <x:c r="V72" s="30">
        <x:v>7</x:v>
      </x:c>
      <x:c r="W72" s="14" t="s">
        <x:v>109</x:v>
      </x:c>
      <x:c r="X72" s="14" t="s">
        <x:v>106</x:v>
      </x:c>
      <x:c r="Y72" s="32" t="str">
        <x:v>TRN-0071|20260407</x:v>
      </x:c>
      <x:c r="Z72" s="32" t="str" cm="1">
        <x:f t="array" ref="Z7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72" s="33" t="n">
        <x:f>--OR(WorkforceData[[#This Row],[Status]]="Active",WorkforceData[[#This Row],[Promoted]]="Yes",WorkforceData[[#This Row],[Total Days Worked]]&gt;=121)</x:f>
        <x:v>0</x:v>
      </x:c>
      <x:c r="AB72" s="33" t="n">
        <x:f>IF(AND(Q72="Terminated",R72="",O72=0),1,0)</x:f>
        <x:v>0</x:v>
      </x:c>
      <x:c r="AC72" s="33" t="n">
        <x:f>--OR(WorkforceData[[#This Row],[Status]]="Resigned",WorkforceData[[#This Row],[Status After Training]]="Withdrew")</x:f>
        <x:v>0</x:v>
      </x:c>
      <x:c r="AD72" s="34" t="n">
        <x:f>EOMONTH(WorkforceData[[#This Row],[Training Date]],0)</x:f>
        <x:v>46142</x:v>
      </x:c>
      <x:c r="AE72" s="32" t="str">
        <x:f>IF(M72&lt;H72,"Existing Employee",IF(U72="","No Assignment",IF(V72=0,"0 Days",IF(V72&lt;=7,"1-7 Days",IF(V72&lt;=14,"8-14 Days",IF(V72&lt;=21,"15-21 Days","21+ Days"))))))</x:f>
        <x:v>Existing Employee</x:v>
      </x:c>
      <x:c r="AF7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91-120 Days</x:v>
      </x:c>
      <x:c r="AG72" s="33" t="n">
        <x:f>--(WorkforceData[[#This Row],[Total Days Worked]]&gt;=121)</x:f>
        <x:v>0</x:v>
      </x:c>
    </x:row>
    <x:row r="73">
      <x:c r="A73" s="236" t="str">
        <x:v>TRN-0072</x:v>
      </x:c>
      <x:c r="B73" s="243"/>
      <x:c r="C73" s="243"/>
      <x:c r="D73" s="243"/>
      <x:c r="E73" s="243"/>
      <x:c r="F73" s="14" t="str">
        <x:v>Recruiter B</x:v>
      </x:c>
      <x:c r="G73" s="14" t="str">
        <x:v>Training Center A</x:v>
      </x:c>
      <x:c r="H73" s="28">
        <x:v>46119</x:v>
      </x:c>
      <x:c r="I73" s="14">
        <x:v>2026</x:v>
      </x:c>
      <x:c r="J73" s="14" t="s">
        <x:v>126</x:v>
      </x:c>
      <x:c r="K73" s="14">
        <x:v>18</x:v>
      </x:c>
      <x:c r="L73" s="29" t="s">
        <x:v>119</x:v>
      </x:c>
      <x:c r="M73" s="28">
        <x:v>46112</x:v>
      </x:c>
      <x:c r="N73" s="28">
        <x:v>46251</x:v>
      </x:c>
      <x:c r="O73" s="14">
        <x:v>139</x:v>
      </x:c>
      <x:c r="P73" s="14" t="s">
        <x:v>113</x:v>
      </x:c>
      <x:c r="Q73" s="14" t="s">
        <x:v>33</x:v>
      </x:c>
      <x:c r="R73" s="14" t="s">
        <x:v>116</x:v>
      </x:c>
      <x:c r="S73" s="14" t="s">
        <x:v>105</x:v>
      </x:c>
      <x:c r="T73" s="14" t="str">
        <x:v>Region C</x:v>
      </x:c>
      <x:c r="U73" s="28">
        <x:v>46123</x:v>
      </x:c>
      <x:c r="V73" s="30">
        <x:v>4</x:v>
      </x:c>
      <x:c r="W73" s="14" t="s">
        <x:v>109</x:v>
      </x:c>
      <x:c r="X73" s="14" t="s">
        <x:v>106</x:v>
      </x:c>
      <x:c r="Y73" s="32" t="str">
        <x:v>TRN-0072|20260407</x:v>
      </x:c>
      <x:c r="Z73" s="32" t="str" cm="1">
        <x:f t="array" ref="Z7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Complete</x:v>
      </x:c>
      <x:c r="AA73" s="33" t="n">
        <x:f>--OR(WorkforceData[[#This Row],[Status]]="Active",WorkforceData[[#This Row],[Promoted]]="Yes",WorkforceData[[#This Row],[Total Days Worked]]&gt;=121)</x:f>
        <x:v>1</x:v>
      </x:c>
      <x:c r="AB73" s="33" t="n">
        <x:f>IF(AND(Q73="Terminated",R73="",O73=0),1,0)</x:f>
        <x:v>0</x:v>
      </x:c>
      <x:c r="AC73" s="33" t="n">
        <x:f>--OR(WorkforceData[[#This Row],[Status]]="Resigned",WorkforceData[[#This Row],[Status After Training]]="Withdrew")</x:f>
        <x:v>0</x:v>
      </x:c>
      <x:c r="AD73" s="34" t="n">
        <x:f>EOMONTH(WorkforceData[[#This Row],[Training Date]],0)</x:f>
        <x:v>46142</x:v>
      </x:c>
      <x:c r="AE73" s="32" t="str">
        <x:f>IF(M73&lt;H73,"Existing Employee",IF(U73="","No Assignment",IF(V73=0,"0 Days",IF(V73&lt;=7,"1-7 Days",IF(V73&lt;=14,"8-14 Days",IF(V73&lt;=21,"15-21 Days","21+ Days"))))))</x:f>
        <x:v>Existing Employee</x:v>
      </x:c>
      <x:c r="AF7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3" s="33" t="n">
        <x:f>--(WorkforceData[[#This Row],[Total Days Worked]]&gt;=121)</x:f>
        <x:v>1</x:v>
      </x:c>
    </x:row>
    <x:row r="74">
      <x:c r="A74" s="236" t="str">
        <x:v>TRN-0073</x:v>
      </x:c>
      <x:c r="B74" s="243"/>
      <x:c r="C74" s="243"/>
      <x:c r="D74" s="243"/>
      <x:c r="E74" s="243"/>
      <x:c r="F74" s="14" t="str">
        <x:v>Recruiter C</x:v>
      </x:c>
      <x:c r="G74" s="14" t="str">
        <x:v>Training Center A</x:v>
      </x:c>
      <x:c r="H74" s="28">
        <x:v>46119</x:v>
      </x:c>
      <x:c r="I74" s="14">
        <x:v>2026</x:v>
      </x:c>
      <x:c r="J74" s="14" t="s">
        <x:v>126</x:v>
      </x:c>
      <x:c r="K74" s="14">
        <x:v>18</x:v>
      </x:c>
      <x:c r="L74" s="29" t="s">
        <x:v>119</x:v>
      </x:c>
      <x:c r="M74" s="28">
        <x:v>46119</x:v>
      </x:c>
      <x:c r="N74" s="14"/>
      <x:c r="O74" s="14">
        <x:v>132</x:v>
      </x:c>
      <x:c r="P74" s="14" t="s">
        <x:v>113</x:v>
      </x:c>
      <x:c r="Q74" s="14" t="s">
        <x:v>25</x:v>
      </x:c>
      <x:c r="R74" s="14"/>
      <x:c r="S74" s="14" t="s">
        <x:v>105</x:v>
      </x:c>
      <x:c r="T74" s="14" t="str">
        <x:v>Region E</x:v>
      </x:c>
      <x:c r="U74" s="28">
        <x:v>46125</x:v>
      </x:c>
      <x:c r="V74" s="30">
        <x:v>6</x:v>
      </x:c>
      <x:c r="W74" s="14" t="s">
        <x:v>109</x:v>
      </x:c>
      <x:c r="X74" s="14" t="s">
        <x:v>106</x:v>
      </x:c>
      <x:c r="Y74" s="32" t="str">
        <x:v>TRN-0073|20260407</x:v>
      </x:c>
      <x:c r="Z74" s="32" t="str" cm="1">
        <x:f t="array" ref="Z7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74" s="33" t="n">
        <x:f>--OR(WorkforceData[[#This Row],[Status]]="Active",WorkforceData[[#This Row],[Promoted]]="Yes",WorkforceData[[#This Row],[Total Days Worked]]&gt;=121)</x:f>
        <x:v>1</x:v>
      </x:c>
      <x:c r="AB74" s="33" t="n">
        <x:f>IF(AND(Q74="Terminated",R74="",O74=0),1,0)</x:f>
        <x:v>0</x:v>
      </x:c>
      <x:c r="AC74" s="33" t="n">
        <x:f>--OR(WorkforceData[[#This Row],[Status]]="Resigned",WorkforceData[[#This Row],[Status After Training]]="Withdrew")</x:f>
        <x:v>0</x:v>
      </x:c>
      <x:c r="AD74" s="34" t="n">
        <x:f>EOMONTH(WorkforceData[[#This Row],[Training Date]],0)</x:f>
        <x:v>46142</x:v>
      </x:c>
      <x:c r="AE74" s="32" t="str">
        <x:f>IF(M74&lt;H74,"Existing Employee",IF(U74="","No Assignment",IF(V74=0,"0 Days",IF(V74&lt;=7,"1-7 Days",IF(V74&lt;=14,"8-14 Days",IF(V74&lt;=21,"15-21 Days","21+ Days"))))))</x:f>
        <x:v>1-7 Days</x:v>
      </x:c>
      <x:c r="AF7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4" s="33" t="n">
        <x:f>--(WorkforceData[[#This Row],[Total Days Worked]]&gt;=121)</x:f>
        <x:v>1</x:v>
      </x:c>
    </x:row>
    <x:row r="75">
      <x:c r="A75" s="236" t="str">
        <x:v>TRN-0074</x:v>
      </x:c>
      <x:c r="B75" s="243"/>
      <x:c r="C75" s="243"/>
      <x:c r="D75" s="243"/>
      <x:c r="E75" s="243"/>
      <x:c r="F75" s="14" t="str">
        <x:v>Recruiter E</x:v>
      </x:c>
      <x:c r="G75" s="14" t="str">
        <x:v>Training Center A</x:v>
      </x:c>
      <x:c r="H75" s="28">
        <x:v>46119</x:v>
      </x:c>
      <x:c r="I75" s="14">
        <x:v>2026</x:v>
      </x:c>
      <x:c r="J75" s="14" t="s">
        <x:v>126</x:v>
      </x:c>
      <x:c r="K75" s="14">
        <x:v>18</x:v>
      </x:c>
      <x:c r="L75" s="29" t="s">
        <x:v>119</x:v>
      </x:c>
      <x:c r="M75" s="28">
        <x:v>46119</x:v>
      </x:c>
      <x:c r="N75" s="28">
        <x:v>46225</x:v>
      </x:c>
      <x:c r="O75" s="14">
        <x:v>106</x:v>
      </x:c>
      <x:c r="P75" s="14" t="s">
        <x:v>113</x:v>
      </x:c>
      <x:c r="Q75" s="14" t="s">
        <x:v>103</x:v>
      </x:c>
      <x:c r="R75" s="14" t="s">
        <x:v>111</x:v>
      </x:c>
      <x:c r="S75" s="14" t="s">
        <x:v>105</x:v>
      </x:c>
      <x:c r="T75" s="14" t="str">
        <x:v>Region E</x:v>
      </x:c>
      <x:c r="U75" s="28">
        <x:v>46139</x:v>
      </x:c>
      <x:c r="V75" s="30">
        <x:v>20</x:v>
      </x:c>
      <x:c r="W75" s="14" t="s">
        <x:v>112</x:v>
      </x:c>
      <x:c r="X75" s="14" t="s">
        <x:v>106</x:v>
      </x:c>
      <x:c r="Y75" s="32" t="str">
        <x:v>TRN-0074|20260407</x:v>
      </x:c>
      <x:c r="Z75" s="32" t="str" cm="1">
        <x:f t="array" ref="Z7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75" s="33" t="n">
        <x:f>--OR(WorkforceData[[#This Row],[Status]]="Active",WorkforceData[[#This Row],[Promoted]]="Yes",WorkforceData[[#This Row],[Total Days Worked]]&gt;=121)</x:f>
        <x:v>0</x:v>
      </x:c>
      <x:c r="AB75" s="33" t="n">
        <x:f>IF(AND(Q75="Terminated",R75="",O75=0),1,0)</x:f>
        <x:v>0</x:v>
      </x:c>
      <x:c r="AC75" s="33" t="n">
        <x:f>--OR(WorkforceData[[#This Row],[Status]]="Resigned",WorkforceData[[#This Row],[Status After Training]]="Withdrew")</x:f>
        <x:v>1</x:v>
      </x:c>
      <x:c r="AD75" s="34" t="n">
        <x:f>EOMONTH(WorkforceData[[#This Row],[Training Date]],0)</x:f>
        <x:v>46142</x:v>
      </x:c>
      <x:c r="AE75" s="32" t="str">
        <x:f>IF(M75&lt;H75,"Existing Employee",IF(U75="","No Assignment",IF(V75=0,"0 Days",IF(V75&lt;=7,"1-7 Days",IF(V75&lt;=14,"8-14 Days",IF(V75&lt;=21,"15-21 Days","21+ Days"))))))</x:f>
        <x:v>15-21 Days</x:v>
      </x:c>
      <x:c r="AF7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91-120 Days</x:v>
      </x:c>
      <x:c r="AG75" s="33" t="n">
        <x:f>--(WorkforceData[[#This Row],[Total Days Worked]]&gt;=121)</x:f>
        <x:v>0</x:v>
      </x:c>
    </x:row>
    <x:row r="76">
      <x:c r="A76" s="236" t="str">
        <x:v>TRN-0075</x:v>
      </x:c>
      <x:c r="B76" s="243"/>
      <x:c r="C76" s="243"/>
      <x:c r="D76" s="243"/>
      <x:c r="E76" s="243"/>
      <x:c r="F76" s="14" t="str">
        <x:v>Recruiter E</x:v>
      </x:c>
      <x:c r="G76" s="14" t="str">
        <x:v>Training Center A</x:v>
      </x:c>
      <x:c r="H76" s="28">
        <x:v>46119</x:v>
      </x:c>
      <x:c r="I76" s="14">
        <x:v>2026</x:v>
      </x:c>
      <x:c r="J76" s="14" t="s">
        <x:v>126</x:v>
      </x:c>
      <x:c r="K76" s="14">
        <x:v>18</x:v>
      </x:c>
      <x:c r="L76" s="29" t="s">
        <x:v>119</x:v>
      </x:c>
      <x:c r="M76" s="28">
        <x:v>46118</x:v>
      </x:c>
      <x:c r="N76" s="14"/>
      <x:c r="O76" s="14">
        <x:v>133</x:v>
      </x:c>
      <x:c r="P76" s="14" t="s">
        <x:v>113</x:v>
      </x:c>
      <x:c r="Q76" s="14" t="s">
        <x:v>25</x:v>
      </x:c>
      <x:c r="R76" s="14"/>
      <x:c r="S76" s="14" t="s">
        <x:v>105</x:v>
      </x:c>
      <x:c r="T76" s="14" t="str">
        <x:v>Region E</x:v>
      </x:c>
      <x:c r="U76" s="28">
        <x:v>46126</x:v>
      </x:c>
      <x:c r="V76" s="30">
        <x:v>7</x:v>
      </x:c>
      <x:c r="W76" s="14" t="s">
        <x:v>109</x:v>
      </x:c>
      <x:c r="X76" s="14" t="s">
        <x:v>106</x:v>
      </x:c>
      <x:c r="Y76" s="32" t="str">
        <x:v>TRN-0075|20260407</x:v>
      </x:c>
      <x:c r="Z76" s="32" t="str" cm="1">
        <x:f t="array" ref="Z7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76" s="33" t="n">
        <x:f>--OR(WorkforceData[[#This Row],[Status]]="Active",WorkforceData[[#This Row],[Promoted]]="Yes",WorkforceData[[#This Row],[Total Days Worked]]&gt;=121)</x:f>
        <x:v>1</x:v>
      </x:c>
      <x:c r="AB76" s="33" t="n">
        <x:f>IF(AND(Q76="Terminated",R76="",O76=0),1,0)</x:f>
        <x:v>0</x:v>
      </x:c>
      <x:c r="AC76" s="33" t="n">
        <x:f>--OR(WorkforceData[[#This Row],[Status]]="Resigned",WorkforceData[[#This Row],[Status After Training]]="Withdrew")</x:f>
        <x:v>0</x:v>
      </x:c>
      <x:c r="AD76" s="34" t="n">
        <x:f>EOMONTH(WorkforceData[[#This Row],[Training Date]],0)</x:f>
        <x:v>46142</x:v>
      </x:c>
      <x:c r="AE76" s="32" t="str">
        <x:f>IF(M76&lt;H76,"Existing Employee",IF(U76="","No Assignment",IF(V76=0,"0 Days",IF(V76&lt;=7,"1-7 Days",IF(V76&lt;=14,"8-14 Days",IF(V76&lt;=21,"15-21 Days","21+ Days"))))))</x:f>
        <x:v>Existing Employee</x:v>
      </x:c>
      <x:c r="AF7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6" s="33" t="n">
        <x:f>--(WorkforceData[[#This Row],[Total Days Worked]]&gt;=121)</x:f>
        <x:v>1</x:v>
      </x:c>
    </x:row>
    <x:row r="77">
      <x:c r="A77" s="236" t="str">
        <x:v>TRN-0076</x:v>
      </x:c>
      <x:c r="B77" s="243"/>
      <x:c r="C77" s="243"/>
      <x:c r="D77" s="243"/>
      <x:c r="E77" s="243"/>
      <x:c r="F77" s="14" t="str">
        <x:v>Recruiter G</x:v>
      </x:c>
      <x:c r="G77" s="14" t="str">
        <x:v>Training Center A</x:v>
      </x:c>
      <x:c r="H77" s="28">
        <x:v>46119</x:v>
      </x:c>
      <x:c r="I77" s="14">
        <x:v>2026</x:v>
      </x:c>
      <x:c r="J77" s="14" t="s">
        <x:v>126</x:v>
      </x:c>
      <x:c r="K77" s="14">
        <x:v>18</x:v>
      </x:c>
      <x:c r="L77" s="29" t="s">
        <x:v>119</x:v>
      </x:c>
      <x:c r="M77" s="28">
        <x:v>46117</x:v>
      </x:c>
      <x:c r="N77" s="14"/>
      <x:c r="O77" s="14">
        <x:v>134</x:v>
      </x:c>
      <x:c r="P77" s="14" t="s">
        <x:v>113</x:v>
      </x:c>
      <x:c r="Q77" s="14" t="s">
        <x:v>25</x:v>
      </x:c>
      <x:c r="R77" s="14"/>
      <x:c r="S77" s="14" t="s">
        <x:v>105</x:v>
      </x:c>
      <x:c r="T77" s="14"/>
      <x:c r="U77" s="28"/>
      <x:c r="V77" s="30"/>
      <x:c r="W77" s="14"/>
      <x:c r="X77" s="14" t="s">
        <x:v>71</x:v>
      </x:c>
      <x:c r="Y77" s="32" t="str">
        <x:v>TRN-0076|20260407</x:v>
      </x:c>
      <x:c r="Z77" s="32" t="str" cm="1">
        <x:f t="array" ref="Z7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77" s="33" t="n">
        <x:f>--OR(WorkforceData[[#This Row],[Status]]="Active",WorkforceData[[#This Row],[Promoted]]="Yes",WorkforceData[[#This Row],[Total Days Worked]]&gt;=121)</x:f>
        <x:v>1</x:v>
      </x:c>
      <x:c r="AB77" s="33" t="n">
        <x:f>IF(AND(Q77="Terminated",R77="",O77=0),1,0)</x:f>
        <x:v>0</x:v>
      </x:c>
      <x:c r="AC77" s="33" t="n">
        <x:f>--OR(WorkforceData[[#This Row],[Status]]="Resigned",WorkforceData[[#This Row],[Status After Training]]="Withdrew")</x:f>
        <x:v>0</x:v>
      </x:c>
      <x:c r="AD77" s="34" t="n">
        <x:f>EOMONTH(WorkforceData[[#This Row],[Training Date]],0)</x:f>
        <x:v>46142</x:v>
      </x:c>
      <x:c r="AE77" s="32" t="str">
        <x:f>IF(M77&lt;H77,"Existing Employee",IF(U77="","No Assignment",IF(V77=0,"0 Days",IF(V77&lt;=7,"1-7 Days",IF(V77&lt;=14,"8-14 Days",IF(V77&lt;=21,"15-21 Days","21+ Days"))))))</x:f>
        <x:v>Existing Employee</x:v>
      </x:c>
      <x:c r="AF7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7" s="33" t="n">
        <x:f>--(WorkforceData[[#This Row],[Total Days Worked]]&gt;=121)</x:f>
        <x:v>1</x:v>
      </x:c>
    </x:row>
    <x:row r="78">
      <x:c r="A78" s="236" t="str">
        <x:v>TRN-0077</x:v>
      </x:c>
      <x:c r="B78" s="243"/>
      <x:c r="C78" s="243"/>
      <x:c r="D78" s="243"/>
      <x:c r="E78" s="243"/>
      <x:c r="F78" s="14" t="str">
        <x:v>Recruiter H</x:v>
      </x:c>
      <x:c r="G78" s="14" t="str">
        <x:v>Training Center A</x:v>
      </x:c>
      <x:c r="H78" s="28">
        <x:v>46119</x:v>
      </x:c>
      <x:c r="I78" s="14">
        <x:v>2026</x:v>
      </x:c>
      <x:c r="J78" s="14" t="s">
        <x:v>126</x:v>
      </x:c>
      <x:c r="K78" s="14">
        <x:v>18</x:v>
      </x:c>
      <x:c r="L78" s="29" t="s">
        <x:v>119</x:v>
      </x:c>
      <x:c r="M78" s="28">
        <x:v>46117</x:v>
      </x:c>
      <x:c r="N78" s="14"/>
      <x:c r="O78" s="14">
        <x:v>134</x:v>
      </x:c>
      <x:c r="P78" s="14" t="s">
        <x:v>113</x:v>
      </x:c>
      <x:c r="Q78" s="14" t="s">
        <x:v>25</x:v>
      </x:c>
      <x:c r="R78" s="14"/>
      <x:c r="S78" s="14" t="s">
        <x:v>105</x:v>
      </x:c>
      <x:c r="T78" s="14" t="str">
        <x:v>Region B</x:v>
      </x:c>
      <x:c r="U78" s="28">
        <x:v>46122</x:v>
      </x:c>
      <x:c r="V78" s="30">
        <x:v>3</x:v>
      </x:c>
      <x:c r="W78" s="14" t="s">
        <x:v>109</x:v>
      </x:c>
      <x:c r="X78" s="14" t="s">
        <x:v>106</x:v>
      </x:c>
      <x:c r="Y78" s="32" t="str">
        <x:v>TRN-0077|20260407</x:v>
      </x:c>
      <x:c r="Z78" s="32" t="str" cm="1">
        <x:f t="array" ref="Z7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78" s="33" t="n">
        <x:f>--OR(WorkforceData[[#This Row],[Status]]="Active",WorkforceData[[#This Row],[Promoted]]="Yes",WorkforceData[[#This Row],[Total Days Worked]]&gt;=121)</x:f>
        <x:v>1</x:v>
      </x:c>
      <x:c r="AB78" s="33" t="n">
        <x:f>IF(AND(Q78="Terminated",R78="",O78=0),1,0)</x:f>
        <x:v>0</x:v>
      </x:c>
      <x:c r="AC78" s="33" t="n">
        <x:f>--OR(WorkforceData[[#This Row],[Status]]="Resigned",WorkforceData[[#This Row],[Status After Training]]="Withdrew")</x:f>
        <x:v>0</x:v>
      </x:c>
      <x:c r="AD78" s="34" t="n">
        <x:f>EOMONTH(WorkforceData[[#This Row],[Training Date]],0)</x:f>
        <x:v>46142</x:v>
      </x:c>
      <x:c r="AE78" s="32" t="str">
        <x:f>IF(M78&lt;H78,"Existing Employee",IF(U78="","No Assignment",IF(V78=0,"0 Days",IF(V78&lt;=7,"1-7 Days",IF(V78&lt;=14,"8-14 Days",IF(V78&lt;=21,"15-21 Days","21+ Days"))))))</x:f>
        <x:v>Existing Employee</x:v>
      </x:c>
      <x:c r="AF7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8" s="33" t="n">
        <x:f>--(WorkforceData[[#This Row],[Total Days Worked]]&gt;=121)</x:f>
        <x:v>1</x:v>
      </x:c>
    </x:row>
    <x:row r="79">
      <x:c r="A79" s="236" t="str">
        <x:v>TRN-0078</x:v>
      </x:c>
      <x:c r="B79" s="243"/>
      <x:c r="C79" s="243"/>
      <x:c r="D79" s="243"/>
      <x:c r="E79" s="243"/>
      <x:c r="F79" s="14" t="str">
        <x:v>Recruiter B</x:v>
      </x:c>
      <x:c r="G79" s="14" t="str">
        <x:v>Training Center A</x:v>
      </x:c>
      <x:c r="H79" s="28">
        <x:v>45181</x:v>
      </x:c>
      <x:c r="I79" s="14">
        <x:v>2023</x:v>
      </x:c>
      <x:c r="J79" s="14" t="s">
        <x:v>127</x:v>
      </x:c>
      <x:c r="K79" s="14">
        <x:v>32</x:v>
      </x:c>
      <x:c r="L79" s="29" t="s">
        <x:v>128</x:v>
      </x:c>
      <x:c r="M79" s="28">
        <x:v>45181</x:v>
      </x:c>
      <x:c r="N79" s="14"/>
      <x:c r="O79" s="14">
        <x:v>1070</x:v>
      </x:c>
      <x:c r="P79" s="14" t="s">
        <x:v>122</x:v>
      </x:c>
      <x:c r="Q79" s="14" t="s">
        <x:v>25</x:v>
      </x:c>
      <x:c r="R79" s="14"/>
      <x:c r="S79" s="14" t="s">
        <x:v>108</x:v>
      </x:c>
      <x:c r="T79" s="14" t="str">
        <x:v>Region A</x:v>
      </x:c>
      <x:c r="U79" s="28">
        <x:v>45207</x:v>
      </x:c>
      <x:c r="V79" s="30">
        <x:v>26</x:v>
      </x:c>
      <x:c r="W79" s="14" t="s">
        <x:v>112</x:v>
      </x:c>
      <x:c r="X79" s="14" t="s">
        <x:v>106</x:v>
      </x:c>
      <x:c r="Y79" s="32" t="str">
        <x:v>TRN-0078|20230912</x:v>
      </x:c>
      <x:c r="Z79" s="32" t="str" cm="1">
        <x:f t="array" ref="Z7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79" s="33" t="n">
        <x:f>--OR(WorkforceData[[#This Row],[Status]]="Active",WorkforceData[[#This Row],[Promoted]]="Yes",WorkforceData[[#This Row],[Total Days Worked]]&gt;=121)</x:f>
        <x:v>1</x:v>
      </x:c>
      <x:c r="AB79" s="33" t="n">
        <x:f>IF(AND(Q79="Terminated",R79="",O79=0),1,0)</x:f>
        <x:v>0</x:v>
      </x:c>
      <x:c r="AC79" s="33" t="n">
        <x:f>--OR(WorkforceData[[#This Row],[Status]]="Resigned",WorkforceData[[#This Row],[Status After Training]]="Withdrew")</x:f>
        <x:v>0</x:v>
      </x:c>
      <x:c r="AD79" s="34" t="n">
        <x:f>EOMONTH(WorkforceData[[#This Row],[Training Date]],0)</x:f>
        <x:v>45199</x:v>
      </x:c>
      <x:c r="AE79" s="32" t="str">
        <x:f>IF(M79&lt;H79,"Existing Employee",IF(U79="","No Assignment",IF(V79=0,"0 Days",IF(V79&lt;=7,"1-7 Days",IF(V79&lt;=14,"8-14 Days",IF(V79&lt;=21,"15-21 Days","21+ Days"))))))</x:f>
        <x:v>21+ Days</x:v>
      </x:c>
      <x:c r="AF7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9" s="33" t="n">
        <x:f>--(WorkforceData[[#This Row],[Total Days Worked]]&gt;=121)</x:f>
        <x:v>1</x:v>
      </x:c>
    </x:row>
    <x:row r="80">
      <x:c r="A80" s="236" t="str">
        <x:v>TRN-0079</x:v>
      </x:c>
      <x:c r="B80" s="243"/>
      <x:c r="C80" s="243"/>
      <x:c r="D80" s="243"/>
      <x:c r="E80" s="243"/>
      <x:c r="F80" s="14" t="str">
        <x:v>Recruiter D</x:v>
      </x:c>
      <x:c r="G80" s="14" t="str">
        <x:v>Training Center A</x:v>
      </x:c>
      <x:c r="H80" s="28">
        <x:v>45181</x:v>
      </x:c>
      <x:c r="I80" s="14">
        <x:v>2023</x:v>
      </x:c>
      <x:c r="J80" s="14" t="s">
        <x:v>127</x:v>
      </x:c>
      <x:c r="K80" s="14">
        <x:v>32</x:v>
      </x:c>
      <x:c r="L80" s="29" t="s">
        <x:v>128</x:v>
      </x:c>
      <x:c r="M80" s="28">
        <x:v>45181</x:v>
      </x:c>
      <x:c r="N80" s="14"/>
      <x:c r="O80" s="14">
        <x:v>1070</x:v>
      </x:c>
      <x:c r="P80" s="14" t="s">
        <x:v>122</x:v>
      </x:c>
      <x:c r="Q80" s="14" t="s">
        <x:v>25</x:v>
      </x:c>
      <x:c r="R80" s="14"/>
      <x:c r="S80" s="14" t="s">
        <x:v>108</x:v>
      </x:c>
      <x:c r="T80" s="14" t="str">
        <x:v>Region C</x:v>
      </x:c>
      <x:c r="U80" s="28">
        <x:v>45186</x:v>
      </x:c>
      <x:c r="V80" s="30">
        <x:v>5</x:v>
      </x:c>
      <x:c r="W80" s="14" t="s">
        <x:v>109</x:v>
      </x:c>
      <x:c r="X80" s="14" t="s">
        <x:v>106</x:v>
      </x:c>
      <x:c r="Y80" s="32" t="str">
        <x:v>TRN-0079|20230912</x:v>
      </x:c>
      <x:c r="Z80" s="32" t="str" cm="1">
        <x:f t="array" ref="Z8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80" s="33" t="n">
        <x:f>--OR(WorkforceData[[#This Row],[Status]]="Active",WorkforceData[[#This Row],[Promoted]]="Yes",WorkforceData[[#This Row],[Total Days Worked]]&gt;=121)</x:f>
        <x:v>1</x:v>
      </x:c>
      <x:c r="AB80" s="33" t="n">
        <x:f>IF(AND(Q80="Terminated",R80="",O80=0),1,0)</x:f>
        <x:v>0</x:v>
      </x:c>
      <x:c r="AC80" s="33" t="n">
        <x:f>--OR(WorkforceData[[#This Row],[Status]]="Resigned",WorkforceData[[#This Row],[Status After Training]]="Withdrew")</x:f>
        <x:v>0</x:v>
      </x:c>
      <x:c r="AD80" s="34" t="n">
        <x:f>EOMONTH(WorkforceData[[#This Row],[Training Date]],0)</x:f>
        <x:v>45199</x:v>
      </x:c>
      <x:c r="AE80" s="32" t="str">
        <x:f>IF(M80&lt;H80,"Existing Employee",IF(U80="","No Assignment",IF(V80=0,"0 Days",IF(V80&lt;=7,"1-7 Days",IF(V80&lt;=14,"8-14 Days",IF(V80&lt;=21,"15-21 Days","21+ Days"))))))</x:f>
        <x:v>1-7 Days</x:v>
      </x:c>
      <x:c r="AF8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0" s="33" t="n">
        <x:f>--(WorkforceData[[#This Row],[Total Days Worked]]&gt;=121)</x:f>
        <x:v>1</x:v>
      </x:c>
    </x:row>
    <x:row r="81">
      <x:c r="A81" s="236" t="str">
        <x:v>TRN-0080</x:v>
      </x:c>
      <x:c r="B81" s="243"/>
      <x:c r="C81" s="243"/>
      <x:c r="D81" s="243"/>
      <x:c r="E81" s="243"/>
      <x:c r="F81" s="14" t="str">
        <x:v>Recruiter F</x:v>
      </x:c>
      <x:c r="G81" s="14" t="str">
        <x:v>Training Center A</x:v>
      </x:c>
      <x:c r="H81" s="28">
        <x:v>45181</x:v>
      </x:c>
      <x:c r="I81" s="14">
        <x:v>2023</x:v>
      </x:c>
      <x:c r="J81" s="14" t="s">
        <x:v>127</x:v>
      </x:c>
      <x:c r="K81" s="14">
        <x:v>32</x:v>
      </x:c>
      <x:c r="L81" s="29" t="s">
        <x:v>128</x:v>
      </x:c>
      <x:c r="M81" s="28">
        <x:v>45181</x:v>
      </x:c>
      <x:c r="N81" s="14"/>
      <x:c r="O81" s="14">
        <x:v>1070</x:v>
      </x:c>
      <x:c r="P81" s="14" t="s">
        <x:v>122</x:v>
      </x:c>
      <x:c r="Q81" s="14" t="s">
        <x:v>38</x:v>
      </x:c>
      <x:c r="R81" s="14"/>
      <x:c r="S81" s="14" t="s">
        <x:v>108</x:v>
      </x:c>
      <x:c r="T81" s="14" t="str">
        <x:v>Region E</x:v>
      </x:c>
      <x:c r="U81" s="28">
        <x:v>45182</x:v>
      </x:c>
      <x:c r="V81" s="30">
        <x:v>1</x:v>
      </x:c>
      <x:c r="W81" s="14" t="s">
        <x:v>109</x:v>
      </x:c>
      <x:c r="X81" s="14" t="s">
        <x:v>106</x:v>
      </x:c>
      <x:c r="Y81" s="32" t="str">
        <x:v>TRN-0080|20230912</x:v>
      </x:c>
      <x:c r="Z81" s="32" t="str" cm="1">
        <x:f t="array" ref="Z8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81" s="33" t="n">
        <x:f>--OR(WorkforceData[[#This Row],[Status]]="Active",WorkforceData[[#This Row],[Promoted]]="Yes",WorkforceData[[#This Row],[Total Days Worked]]&gt;=121)</x:f>
        <x:v>1</x:v>
      </x:c>
      <x:c r="AB81" s="33" t="n">
        <x:f>IF(AND(Q81="Terminated",R81="",O81=0),1,0)</x:f>
        <x:v>0</x:v>
      </x:c>
      <x:c r="AC81" s="33" t="n">
        <x:f>--OR(WorkforceData[[#This Row],[Status]]="Resigned",WorkforceData[[#This Row],[Status After Training]]="Withdrew")</x:f>
        <x:v>0</x:v>
      </x:c>
      <x:c r="AD81" s="34" t="n">
        <x:f>EOMONTH(WorkforceData[[#This Row],[Training Date]],0)</x:f>
        <x:v>45199</x:v>
      </x:c>
      <x:c r="AE81" s="32" t="str">
        <x:f>IF(M81&lt;H81,"Existing Employee",IF(U81="","No Assignment",IF(V81=0,"0 Days",IF(V81&lt;=7,"1-7 Days",IF(V81&lt;=14,"8-14 Days",IF(V81&lt;=21,"15-21 Days","21+ Days"))))))</x:f>
        <x:v>1-7 Days</x:v>
      </x:c>
      <x:c r="AF8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1" s="33" t="n">
        <x:f>--(WorkforceData[[#This Row],[Total Days Worked]]&gt;=121)</x:f>
        <x:v>1</x:v>
      </x:c>
    </x:row>
    <x:row r="82">
      <x:c r="A82" s="236" t="str">
        <x:v>TRN-0081</x:v>
      </x:c>
      <x:c r="B82" s="243"/>
      <x:c r="C82" s="243"/>
      <x:c r="D82" s="243"/>
      <x:c r="E82" s="243"/>
      <x:c r="F82" s="14" t="str">
        <x:v>Recruiter B</x:v>
      </x:c>
      <x:c r="G82" s="14" t="str">
        <x:v>Training Center A</x:v>
      </x:c>
      <x:c r="H82" s="28">
        <x:v>45181</x:v>
      </x:c>
      <x:c r="I82" s="14">
        <x:v>2023</x:v>
      </x:c>
      <x:c r="J82" s="14" t="s">
        <x:v>127</x:v>
      </x:c>
      <x:c r="K82" s="14">
        <x:v>32</x:v>
      </x:c>
      <x:c r="L82" s="29" t="s">
        <x:v>128</x:v>
      </x:c>
      <x:c r="M82" s="28">
        <x:v>45176</x:v>
      </x:c>
      <x:c r="N82" s="28">
        <x:v>45672</x:v>
      </x:c>
      <x:c r="O82" s="14">
        <x:v>496</x:v>
      </x:c>
      <x:c r="P82" s="14" t="s">
        <x:v>120</x:v>
      </x:c>
      <x:c r="Q82" s="14" t="s">
        <x:v>103</x:v>
      </x:c>
      <x:c r="R82" s="14" t="s">
        <x:v>111</x:v>
      </x:c>
      <x:c r="S82" s="14" t="s">
        <x:v>105</x:v>
      </x:c>
      <x:c r="T82" s="14"/>
      <x:c r="U82" s="28"/>
      <x:c r="V82" s="30"/>
      <x:c r="W82" s="14"/>
      <x:c r="X82" s="14" t="s">
        <x:v>71</x:v>
      </x:c>
      <x:c r="Y82" s="32" t="str">
        <x:v>TRN-0081|20230912</x:v>
      </x:c>
      <x:c r="Z82" s="32" t="str" cm="1">
        <x:f t="array" ref="Z8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Complete</x:v>
      </x:c>
      <x:c r="AA82" s="33" t="n">
        <x:f>--OR(WorkforceData[[#This Row],[Status]]="Active",WorkforceData[[#This Row],[Promoted]]="Yes",WorkforceData[[#This Row],[Total Days Worked]]&gt;=121)</x:f>
        <x:v>1</x:v>
      </x:c>
      <x:c r="AB82" s="33" t="n">
        <x:f>IF(AND(Q82="Terminated",R82="",O82=0),1,0)</x:f>
        <x:v>0</x:v>
      </x:c>
      <x:c r="AC82" s="33" t="n">
        <x:f>--OR(WorkforceData[[#This Row],[Status]]="Resigned",WorkforceData[[#This Row],[Status After Training]]="Withdrew")</x:f>
        <x:v>1</x:v>
      </x:c>
      <x:c r="AD82" s="34" t="n">
        <x:f>EOMONTH(WorkforceData[[#This Row],[Training Date]],0)</x:f>
        <x:v>45199</x:v>
      </x:c>
      <x:c r="AE82" s="32" t="str">
        <x:f>IF(M82&lt;H82,"Existing Employee",IF(U82="","No Assignment",IF(V82=0,"0 Days",IF(V82&lt;=7,"1-7 Days",IF(V82&lt;=14,"8-14 Days",IF(V82&lt;=21,"15-21 Days","21+ Days"))))))</x:f>
        <x:v>Existing Employee</x:v>
      </x:c>
      <x:c r="AF8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2" s="33" t="n">
        <x:f>--(WorkforceData[[#This Row],[Total Days Worked]]&gt;=121)</x:f>
        <x:v>1</x:v>
      </x:c>
    </x:row>
    <x:row r="83">
      <x:c r="A83" s="236" t="str">
        <x:v>TRN-0082</x:v>
      </x:c>
      <x:c r="B83" s="243"/>
      <x:c r="C83" s="243"/>
      <x:c r="D83" s="243"/>
      <x:c r="E83" s="243"/>
      <x:c r="F83" s="14" t="str">
        <x:v>Recruiter F</x:v>
      </x:c>
      <x:c r="G83" s="14" t="str">
        <x:v>Training Center A</x:v>
      </x:c>
      <x:c r="H83" s="28">
        <x:v>45181</x:v>
      </x:c>
      <x:c r="I83" s="14">
        <x:v>2023</x:v>
      </x:c>
      <x:c r="J83" s="14" t="s">
        <x:v>127</x:v>
      </x:c>
      <x:c r="K83" s="14">
        <x:v>32</x:v>
      </x:c>
      <x:c r="L83" s="29" t="s">
        <x:v>128</x:v>
      </x:c>
      <x:c r="M83" s="28">
        <x:v>45181</x:v>
      </x:c>
      <x:c r="N83" s="14"/>
      <x:c r="O83" s="14">
        <x:v>1070</x:v>
      </x:c>
      <x:c r="P83" s="14" t="s">
        <x:v>122</x:v>
      </x:c>
      <x:c r="Q83" s="14" t="s">
        <x:v>25</x:v>
      </x:c>
      <x:c r="R83" s="14"/>
      <x:c r="S83" s="14" t="s">
        <x:v>108</x:v>
      </x:c>
      <x:c r="T83" s="14" t="str">
        <x:v>Region A</x:v>
      </x:c>
      <x:c r="U83" s="28">
        <x:v>45188</x:v>
      </x:c>
      <x:c r="V83" s="30">
        <x:v>7</x:v>
      </x:c>
      <x:c r="W83" s="14" t="s">
        <x:v>109</x:v>
      </x:c>
      <x:c r="X83" s="14" t="s">
        <x:v>106</x:v>
      </x:c>
      <x:c r="Y83" s="32" t="str">
        <x:v>TRN-0082|20230912</x:v>
      </x:c>
      <x:c r="Z83" s="32" t="str" cm="1">
        <x:f t="array" ref="Z8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83" s="33" t="n">
        <x:f>--OR(WorkforceData[[#This Row],[Status]]="Active",WorkforceData[[#This Row],[Promoted]]="Yes",WorkforceData[[#This Row],[Total Days Worked]]&gt;=121)</x:f>
        <x:v>1</x:v>
      </x:c>
      <x:c r="AB83" s="33" t="n">
        <x:f>IF(AND(Q83="Terminated",R83="",O83=0),1,0)</x:f>
        <x:v>0</x:v>
      </x:c>
      <x:c r="AC83" s="33" t="n">
        <x:f>--OR(WorkforceData[[#This Row],[Status]]="Resigned",WorkforceData[[#This Row],[Status After Training]]="Withdrew")</x:f>
        <x:v>0</x:v>
      </x:c>
      <x:c r="AD83" s="34" t="n">
        <x:f>EOMONTH(WorkforceData[[#This Row],[Training Date]],0)</x:f>
        <x:v>45199</x:v>
      </x:c>
      <x:c r="AE83" s="32" t="str">
        <x:f>IF(M83&lt;H83,"Existing Employee",IF(U83="","No Assignment",IF(V83=0,"0 Days",IF(V83&lt;=7,"1-7 Days",IF(V83&lt;=14,"8-14 Days",IF(V83&lt;=21,"15-21 Days","21+ Days"))))))</x:f>
        <x:v>1-7 Days</x:v>
      </x:c>
      <x:c r="AF8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3" s="33" t="n">
        <x:f>--(WorkforceData[[#This Row],[Total Days Worked]]&gt;=121)</x:f>
        <x:v>1</x:v>
      </x:c>
    </x:row>
    <x:row r="84">
      <x:c r="A84" s="236" t="str">
        <x:v>TRN-0083</x:v>
      </x:c>
      <x:c r="B84" s="243"/>
      <x:c r="C84" s="243"/>
      <x:c r="D84" s="243"/>
      <x:c r="E84" s="243"/>
      <x:c r="F84" s="14" t="str">
        <x:v>Recruiter G</x:v>
      </x:c>
      <x:c r="G84" s="14" t="str">
        <x:v>Training Center A</x:v>
      </x:c>
      <x:c r="H84" s="28">
        <x:v>45181</x:v>
      </x:c>
      <x:c r="I84" s="14">
        <x:v>2023</x:v>
      </x:c>
      <x:c r="J84" s="14" t="s">
        <x:v>127</x:v>
      </x:c>
      <x:c r="K84" s="14">
        <x:v>32</x:v>
      </x:c>
      <x:c r="L84" s="29" t="s">
        <x:v>128</x:v>
      </x:c>
      <x:c r="M84" s="28">
        <x:v>45181</x:v>
      </x:c>
      <x:c r="N84" s="28">
        <x:v>46251</x:v>
      </x:c>
      <x:c r="O84" s="14">
        <x:v>1070</x:v>
      </x:c>
      <x:c r="P84" s="14" t="s">
        <x:v>122</x:v>
      </x:c>
      <x:c r="Q84" s="14" t="s">
        <x:v>103</x:v>
      </x:c>
      <x:c r="R84" s="14" t="s">
        <x:v>104</x:v>
      </x:c>
      <x:c r="S84" s="14" t="s">
        <x:v>108</x:v>
      </x:c>
      <x:c r="T84" s="14" t="str">
        <x:v>Region A</x:v>
      </x:c>
      <x:c r="U84" s="28">
        <x:v>45191</x:v>
      </x:c>
      <x:c r="V84" s="30">
        <x:v>10</x:v>
      </x:c>
      <x:c r="W84" s="14" t="s">
        <x:v>45</x:v>
      </x:c>
      <x:c r="X84" s="14" t="s">
        <x:v>106</x:v>
      </x:c>
      <x:c r="Y84" s="32" t="str">
        <x:v>TRN-0083|20230912</x:v>
      </x:c>
      <x:c r="Z84" s="32" t="str" cm="1">
        <x:f t="array" ref="Z8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84" s="33" t="n">
        <x:f>--OR(WorkforceData[[#This Row],[Status]]="Active",WorkforceData[[#This Row],[Promoted]]="Yes",WorkforceData[[#This Row],[Total Days Worked]]&gt;=121)</x:f>
        <x:v>1</x:v>
      </x:c>
      <x:c r="AB84" s="33" t="n">
        <x:f>IF(AND(Q84="Terminated",R84="",O84=0),1,0)</x:f>
        <x:v>0</x:v>
      </x:c>
      <x:c r="AC84" s="33" t="n">
        <x:f>--OR(WorkforceData[[#This Row],[Status]]="Resigned",WorkforceData[[#This Row],[Status After Training]]="Withdrew")</x:f>
        <x:v>1</x:v>
      </x:c>
      <x:c r="AD84" s="34" t="n">
        <x:f>EOMONTH(WorkforceData[[#This Row],[Training Date]],0)</x:f>
        <x:v>45199</x:v>
      </x:c>
      <x:c r="AE84" s="32" t="str">
        <x:f>IF(M84&lt;H84,"Existing Employee",IF(U84="","No Assignment",IF(V84=0,"0 Days",IF(V84&lt;=7,"1-7 Days",IF(V84&lt;=14,"8-14 Days",IF(V84&lt;=21,"15-21 Days","21+ Days"))))))</x:f>
        <x:v>8-14 Days</x:v>
      </x:c>
      <x:c r="AF8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4" s="33" t="n">
        <x:f>--(WorkforceData[[#This Row],[Total Days Worked]]&gt;=121)</x:f>
        <x:v>1</x:v>
      </x:c>
    </x:row>
    <x:row r="85">
      <x:c r="A85" s="236" t="str">
        <x:v>TRN-0084</x:v>
      </x:c>
      <x:c r="B85" s="243"/>
      <x:c r="C85" s="243"/>
      <x:c r="D85" s="243"/>
      <x:c r="E85" s="243"/>
      <x:c r="F85" s="14" t="str">
        <x:v>Recruiter C</x:v>
      </x:c>
      <x:c r="G85" s="14" t="str">
        <x:v>Training Center A</x:v>
      </x:c>
      <x:c r="H85" s="28">
        <x:v>45181</x:v>
      </x:c>
      <x:c r="I85" s="14">
        <x:v>2023</x:v>
      </x:c>
      <x:c r="J85" s="14" t="s">
        <x:v>127</x:v>
      </x:c>
      <x:c r="K85" s="14">
        <x:v>32</x:v>
      </x:c>
      <x:c r="L85" s="29" t="s">
        <x:v>128</x:v>
      </x:c>
      <x:c r="M85" s="28">
        <x:v>45176</x:v>
      </x:c>
      <x:c r="N85" s="28">
        <x:v>45534</x:v>
      </x:c>
      <x:c r="O85" s="14">
        <x:v>358</x:v>
      </x:c>
      <x:c r="P85" s="14" t="s">
        <x:v>107</x:v>
      </x:c>
      <x:c r="Q85" s="14" t="s">
        <x:v>33</x:v>
      </x:c>
      <x:c r="R85" s="14" t="s">
        <x:v>116</x:v>
      </x:c>
      <x:c r="S85" s="14" t="s">
        <x:v>108</x:v>
      </x:c>
      <x:c r="T85" s="14" t="str">
        <x:v>Region B</x:v>
      </x:c>
      <x:c r="U85" s="28">
        <x:v>45188</x:v>
      </x:c>
      <x:c r="V85" s="30">
        <x:v>7</x:v>
      </x:c>
      <x:c r="W85" s="14" t="s">
        <x:v>109</x:v>
      </x:c>
      <x:c r="X85" s="14" t="s">
        <x:v>106</x:v>
      </x:c>
      <x:c r="Y85" s="32" t="str">
        <x:v>TRN-0084|20230912</x:v>
      </x:c>
      <x:c r="Z85" s="32" t="str" cm="1">
        <x:f t="array" ref="Z8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85" s="33" t="n">
        <x:f>--OR(WorkforceData[[#This Row],[Status]]="Active",WorkforceData[[#This Row],[Promoted]]="Yes",WorkforceData[[#This Row],[Total Days Worked]]&gt;=121)</x:f>
        <x:v>1</x:v>
      </x:c>
      <x:c r="AB85" s="33" t="n">
        <x:f>IF(AND(Q85="Terminated",R85="",O85=0),1,0)</x:f>
        <x:v>0</x:v>
      </x:c>
      <x:c r="AC85" s="33" t="n">
        <x:f>--OR(WorkforceData[[#This Row],[Status]]="Resigned",WorkforceData[[#This Row],[Status After Training]]="Withdrew")</x:f>
        <x:v>0</x:v>
      </x:c>
      <x:c r="AD85" s="34" t="n">
        <x:f>EOMONTH(WorkforceData[[#This Row],[Training Date]],0)</x:f>
        <x:v>45199</x:v>
      </x:c>
      <x:c r="AE85" s="32" t="str">
        <x:f>IF(M85&lt;H85,"Existing Employee",IF(U85="","No Assignment",IF(V85=0,"0 Days",IF(V85&lt;=7,"1-7 Days",IF(V85&lt;=14,"8-14 Days",IF(V85&lt;=21,"15-21 Days","21+ Days"))))))</x:f>
        <x:v>Existing Employee</x:v>
      </x:c>
      <x:c r="AF8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5" s="33" t="n">
        <x:f>--(WorkforceData[[#This Row],[Total Days Worked]]&gt;=121)</x:f>
        <x:v>1</x:v>
      </x:c>
    </x:row>
    <x:row r="86">
      <x:c r="A86" s="236" t="str">
        <x:v>TRN-0085</x:v>
      </x:c>
      <x:c r="B86" s="243"/>
      <x:c r="C86" s="243"/>
      <x:c r="D86" s="243"/>
      <x:c r="E86" s="243"/>
      <x:c r="F86" s="14" t="str">
        <x:v>Recruiter F</x:v>
      </x:c>
      <x:c r="G86" s="14" t="str">
        <x:v>Training Center A</x:v>
      </x:c>
      <x:c r="H86" s="28">
        <x:v>45181</x:v>
      </x:c>
      <x:c r="I86" s="14">
        <x:v>2023</x:v>
      </x:c>
      <x:c r="J86" s="14" t="s">
        <x:v>127</x:v>
      </x:c>
      <x:c r="K86" s="14">
        <x:v>32</x:v>
      </x:c>
      <x:c r="L86" s="29" t="s">
        <x:v>128</x:v>
      </x:c>
      <x:c r="M86" s="28">
        <x:v>45181</x:v>
      </x:c>
      <x:c r="N86" s="14"/>
      <x:c r="O86" s="14">
        <x:v>1070</x:v>
      </x:c>
      <x:c r="P86" s="14" t="s">
        <x:v>122</x:v>
      </x:c>
      <x:c r="Q86" s="14" t="s">
        <x:v>38</x:v>
      </x:c>
      <x:c r="R86" s="14"/>
      <x:c r="S86" s="14" t="s">
        <x:v>108</x:v>
      </x:c>
      <x:c r="T86" s="14" t="str">
        <x:v>Region A</x:v>
      </x:c>
      <x:c r="U86" s="28">
        <x:v>45189</x:v>
      </x:c>
      <x:c r="V86" s="30">
        <x:v>8</x:v>
      </x:c>
      <x:c r="W86" s="14" t="s">
        <x:v>45</x:v>
      </x:c>
      <x:c r="X86" s="14" t="s">
        <x:v>106</x:v>
      </x:c>
      <x:c r="Y86" s="32" t="str">
        <x:v>TRN-0085|20230912</x:v>
      </x:c>
      <x:c r="Z86" s="32" t="str" cm="1">
        <x:f t="array" ref="Z8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86" s="33" t="n">
        <x:f>--OR(WorkforceData[[#This Row],[Status]]="Active",WorkforceData[[#This Row],[Promoted]]="Yes",WorkforceData[[#This Row],[Total Days Worked]]&gt;=121)</x:f>
        <x:v>1</x:v>
      </x:c>
      <x:c r="AB86" s="33" t="n">
        <x:f>IF(AND(Q86="Terminated",R86="",O86=0),1,0)</x:f>
        <x:v>0</x:v>
      </x:c>
      <x:c r="AC86" s="33" t="n">
        <x:f>--OR(WorkforceData[[#This Row],[Status]]="Resigned",WorkforceData[[#This Row],[Status After Training]]="Withdrew")</x:f>
        <x:v>0</x:v>
      </x:c>
      <x:c r="AD86" s="34" t="n">
        <x:f>EOMONTH(WorkforceData[[#This Row],[Training Date]],0)</x:f>
        <x:v>45199</x:v>
      </x:c>
      <x:c r="AE86" s="32" t="str">
        <x:f>IF(M86&lt;H86,"Existing Employee",IF(U86="","No Assignment",IF(V86=0,"0 Days",IF(V86&lt;=7,"1-7 Days",IF(V86&lt;=14,"8-14 Days",IF(V86&lt;=21,"15-21 Days","21+ Days"))))))</x:f>
        <x:v>8-14 Days</x:v>
      </x:c>
      <x:c r="AF8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6" s="33" t="n">
        <x:f>--(WorkforceData[[#This Row],[Total Days Worked]]&gt;=121)</x:f>
        <x:v>1</x:v>
      </x:c>
    </x:row>
    <x:row r="87">
      <x:c r="A87" s="236" t="str">
        <x:v>TRN-0086</x:v>
      </x:c>
      <x:c r="B87" s="243"/>
      <x:c r="C87" s="243"/>
      <x:c r="D87" s="243"/>
      <x:c r="E87" s="243"/>
      <x:c r="F87" s="14" t="str">
        <x:v>Recruiter F</x:v>
      </x:c>
      <x:c r="G87" s="14" t="str">
        <x:v>Training Center A</x:v>
      </x:c>
      <x:c r="H87" s="28">
        <x:v>45181</x:v>
      </x:c>
      <x:c r="I87" s="14">
        <x:v>2023</x:v>
      </x:c>
      <x:c r="J87" s="14" t="s">
        <x:v>127</x:v>
      </x:c>
      <x:c r="K87" s="14">
        <x:v>32</x:v>
      </x:c>
      <x:c r="L87" s="29" t="s">
        <x:v>128</x:v>
      </x:c>
      <x:c r="M87" s="28">
        <x:v>45180</x:v>
      </x:c>
      <x:c r="N87" s="14"/>
      <x:c r="O87" s="14">
        <x:v>1071</x:v>
      </x:c>
      <x:c r="P87" s="14" t="s">
        <x:v>122</x:v>
      </x:c>
      <x:c r="Q87" s="14" t="s">
        <x:v>25</x:v>
      </x:c>
      <x:c r="R87" s="14"/>
      <x:c r="S87" s="14" t="s">
        <x:v>108</x:v>
      </x:c>
      <x:c r="T87" s="14" t="str">
        <x:v>Region D</x:v>
      </x:c>
      <x:c r="U87" s="28">
        <x:v>45189</x:v>
      </x:c>
      <x:c r="V87" s="30">
        <x:v>8</x:v>
      </x:c>
      <x:c r="W87" s="14" t="s">
        <x:v>45</x:v>
      </x:c>
      <x:c r="X87" s="14" t="s">
        <x:v>106</x:v>
      </x:c>
      <x:c r="Y87" s="32" t="str">
        <x:v>TRN-0086|20230912</x:v>
      </x:c>
      <x:c r="Z87" s="32" t="str" cm="1">
        <x:f t="array" ref="Z8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87" s="33" t="n">
        <x:f>--OR(WorkforceData[[#This Row],[Status]]="Active",WorkforceData[[#This Row],[Promoted]]="Yes",WorkforceData[[#This Row],[Total Days Worked]]&gt;=121)</x:f>
        <x:v>1</x:v>
      </x:c>
      <x:c r="AB87" s="33" t="n">
        <x:f>IF(AND(Q87="Terminated",R87="",O87=0),1,0)</x:f>
        <x:v>0</x:v>
      </x:c>
      <x:c r="AC87" s="33" t="n">
        <x:f>--OR(WorkforceData[[#This Row],[Status]]="Resigned",WorkforceData[[#This Row],[Status After Training]]="Withdrew")</x:f>
        <x:v>0</x:v>
      </x:c>
      <x:c r="AD87" s="34" t="n">
        <x:f>EOMONTH(WorkforceData[[#This Row],[Training Date]],0)</x:f>
        <x:v>45199</x:v>
      </x:c>
      <x:c r="AE87" s="32" t="str">
        <x:f>IF(M87&lt;H87,"Existing Employee",IF(U87="","No Assignment",IF(V87=0,"0 Days",IF(V87&lt;=7,"1-7 Days",IF(V87&lt;=14,"8-14 Days",IF(V87&lt;=21,"15-21 Days","21+ Days"))))))</x:f>
        <x:v>Existing Employee</x:v>
      </x:c>
      <x:c r="AF8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7" s="33" t="n">
        <x:f>--(WorkforceData[[#This Row],[Total Days Worked]]&gt;=121)</x:f>
        <x:v>1</x:v>
      </x:c>
    </x:row>
    <x:row r="88">
      <x:c r="A88" s="236" t="str">
        <x:v>TRN-0087</x:v>
      </x:c>
      <x:c r="B88" s="243"/>
      <x:c r="C88" s="243"/>
      <x:c r="D88" s="243"/>
      <x:c r="E88" s="243"/>
      <x:c r="F88" s="14" t="str">
        <x:v>Recruiter E</x:v>
      </x:c>
      <x:c r="G88" s="14" t="str">
        <x:v>Training Center A</x:v>
      </x:c>
      <x:c r="H88" s="28">
        <x:v>45181</x:v>
      </x:c>
      <x:c r="I88" s="14">
        <x:v>2023</x:v>
      </x:c>
      <x:c r="J88" s="14" t="s">
        <x:v>127</x:v>
      </x:c>
      <x:c r="K88" s="14">
        <x:v>32</x:v>
      </x:c>
      <x:c r="L88" s="29" t="s">
        <x:v>128</x:v>
      </x:c>
      <x:c r="M88" s="28">
        <x:v>45181</x:v>
      </x:c>
      <x:c r="N88" s="14"/>
      <x:c r="O88" s="14">
        <x:v>1070</x:v>
      </x:c>
      <x:c r="P88" s="14" t="s">
        <x:v>122</x:v>
      </x:c>
      <x:c r="Q88" s="14" t="s">
        <x:v>25</x:v>
      </x:c>
      <x:c r="R88" s="14"/>
      <x:c r="S88" s="14" t="s">
        <x:v>105</x:v>
      </x:c>
      <x:c r="T88" s="14" t="str">
        <x:v>Region E</x:v>
      </x:c>
      <x:c r="U88" s="28">
        <x:v>45284</x:v>
      </x:c>
      <x:c r="V88" s="30">
        <x:v>103</x:v>
      </x:c>
      <x:c r="W88" s="14" t="s">
        <x:v>114</x:v>
      </x:c>
      <x:c r="X88" s="14" t="s">
        <x:v>115</x:v>
      </x:c>
      <x:c r="Y88" s="32" t="str">
        <x:v>TRN-0087|20230912</x:v>
      </x:c>
      <x:c r="Z88" s="32" t="str" cm="1">
        <x:f t="array" ref="Z8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88" s="33" t="n">
        <x:f>--OR(WorkforceData[[#This Row],[Status]]="Active",WorkforceData[[#This Row],[Promoted]]="Yes",WorkforceData[[#This Row],[Total Days Worked]]&gt;=121)</x:f>
        <x:v>1</x:v>
      </x:c>
      <x:c r="AB88" s="33" t="n">
        <x:f>IF(AND(Q88="Terminated",R88="",O88=0),1,0)</x:f>
        <x:v>0</x:v>
      </x:c>
      <x:c r="AC88" s="33" t="n">
        <x:f>--OR(WorkforceData[[#This Row],[Status]]="Resigned",WorkforceData[[#This Row],[Status After Training]]="Withdrew")</x:f>
        <x:v>1</x:v>
      </x:c>
      <x:c r="AD88" s="34" t="n">
        <x:f>EOMONTH(WorkforceData[[#This Row],[Training Date]],0)</x:f>
        <x:v>45199</x:v>
      </x:c>
      <x:c r="AE88" s="32" t="str">
        <x:f>IF(M88&lt;H88,"Existing Employee",IF(U88="","No Assignment",IF(V88=0,"0 Days",IF(V88&lt;=7,"1-7 Days",IF(V88&lt;=14,"8-14 Days",IF(V88&lt;=21,"15-21 Days","21+ Days"))))))</x:f>
        <x:v>21+ Days</x:v>
      </x:c>
      <x:c r="AF8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8" s="33" t="n">
        <x:f>--(WorkforceData[[#This Row],[Total Days Worked]]&gt;=121)</x:f>
        <x:v>1</x:v>
      </x:c>
    </x:row>
    <x:row r="89">
      <x:c r="A89" s="236" t="str">
        <x:v>TRN-0088</x:v>
      </x:c>
      <x:c r="B89" s="243"/>
      <x:c r="C89" s="243"/>
      <x:c r="D89" s="243"/>
      <x:c r="E89" s="243"/>
      <x:c r="F89" s="14" t="str">
        <x:v>Recruiter A</x:v>
      </x:c>
      <x:c r="G89" s="14" t="str">
        <x:v>Training Center A</x:v>
      </x:c>
      <x:c r="H89" s="28">
        <x:v>45181</x:v>
      </x:c>
      <x:c r="I89" s="14">
        <x:v>2023</x:v>
      </x:c>
      <x:c r="J89" s="14" t="s">
        <x:v>127</x:v>
      </x:c>
      <x:c r="K89" s="14">
        <x:v>32</x:v>
      </x:c>
      <x:c r="L89" s="29" t="s">
        <x:v>128</x:v>
      </x:c>
      <x:c r="M89" s="28">
        <x:v>45181</x:v>
      </x:c>
      <x:c r="N89" s="14"/>
      <x:c r="O89" s="14">
        <x:v>1070</x:v>
      </x:c>
      <x:c r="P89" s="14" t="s">
        <x:v>122</x:v>
      </x:c>
      <x:c r="Q89" s="14" t="s">
        <x:v>25</x:v>
      </x:c>
      <x:c r="R89" s="14"/>
      <x:c r="S89" s="14" t="s">
        <x:v>108</x:v>
      </x:c>
      <x:c r="T89" s="14" t="str">
        <x:v>Region C</x:v>
      </x:c>
      <x:c r="U89" s="28">
        <x:v>45183</x:v>
      </x:c>
      <x:c r="V89" s="30">
        <x:v>2</x:v>
      </x:c>
      <x:c r="W89" s="14" t="s">
        <x:v>109</x:v>
      </x:c>
      <x:c r="X89" s="14" t="s">
        <x:v>106</x:v>
      </x:c>
      <x:c r="Y89" s="32" t="str">
        <x:v>TRN-0088|20230912</x:v>
      </x:c>
      <x:c r="Z89" s="32" t="str" cm="1">
        <x:f t="array" ref="Z8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89" s="33" t="n">
        <x:f>--OR(WorkforceData[[#This Row],[Status]]="Active",WorkforceData[[#This Row],[Promoted]]="Yes",WorkforceData[[#This Row],[Total Days Worked]]&gt;=121)</x:f>
        <x:v>1</x:v>
      </x:c>
      <x:c r="AB89" s="33" t="n">
        <x:f>IF(AND(Q89="Terminated",R89="",O89=0),1,0)</x:f>
        <x:v>0</x:v>
      </x:c>
      <x:c r="AC89" s="33" t="n">
        <x:f>--OR(WorkforceData[[#This Row],[Status]]="Resigned",WorkforceData[[#This Row],[Status After Training]]="Withdrew")</x:f>
        <x:v>0</x:v>
      </x:c>
      <x:c r="AD89" s="34" t="n">
        <x:f>EOMONTH(WorkforceData[[#This Row],[Training Date]],0)</x:f>
        <x:v>45199</x:v>
      </x:c>
      <x:c r="AE89" s="32" t="str">
        <x:f>IF(M89&lt;H89,"Existing Employee",IF(U89="","No Assignment",IF(V89=0,"0 Days",IF(V89&lt;=7,"1-7 Days",IF(V89&lt;=14,"8-14 Days",IF(V89&lt;=21,"15-21 Days","21+ Days"))))))</x:f>
        <x:v>1-7 Days</x:v>
      </x:c>
      <x:c r="AF8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9" s="33" t="n">
        <x:f>--(WorkforceData[[#This Row],[Total Days Worked]]&gt;=121)</x:f>
        <x:v>1</x:v>
      </x:c>
    </x:row>
    <x:row r="90">
      <x:c r="A90" s="236" t="str">
        <x:v>TRN-0089</x:v>
      </x:c>
      <x:c r="B90" s="243"/>
      <x:c r="C90" s="243"/>
      <x:c r="D90" s="243"/>
      <x:c r="E90" s="243"/>
      <x:c r="F90" s="14" t="str">
        <x:v>Recruiter H</x:v>
      </x:c>
      <x:c r="G90" s="14" t="str">
        <x:v>Training Center A</x:v>
      </x:c>
      <x:c r="H90" s="28">
        <x:v>45181</x:v>
      </x:c>
      <x:c r="I90" s="14">
        <x:v>2023</x:v>
      </x:c>
      <x:c r="J90" s="14" t="s">
        <x:v>127</x:v>
      </x:c>
      <x:c r="K90" s="14">
        <x:v>32</x:v>
      </x:c>
      <x:c r="L90" s="29" t="s">
        <x:v>128</x:v>
      </x:c>
      <x:c r="M90" s="28">
        <x:v>45171</x:v>
      </x:c>
      <x:c r="N90" s="28">
        <x:v>45390</x:v>
      </x:c>
      <x:c r="O90" s="14">
        <x:v>219</x:v>
      </x:c>
      <x:c r="P90" s="14" t="s">
        <x:v>107</x:v>
      </x:c>
      <x:c r="Q90" s="14" t="s">
        <x:v>103</x:v>
      </x:c>
      <x:c r="R90" s="14" t="s">
        <x:v>111</x:v>
      </x:c>
      <x:c r="S90" s="14" t="s">
        <x:v>108</x:v>
      </x:c>
      <x:c r="T90" s="14" t="str">
        <x:v>Region C</x:v>
      </x:c>
      <x:c r="U90" s="28">
        <x:v>45226</x:v>
      </x:c>
      <x:c r="V90" s="30">
        <x:v>45</x:v>
      </x:c>
      <x:c r="W90" s="14" t="s">
        <x:v>63</x:v>
      </x:c>
      <x:c r="X90" s="14" t="s">
        <x:v>117</x:v>
      </x:c>
      <x:c r="Y90" s="32" t="str">
        <x:v>TRN-0089|20230912</x:v>
      </x:c>
      <x:c r="Z90" s="32" t="str" cm="1">
        <x:f t="array" ref="Z9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90" s="33" t="n">
        <x:f>--OR(WorkforceData[[#This Row],[Status]]="Active",WorkforceData[[#This Row],[Promoted]]="Yes",WorkforceData[[#This Row],[Total Days Worked]]&gt;=121)</x:f>
        <x:v>1</x:v>
      </x:c>
      <x:c r="AB90" s="33" t="n">
        <x:f>IF(AND(Q90="Terminated",R90="",O90=0),1,0)</x:f>
        <x:v>0</x:v>
      </x:c>
      <x:c r="AC90" s="33" t="n">
        <x:f>--OR(WorkforceData[[#This Row],[Status]]="Resigned",WorkforceData[[#This Row],[Status After Training]]="Withdrew")</x:f>
        <x:v>1</x:v>
      </x:c>
      <x:c r="AD90" s="34" t="n">
        <x:f>EOMONTH(WorkforceData[[#This Row],[Training Date]],0)</x:f>
        <x:v>45199</x:v>
      </x:c>
      <x:c r="AE90" s="32" t="str">
        <x:f>IF(M90&lt;H90,"Existing Employee",IF(U90="","No Assignment",IF(V90=0,"0 Days",IF(V90&lt;=7,"1-7 Days",IF(V90&lt;=14,"8-14 Days",IF(V90&lt;=21,"15-21 Days","21+ Days"))))))</x:f>
        <x:v>Existing Employee</x:v>
      </x:c>
      <x:c r="AF9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90" s="33" t="n">
        <x:f>--(WorkforceData[[#This Row],[Total Days Worked]]&gt;=121)</x:f>
        <x:v>1</x:v>
      </x:c>
    </x:row>
    <x:row r="91">
      <x:c r="A91" s="236" t="str">
        <x:v>TRN-0090</x:v>
      </x:c>
      <x:c r="B91" s="243"/>
      <x:c r="C91" s="243"/>
      <x:c r="D91" s="243"/>
      <x:c r="E91" s="243"/>
      <x:c r="F91" s="14" t="str">
        <x:v>Recruiter H</x:v>
      </x:c>
      <x:c r="G91" s="14" t="str">
        <x:v>Training Center A</x:v>
      </x:c>
      <x:c r="H91" s="28">
        <x:v>45181</x:v>
      </x:c>
      <x:c r="I91" s="14">
        <x:v>2023</x:v>
      </x:c>
      <x:c r="J91" s="14" t="s">
        <x:v>127</x:v>
      </x:c>
      <x:c r="K91" s="14">
        <x:v>32</x:v>
      </x:c>
      <x:c r="L91" s="29" t="s">
        <x:v>128</x:v>
      </x:c>
      <x:c r="M91" s="28">
        <x:v>45181</x:v>
      </x:c>
      <x:c r="N91" s="14"/>
      <x:c r="O91" s="14">
        <x:v>1070</x:v>
      </x:c>
      <x:c r="P91" s="14" t="s">
        <x:v>122</x:v>
      </x:c>
      <x:c r="Q91" s="14" t="s">
        <x:v>25</x:v>
      </x:c>
      <x:c r="R91" s="14"/>
      <x:c r="S91" s="14" t="s">
        <x:v>108</x:v>
      </x:c>
      <x:c r="T91" s="14" t="str">
        <x:v>Region B</x:v>
      </x:c>
      <x:c r="U91" s="28">
        <x:v>45186</x:v>
      </x:c>
      <x:c r="V91" s="30">
        <x:v>5</x:v>
      </x:c>
      <x:c r="W91" s="14" t="s">
        <x:v>109</x:v>
      </x:c>
      <x:c r="X91" s="14" t="s">
        <x:v>106</x:v>
      </x:c>
      <x:c r="Y91" s="32" t="str">
        <x:v>TRN-0090|20230912</x:v>
      </x:c>
      <x:c r="Z91" s="32" t="str" cm="1">
        <x:f t="array" ref="Z9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91" s="33" t="n">
        <x:f>--OR(WorkforceData[[#This Row],[Status]]="Active",WorkforceData[[#This Row],[Promoted]]="Yes",WorkforceData[[#This Row],[Total Days Worked]]&gt;=121)</x:f>
        <x:v>1</x:v>
      </x:c>
      <x:c r="AB91" s="33" t="n">
        <x:f>IF(AND(Q91="Terminated",R91="",O91=0),1,0)</x:f>
        <x:v>0</x:v>
      </x:c>
      <x:c r="AC91" s="33" t="n">
        <x:f>--OR(WorkforceData[[#This Row],[Status]]="Resigned",WorkforceData[[#This Row],[Status After Training]]="Withdrew")</x:f>
        <x:v>0</x:v>
      </x:c>
      <x:c r="AD91" s="34" t="n">
        <x:f>EOMONTH(WorkforceData[[#This Row],[Training Date]],0)</x:f>
        <x:v>45199</x:v>
      </x:c>
      <x:c r="AE91" s="32" t="str">
        <x:f>IF(M91&lt;H91,"Existing Employee",IF(U91="","No Assignment",IF(V91=0,"0 Days",IF(V91&lt;=7,"1-7 Days",IF(V91&lt;=14,"8-14 Days",IF(V91&lt;=21,"15-21 Days","21+ Days"))))))</x:f>
        <x:v>1-7 Days</x:v>
      </x:c>
      <x:c r="AF9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91" s="33" t="n">
        <x:f>--(WorkforceData[[#This Row],[Total Days Worked]]&gt;=121)</x:f>
        <x:v>1</x:v>
      </x:c>
    </x:row>
    <x:row r="92">
      <x:c r="A92" s="236" t="str">
        <x:v>TRN-0091</x:v>
      </x:c>
      <x:c r="B92" s="243"/>
      <x:c r="C92" s="243"/>
      <x:c r="D92" s="243"/>
      <x:c r="E92" s="243"/>
      <x:c r="F92" s="14" t="str">
        <x:v>Recruiter G</x:v>
      </x:c>
      <x:c r="G92" s="14" t="str">
        <x:v>Training Center A</x:v>
      </x:c>
      <x:c r="H92" s="28">
        <x:v>45181</x:v>
      </x:c>
      <x:c r="I92" s="14">
        <x:v>2023</x:v>
      </x:c>
      <x:c r="J92" s="14" t="s">
        <x:v>127</x:v>
      </x:c>
      <x:c r="K92" s="14">
        <x:v>32</x:v>
      </x:c>
      <x:c r="L92" s="29" t="s">
        <x:v>128</x:v>
      </x:c>
      <x:c r="M92" s="28">
        <x:v>45171</x:v>
      </x:c>
      <x:c r="N92" s="28">
        <x:v>45202</x:v>
      </x:c>
      <x:c r="O92" s="14">
        <x:v>31</x:v>
      </x:c>
      <x:c r="P92" s="14" t="s">
        <x:v>110</x:v>
      </x:c>
      <x:c r="Q92" s="14" t="s">
        <x:v>103</x:v>
      </x:c>
      <x:c r="R92" s="14" t="s">
        <x:v>104</x:v>
      </x:c>
      <x:c r="S92" s="14" t="s">
        <x:v>105</x:v>
      </x:c>
      <x:c r="T92" s="14" t="str">
        <x:v>Region B</x:v>
      </x:c>
      <x:c r="U92" s="28">
        <x:v>45202</x:v>
      </x:c>
      <x:c r="V92" s="30">
        <x:v>21</x:v>
      </x:c>
      <x:c r="W92" s="14" t="s">
        <x:v>112</x:v>
      </x:c>
      <x:c r="X92" s="14" t="s">
        <x:v>115</x:v>
      </x:c>
      <x:c r="Y92" s="32" t="str">
        <x:v>TRN-0091|20230912</x:v>
      </x:c>
      <x:c r="Z92" s="32" t="str" cm="1">
        <x:f t="array" ref="Z9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92" s="33" t="n">
        <x:f>--OR(WorkforceData[[#This Row],[Status]]="Active",WorkforceData[[#This Row],[Promoted]]="Yes",WorkforceData[[#This Row],[Total Days Worked]]&gt;=121)</x:f>
        <x:v>0</x:v>
      </x:c>
      <x:c r="AB92" s="33" t="n">
        <x:f>IF(AND(Q92="Terminated",R92="",O92=0),1,0)</x:f>
        <x:v>0</x:v>
      </x:c>
      <x:c r="AC92" s="33" t="n">
        <x:f>--OR(WorkforceData[[#This Row],[Status]]="Resigned",WorkforceData[[#This Row],[Status After Training]]="Withdrew")</x:f>
        <x:v>1</x:v>
      </x:c>
      <x:c r="AD92" s="34" t="n">
        <x:f>EOMONTH(WorkforceData[[#This Row],[Training Date]],0)</x:f>
        <x:v>45199</x:v>
      </x:c>
      <x:c r="AE92" s="32" t="str">
        <x:f>IF(M92&lt;H92,"Existing Employee",IF(U92="","No Assignment",IF(V92=0,"0 Days",IF(V92&lt;=7,"1-7 Days",IF(V92&lt;=14,"8-14 Days",IF(V92&lt;=21,"15-21 Days","21+ Days"))))))</x:f>
        <x:v>Existing Employee</x:v>
      </x:c>
      <x:c r="AF9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92" s="33" t="n">
        <x:f>--(WorkforceData[[#This Row],[Total Days Worked]]&gt;=121)</x:f>
        <x:v>0</x:v>
      </x:c>
    </x:row>
    <x:row r="93">
      <x:c r="A93" s="236" t="str">
        <x:v>TRN-0092</x:v>
      </x:c>
      <x:c r="B93" s="243"/>
      <x:c r="C93" s="243"/>
      <x:c r="D93" s="243"/>
      <x:c r="E93" s="243"/>
      <x:c r="F93" s="14" t="str">
        <x:v>Recruiter H</x:v>
      </x:c>
      <x:c r="G93" s="14" t="str">
        <x:v>Training Center A</x:v>
      </x:c>
      <x:c r="H93" s="28">
        <x:v>45181</x:v>
      </x:c>
      <x:c r="I93" s="14">
        <x:v>2023</x:v>
      </x:c>
      <x:c r="J93" s="14" t="s">
        <x:v>127</x:v>
      </x:c>
      <x:c r="K93" s="14">
        <x:v>32</x:v>
      </x:c>
      <x:c r="L93" s="29" t="s">
        <x:v>128</x:v>
      </x:c>
      <x:c r="M93" s="28">
        <x:v>45176</x:v>
      </x:c>
      <x:c r="N93" s="14"/>
      <x:c r="O93" s="14">
        <x:v>1075</x:v>
      </x:c>
      <x:c r="P93" s="14" t="s">
        <x:v>122</x:v>
      </x:c>
      <x:c r="Q93" s="14" t="s">
        <x:v>25</x:v>
      </x:c>
      <x:c r="R93" s="14"/>
      <x:c r="S93" s="14" t="s">
        <x:v>108</x:v>
      </x:c>
      <x:c r="T93" s="14" t="str">
        <x:v>Region C</x:v>
      </x:c>
      <x:c r="U93" s="28">
        <x:v>45209</x:v>
      </x:c>
      <x:c r="V93" s="30">
        <x:v>28</x:v>
      </x:c>
      <x:c r="W93" s="14" t="s">
        <x:v>112</x:v>
      </x:c>
      <x:c r="X93" s="14" t="s">
        <x:v>106</x:v>
      </x:c>
      <x:c r="Y93" s="32" t="str">
        <x:v>TRN-0092|20230912</x:v>
      </x:c>
      <x:c r="Z93" s="32" t="str" cm="1">
        <x:f t="array" ref="Z9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93" s="33" t="n">
        <x:f>--OR(WorkforceData[[#This Row],[Status]]="Active",WorkforceData[[#This Row],[Promoted]]="Yes",WorkforceData[[#This Row],[Total Days Worked]]&gt;=121)</x:f>
        <x:v>1</x:v>
      </x:c>
      <x:c r="AB93" s="33" t="n">
        <x:f>IF(AND(Q93="Terminated",R93="",O93=0),1,0)</x:f>
        <x:v>0</x:v>
      </x:c>
      <x:c r="AC93" s="33" t="n">
        <x:f>--OR(WorkforceData[[#This Row],[Status]]="Resigned",WorkforceData[[#This Row],[Status After Training]]="Withdrew")</x:f>
        <x:v>0</x:v>
      </x:c>
      <x:c r="AD93" s="34" t="n">
        <x:f>EOMONTH(WorkforceData[[#This Row],[Training Date]],0)</x:f>
        <x:v>45199</x:v>
      </x:c>
      <x:c r="AE93" s="32" t="str">
        <x:f>IF(M93&lt;H93,"Existing Employee",IF(U93="","No Assignment",IF(V93=0,"0 Days",IF(V93&lt;=7,"1-7 Days",IF(V93&lt;=14,"8-14 Days",IF(V93&lt;=21,"15-21 Days","21+ Days"))))))</x:f>
        <x:v>Existing Employee</x:v>
      </x:c>
      <x:c r="AF9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93" s="33" t="n">
        <x:f>--(WorkforceData[[#This Row],[Total Days Worked]]&gt;=121)</x:f>
        <x:v>1</x:v>
      </x:c>
    </x:row>
    <x:row r="94">
      <x:c r="A94" s="236" t="str">
        <x:v>TRN-0093</x:v>
      </x:c>
      <x:c r="B94" s="243"/>
      <x:c r="C94" s="243"/>
      <x:c r="D94" s="243"/>
      <x:c r="E94" s="243"/>
      <x:c r="F94" s="14" t="str">
        <x:v>Recruiter B</x:v>
      </x:c>
      <x:c r="G94" s="14" t="str">
        <x:v>Training Center A</x:v>
      </x:c>
      <x:c r="H94" s="28">
        <x:v>45181</x:v>
      </x:c>
      <x:c r="I94" s="14">
        <x:v>2023</x:v>
      </x:c>
      <x:c r="J94" s="14" t="s">
        <x:v>127</x:v>
      </x:c>
      <x:c r="K94" s="14">
        <x:v>32</x:v>
      </x:c>
      <x:c r="L94" s="29" t="s">
        <x:v>128</x:v>
      </x:c>
      <x:c r="M94" s="28">
        <x:v>45181</x:v>
      </x:c>
      <x:c r="N94" s="28">
        <x:v>45251</x:v>
      </x:c>
      <x:c r="O94" s="14">
        <x:v>70</x:v>
      </x:c>
      <x:c r="P94" s="14" t="s">
        <x:v>110</x:v>
      </x:c>
      <x:c r="Q94" s="14" t="s">
        <x:v>103</x:v>
      </x:c>
      <x:c r="R94" s="14" t="s">
        <x:v>104</x:v>
      </x:c>
      <x:c r="S94" s="14" t="s">
        <x:v>105</x:v>
      </x:c>
      <x:c r="T94" s="14" t="str">
        <x:v>Region B</x:v>
      </x:c>
      <x:c r="U94" s="28">
        <x:v>45182</x:v>
      </x:c>
      <x:c r="V94" s="30">
        <x:v>1</x:v>
      </x:c>
      <x:c r="W94" s="14" t="s">
        <x:v>109</x:v>
      </x:c>
      <x:c r="X94" s="14" t="s">
        <x:v>106</x:v>
      </x:c>
      <x:c r="Y94" s="32" t="str">
        <x:v>TRN-0093|20230912</x:v>
      </x:c>
      <x:c r="Z94" s="32" t="str" cm="1">
        <x:f t="array" ref="Z9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94" s="33" t="n">
        <x:f>--OR(WorkforceData[[#This Row],[Status]]="Active",WorkforceData[[#This Row],[Promoted]]="Yes",WorkforceData[[#This Row],[Total Days Worked]]&gt;=121)</x:f>
        <x:v>0</x:v>
      </x:c>
      <x:c r="AB94" s="33" t="n">
        <x:f>IF(AND(Q94="Terminated",R94="",O94=0),1,0)</x:f>
        <x:v>0</x:v>
      </x:c>
      <x:c r="AC94" s="33" t="n">
        <x:f>--OR(WorkforceData[[#This Row],[Status]]="Resigned",WorkforceData[[#This Row],[Status After Training]]="Withdrew")</x:f>
        <x:v>1</x:v>
      </x:c>
      <x:c r="AD94" s="34" t="n">
        <x:f>EOMONTH(WorkforceData[[#This Row],[Training Date]],0)</x:f>
        <x:v>45199</x:v>
      </x:c>
      <x:c r="AE94" s="32" t="str">
        <x:f>IF(M94&lt;H94,"Existing Employee",IF(U94="","No Assignment",IF(V94=0,"0 Days",IF(V94&lt;=7,"1-7 Days",IF(V94&lt;=14,"8-14 Days",IF(V94&lt;=21,"15-21 Days","21+ Days"))))))</x:f>
        <x:v>1-7 Days</x:v>
      </x:c>
      <x:c r="AF9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61-90 Days</x:v>
      </x:c>
      <x:c r="AG94" s="33" t="n">
        <x:f>--(WorkforceData[[#This Row],[Total Days Worked]]&gt;=121)</x:f>
        <x:v>0</x:v>
      </x:c>
    </x:row>
    <x:row r="95">
      <x:c r="A95" s="236" t="str">
        <x:v>TRN-0094</x:v>
      </x:c>
      <x:c r="B95" s="243"/>
      <x:c r="C95" s="243"/>
      <x:c r="D95" s="243"/>
      <x:c r="E95" s="243"/>
      <x:c r="F95" s="14" t="str">
        <x:v>Recruiter G</x:v>
      </x:c>
      <x:c r="G95" s="14" t="str">
        <x:v>Training Center A</x:v>
      </x:c>
      <x:c r="H95" s="28">
        <x:v>45181</x:v>
      </x:c>
      <x:c r="I95" s="14">
        <x:v>2023</x:v>
      </x:c>
      <x:c r="J95" s="14" t="s">
        <x:v>127</x:v>
      </x:c>
      <x:c r="K95" s="14">
        <x:v>32</x:v>
      </x:c>
      <x:c r="L95" s="29" t="s">
        <x:v>128</x:v>
      </x:c>
      <x:c r="M95" s="28">
        <x:v>45178</x:v>
      </x:c>
      <x:c r="N95" s="28">
        <x:v>45229</x:v>
      </x:c>
      <x:c r="O95" s="14">
        <x:v>51</x:v>
      </x:c>
      <x:c r="P95" s="14" t="s">
        <x:v>110</x:v>
      </x:c>
      <x:c r="Q95" s="14" t="s">
        <x:v>103</x:v>
      </x:c>
      <x:c r="R95" s="14" t="s">
        <x:v>111</x:v>
      </x:c>
      <x:c r="S95" s="14" t="s">
        <x:v>105</x:v>
      </x:c>
      <x:c r="T95" s="14" t="str">
        <x:v>Region A</x:v>
      </x:c>
      <x:c r="U95" s="28">
        <x:v>45229</x:v>
      </x:c>
      <x:c r="V95" s="30">
        <x:v>48</x:v>
      </x:c>
      <x:c r="W95" s="14" t="s">
        <x:v>63</x:v>
      </x:c>
      <x:c r="X95" s="14" t="s">
        <x:v>117</x:v>
      </x:c>
      <x:c r="Y95" s="32" t="str">
        <x:v>TRN-0094|20230912</x:v>
      </x:c>
      <x:c r="Z95" s="32" t="str" cm="1">
        <x:f t="array" ref="Z9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95" s="33" t="n">
        <x:f>--OR(WorkforceData[[#This Row],[Status]]="Active",WorkforceData[[#This Row],[Promoted]]="Yes",WorkforceData[[#This Row],[Total Days Worked]]&gt;=121)</x:f>
        <x:v>0</x:v>
      </x:c>
      <x:c r="AB95" s="33" t="n">
        <x:f>IF(AND(Q95="Terminated",R95="",O95=0),1,0)</x:f>
        <x:v>0</x:v>
      </x:c>
      <x:c r="AC95" s="33" t="n">
        <x:f>--OR(WorkforceData[[#This Row],[Status]]="Resigned",WorkforceData[[#This Row],[Status After Training]]="Withdrew")</x:f>
        <x:v>1</x:v>
      </x:c>
      <x:c r="AD95" s="34" t="n">
        <x:f>EOMONTH(WorkforceData[[#This Row],[Training Date]],0)</x:f>
        <x:v>45199</x:v>
      </x:c>
      <x:c r="AE95" s="32" t="str">
        <x:f>IF(M95&lt;H95,"Existing Employee",IF(U95="","No Assignment",IF(V95=0,"0 Days",IF(V95&lt;=7,"1-7 Days",IF(V95&lt;=14,"8-14 Days",IF(V95&lt;=21,"15-21 Days","21+ Days"))))))</x:f>
        <x:v>Existing Employee</x:v>
      </x:c>
      <x:c r="AF9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95" s="33" t="n">
        <x:f>--(WorkforceData[[#This Row],[Total Days Worked]]&gt;=121)</x:f>
        <x:v>0</x:v>
      </x:c>
    </x:row>
    <x:row r="96">
      <x:c r="A96" s="236" t="str">
        <x:v>TRN-0095</x:v>
      </x:c>
      <x:c r="B96" s="243"/>
      <x:c r="C96" s="243"/>
      <x:c r="D96" s="243"/>
      <x:c r="E96" s="243"/>
      <x:c r="F96" s="14" t="str">
        <x:v>Recruiter F</x:v>
      </x:c>
      <x:c r="G96" s="14" t="str">
        <x:v>Training Center A</x:v>
      </x:c>
      <x:c r="H96" s="28">
        <x:v>45181</x:v>
      </x:c>
      <x:c r="I96" s="14">
        <x:v>2023</x:v>
      </x:c>
      <x:c r="J96" s="14" t="s">
        <x:v>127</x:v>
      </x:c>
      <x:c r="K96" s="14">
        <x:v>32</x:v>
      </x:c>
      <x:c r="L96" s="29" t="s">
        <x:v>128</x:v>
      </x:c>
      <x:c r="M96" s="28">
        <x:v>45181</x:v>
      </x:c>
      <x:c r="N96" s="14"/>
      <x:c r="O96" s="14">
        <x:v>1070</x:v>
      </x:c>
      <x:c r="P96" s="14" t="s">
        <x:v>122</x:v>
      </x:c>
      <x:c r="Q96" s="14" t="s">
        <x:v>25</x:v>
      </x:c>
      <x:c r="R96" s="14"/>
      <x:c r="S96" s="14" t="s">
        <x:v>108</x:v>
      </x:c>
      <x:c r="T96" s="14" t="str">
        <x:v>Region D</x:v>
      </x:c>
      <x:c r="U96" s="28">
        <x:v>45184</x:v>
      </x:c>
      <x:c r="V96" s="30">
        <x:v>3</x:v>
      </x:c>
      <x:c r="W96" s="14" t="s">
        <x:v>109</x:v>
      </x:c>
      <x:c r="X96" s="14" t="s">
        <x:v>106</x:v>
      </x:c>
      <x:c r="Y96" s="32" t="str">
        <x:v>TRN-0095|20230912</x:v>
      </x:c>
      <x:c r="Z96" s="32" t="str" cm="1">
        <x:f t="array" ref="Z9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96" s="33" t="n">
        <x:f>--OR(WorkforceData[[#This Row],[Status]]="Active",WorkforceData[[#This Row],[Promoted]]="Yes",WorkforceData[[#This Row],[Total Days Worked]]&gt;=121)</x:f>
        <x:v>1</x:v>
      </x:c>
      <x:c r="AB96" s="33" t="n">
        <x:f>IF(AND(Q96="Terminated",R96="",O96=0),1,0)</x:f>
        <x:v>0</x:v>
      </x:c>
      <x:c r="AC96" s="33" t="n">
        <x:f>--OR(WorkforceData[[#This Row],[Status]]="Resigned",WorkforceData[[#This Row],[Status After Training]]="Withdrew")</x:f>
        <x:v>0</x:v>
      </x:c>
      <x:c r="AD96" s="34" t="n">
        <x:f>EOMONTH(WorkforceData[[#This Row],[Training Date]],0)</x:f>
        <x:v>45199</x:v>
      </x:c>
      <x:c r="AE96" s="32" t="str">
        <x:f>IF(M96&lt;H96,"Existing Employee",IF(U96="","No Assignment",IF(V96=0,"0 Days",IF(V96&lt;=7,"1-7 Days",IF(V96&lt;=14,"8-14 Days",IF(V96&lt;=21,"15-21 Days","21+ Days"))))))</x:f>
        <x:v>1-7 Days</x:v>
      </x:c>
      <x:c r="AF9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96" s="33" t="n">
        <x:f>--(WorkforceData[[#This Row],[Total Days Worked]]&gt;=121)</x:f>
        <x:v>1</x:v>
      </x:c>
    </x:row>
    <x:row r="97">
      <x:c r="A97" s="236" t="str">
        <x:v>TRN-0096</x:v>
      </x:c>
      <x:c r="B97" s="243"/>
      <x:c r="C97" s="243"/>
      <x:c r="D97" s="243"/>
      <x:c r="E97" s="243"/>
      <x:c r="F97" s="14" t="str">
        <x:v>Recruiter E</x:v>
      </x:c>
      <x:c r="G97" s="14" t="str">
        <x:v>Training Center A</x:v>
      </x:c>
      <x:c r="H97" s="28">
        <x:v>45181</x:v>
      </x:c>
      <x:c r="I97" s="14">
        <x:v>2023</x:v>
      </x:c>
      <x:c r="J97" s="14" t="s">
        <x:v>127</x:v>
      </x:c>
      <x:c r="K97" s="14">
        <x:v>32</x:v>
      </x:c>
      <x:c r="L97" s="29" t="s">
        <x:v>128</x:v>
      </x:c>
      <x:c r="M97" s="28">
        <x:v>45181</x:v>
      </x:c>
      <x:c r="N97" s="28">
        <x:v>46188</x:v>
      </x:c>
      <x:c r="O97" s="14">
        <x:v>1007</x:v>
      </x:c>
      <x:c r="P97" s="14" t="s">
        <x:v>122</x:v>
      </x:c>
      <x:c r="Q97" s="14" t="s">
        <x:v>33</x:v>
      </x:c>
      <x:c r="R97" s="14" t="s">
        <x:v>124</x:v>
      </x:c>
      <x:c r="S97" s="14" t="s">
        <x:v>108</x:v>
      </x:c>
      <x:c r="T97" s="14" t="str">
        <x:v>Region B</x:v>
      </x:c>
      <x:c r="U97" s="28">
        <x:v>45191</x:v>
      </x:c>
      <x:c r="V97" s="30">
        <x:v>10</x:v>
      </x:c>
      <x:c r="W97" s="14" t="s">
        <x:v>45</x:v>
      </x:c>
      <x:c r="X97" s="14" t="s">
        <x:v>106</x:v>
      </x:c>
      <x:c r="Y97" s="32" t="str">
        <x:v>TRN-0096|20230912</x:v>
      </x:c>
      <x:c r="Z97" s="32" t="str" cm="1">
        <x:f t="array" ref="Z9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97" s="33" t="n">
        <x:f>--OR(WorkforceData[[#This Row],[Status]]="Active",WorkforceData[[#This Row],[Promoted]]="Yes",WorkforceData[[#This Row],[Total Days Worked]]&gt;=121)</x:f>
        <x:v>1</x:v>
      </x:c>
      <x:c r="AB97" s="33" t="n">
        <x:f>IF(AND(Q97="Terminated",R97="",O97=0),1,0)</x:f>
        <x:v>0</x:v>
      </x:c>
      <x:c r="AC97" s="33" t="n">
        <x:f>--OR(WorkforceData[[#This Row],[Status]]="Resigned",WorkforceData[[#This Row],[Status After Training]]="Withdrew")</x:f>
        <x:v>0</x:v>
      </x:c>
      <x:c r="AD97" s="34" t="n">
        <x:f>EOMONTH(WorkforceData[[#This Row],[Training Date]],0)</x:f>
        <x:v>45199</x:v>
      </x:c>
      <x:c r="AE97" s="32" t="str">
        <x:f>IF(M97&lt;H97,"Existing Employee",IF(U97="","No Assignment",IF(V97=0,"0 Days",IF(V97&lt;=7,"1-7 Days",IF(V97&lt;=14,"8-14 Days",IF(V97&lt;=21,"15-21 Days","21+ Days"))))))</x:f>
        <x:v>8-14 Days</x:v>
      </x:c>
      <x:c r="AF9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97" s="33" t="n">
        <x:f>--(WorkforceData[[#This Row],[Total Days Worked]]&gt;=121)</x:f>
        <x:v>1</x:v>
      </x:c>
    </x:row>
    <x:row r="98">
      <x:c r="A98" s="236" t="str">
        <x:v>TRN-0097</x:v>
      </x:c>
      <x:c r="B98" s="243"/>
      <x:c r="C98" s="243"/>
      <x:c r="D98" s="243"/>
      <x:c r="E98" s="243"/>
      <x:c r="F98" s="14" t="str">
        <x:v>Recruiter B</x:v>
      </x:c>
      <x:c r="G98" s="14" t="str">
        <x:v>Training Center A</x:v>
      </x:c>
      <x:c r="H98" s="28">
        <x:v>45181</x:v>
      </x:c>
      <x:c r="I98" s="14">
        <x:v>2023</x:v>
      </x:c>
      <x:c r="J98" s="14" t="s">
        <x:v>127</x:v>
      </x:c>
      <x:c r="K98" s="14">
        <x:v>32</x:v>
      </x:c>
      <x:c r="L98" s="29" t="s">
        <x:v>128</x:v>
      </x:c>
      <x:c r="M98" s="28">
        <x:v>45171</x:v>
      </x:c>
      <x:c r="N98" s="14"/>
      <x:c r="O98" s="14">
        <x:v>1080</x:v>
      </x:c>
      <x:c r="P98" s="14" t="s">
        <x:v>122</x:v>
      </x:c>
      <x:c r="Q98" s="14" t="s">
        <x:v>38</x:v>
      </x:c>
      <x:c r="R98" s="14"/>
      <x:c r="S98" s="14" t="s">
        <x:v>108</x:v>
      </x:c>
      <x:c r="T98" s="14" t="str">
        <x:v>Region B</x:v>
      </x:c>
      <x:c r="U98" s="28">
        <x:v>45187</x:v>
      </x:c>
      <x:c r="V98" s="30">
        <x:v>6</x:v>
      </x:c>
      <x:c r="W98" s="14" t="s">
        <x:v>109</x:v>
      </x:c>
      <x:c r="X98" s="14" t="s">
        <x:v>106</x:v>
      </x:c>
      <x:c r="Y98" s="32" t="str">
        <x:v>TRN-0097|20230912</x:v>
      </x:c>
      <x:c r="Z98" s="32" t="str" cm="1">
        <x:f t="array" ref="Z9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98" s="33" t="n">
        <x:f>--OR(WorkforceData[[#This Row],[Status]]="Active",WorkforceData[[#This Row],[Promoted]]="Yes",WorkforceData[[#This Row],[Total Days Worked]]&gt;=121)</x:f>
        <x:v>1</x:v>
      </x:c>
      <x:c r="AB98" s="33" t="n">
        <x:f>IF(AND(Q98="Terminated",R98="",O98=0),1,0)</x:f>
        <x:v>0</x:v>
      </x:c>
      <x:c r="AC98" s="33" t="n">
        <x:f>--OR(WorkforceData[[#This Row],[Status]]="Resigned",WorkforceData[[#This Row],[Status After Training]]="Withdrew")</x:f>
        <x:v>0</x:v>
      </x:c>
      <x:c r="AD98" s="34" t="n">
        <x:f>EOMONTH(WorkforceData[[#This Row],[Training Date]],0)</x:f>
        <x:v>45199</x:v>
      </x:c>
      <x:c r="AE98" s="32" t="str">
        <x:f>IF(M98&lt;H98,"Existing Employee",IF(U98="","No Assignment",IF(V98=0,"0 Days",IF(V98&lt;=7,"1-7 Days",IF(V98&lt;=14,"8-14 Days",IF(V98&lt;=21,"15-21 Days","21+ Days"))))))</x:f>
        <x:v>Existing Employee</x:v>
      </x:c>
      <x:c r="AF9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98" s="33" t="n">
        <x:f>--(WorkforceData[[#This Row],[Total Days Worked]]&gt;=121)</x:f>
        <x:v>1</x:v>
      </x:c>
    </x:row>
    <x:row r="99">
      <x:c r="A99" s="236" t="str">
        <x:v>TRN-0098</x:v>
      </x:c>
      <x:c r="B99" s="243"/>
      <x:c r="C99" s="243"/>
      <x:c r="D99" s="243"/>
      <x:c r="E99" s="243"/>
      <x:c r="F99" s="14" t="str">
        <x:v>Recruiter A</x:v>
      </x:c>
      <x:c r="G99" s="14" t="str">
        <x:v>Training Center A</x:v>
      </x:c>
      <x:c r="H99" s="28">
        <x:v>45181</x:v>
      </x:c>
      <x:c r="I99" s="14">
        <x:v>2023</x:v>
      </x:c>
      <x:c r="J99" s="14" t="s">
        <x:v>127</x:v>
      </x:c>
      <x:c r="K99" s="14">
        <x:v>32</x:v>
      </x:c>
      <x:c r="L99" s="29" t="s">
        <x:v>128</x:v>
      </x:c>
      <x:c r="M99" s="28">
        <x:v>45181</x:v>
      </x:c>
      <x:c r="N99" s="28">
        <x:v>45773</x:v>
      </x:c>
      <x:c r="O99" s="14">
        <x:v>592</x:v>
      </x:c>
      <x:c r="P99" s="14" t="s">
        <x:v>120</x:v>
      </x:c>
      <x:c r="Q99" s="14" t="s">
        <x:v>103</x:v>
      </x:c>
      <x:c r="R99" s="14" t="s">
        <x:v>111</x:v>
      </x:c>
      <x:c r="S99" s="14" t="s">
        <x:v>108</x:v>
      </x:c>
      <x:c r="T99" s="14" t="str">
        <x:v>Region D</x:v>
      </x:c>
      <x:c r="U99" s="28">
        <x:v>45198</x:v>
      </x:c>
      <x:c r="V99" s="30">
        <x:v>17</x:v>
      </x:c>
      <x:c r="W99" s="14" t="s">
        <x:v>112</x:v>
      </x:c>
      <x:c r="X99" s="14" t="s">
        <x:v>106</x:v>
      </x:c>
      <x:c r="Y99" s="32" t="str">
        <x:v>TRN-0098|20230912</x:v>
      </x:c>
      <x:c r="Z99" s="32" t="str" cm="1">
        <x:f t="array" ref="Z9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99" s="33" t="n">
        <x:f>--OR(WorkforceData[[#This Row],[Status]]="Active",WorkforceData[[#This Row],[Promoted]]="Yes",WorkforceData[[#This Row],[Total Days Worked]]&gt;=121)</x:f>
        <x:v>1</x:v>
      </x:c>
      <x:c r="AB99" s="33" t="n">
        <x:f>IF(AND(Q99="Terminated",R99="",O99=0),1,0)</x:f>
        <x:v>0</x:v>
      </x:c>
      <x:c r="AC99" s="33" t="n">
        <x:f>--OR(WorkforceData[[#This Row],[Status]]="Resigned",WorkforceData[[#This Row],[Status After Training]]="Withdrew")</x:f>
        <x:v>1</x:v>
      </x:c>
      <x:c r="AD99" s="34" t="n">
        <x:f>EOMONTH(WorkforceData[[#This Row],[Training Date]],0)</x:f>
        <x:v>45199</x:v>
      </x:c>
      <x:c r="AE99" s="32" t="str">
        <x:f>IF(M99&lt;H99,"Existing Employee",IF(U99="","No Assignment",IF(V99=0,"0 Days",IF(V99&lt;=7,"1-7 Days",IF(V99&lt;=14,"8-14 Days",IF(V99&lt;=21,"15-21 Days","21+ Days"))))))</x:f>
        <x:v>15-21 Days</x:v>
      </x:c>
      <x:c r="AF9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99" s="33" t="n">
        <x:f>--(WorkforceData[[#This Row],[Total Days Worked]]&gt;=121)</x:f>
        <x:v>1</x:v>
      </x:c>
    </x:row>
    <x:row r="100">
      <x:c r="A100" s="236" t="str">
        <x:v>TRN-0099</x:v>
      </x:c>
      <x:c r="B100" s="243"/>
      <x:c r="C100" s="243"/>
      <x:c r="D100" s="243"/>
      <x:c r="E100" s="243"/>
      <x:c r="F100" s="14" t="str">
        <x:v>Recruiter F</x:v>
      </x:c>
      <x:c r="G100" s="14" t="str">
        <x:v>Training Center A</x:v>
      </x:c>
      <x:c r="H100" s="28">
        <x:v>45181</x:v>
      </x:c>
      <x:c r="I100" s="14">
        <x:v>2023</x:v>
      </x:c>
      <x:c r="J100" s="14" t="s">
        <x:v>127</x:v>
      </x:c>
      <x:c r="K100" s="14">
        <x:v>32</x:v>
      </x:c>
      <x:c r="L100" s="29" t="s">
        <x:v>128</x:v>
      </x:c>
      <x:c r="M100" s="28">
        <x:v>45176</x:v>
      </x:c>
      <x:c r="N100" s="28">
        <x:v>45177</x:v>
      </x:c>
      <x:c r="O100" s="14">
        <x:v>1</x:v>
      </x:c>
      <x:c r="P100" s="14" t="s">
        <x:v>102</x:v>
      </x:c>
      <x:c r="Q100" s="14" t="s">
        <x:v>33</x:v>
      </x:c>
      <x:c r="R100" s="14" t="s">
        <x:v>121</x:v>
      </x:c>
      <x:c r="S100" s="14" t="s">
        <x:v>105</x:v>
      </x:c>
      <x:c r="T100" s="14"/>
      <x:c r="U100" s="28"/>
      <x:c r="V100" s="30"/>
      <x:c r="W100" s="14"/>
      <x:c r="X100" s="14" t="s">
        <x:v>71</x:v>
      </x:c>
      <x:c r="Y100" s="32" t="str">
        <x:v>TRN-0099|20230912</x:v>
      </x:c>
      <x:c r="Z100" s="32" t="str" cm="1">
        <x:f t="array" ref="Z10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100" s="33" t="n">
        <x:f>--OR(WorkforceData[[#This Row],[Status]]="Active",WorkforceData[[#This Row],[Promoted]]="Yes",WorkforceData[[#This Row],[Total Days Worked]]&gt;=121)</x:f>
        <x:v>0</x:v>
      </x:c>
      <x:c r="AB100" s="33" t="n">
        <x:f>IF(AND(Q100="Terminated",R100="",O100=0),1,0)</x:f>
        <x:v>0</x:v>
      </x:c>
      <x:c r="AC100" s="33" t="n">
        <x:f>--OR(WorkforceData[[#This Row],[Status]]="Resigned",WorkforceData[[#This Row],[Status After Training]]="Withdrew")</x:f>
        <x:v>0</x:v>
      </x:c>
      <x:c r="AD100" s="34" t="n">
        <x:f>EOMONTH(WorkforceData[[#This Row],[Training Date]],0)</x:f>
        <x:v>45199</x:v>
      </x:c>
      <x:c r="AE100" s="32" t="str">
        <x:f>IF(M100&lt;H100,"Existing Employee",IF(U100="","No Assignment",IF(V100=0,"0 Days",IF(V100&lt;=7,"1-7 Days",IF(V100&lt;=14,"8-14 Days",IF(V100&lt;=21,"15-21 Days","21+ Days"))))))</x:f>
        <x:v>Existing Employee</x:v>
      </x:c>
      <x:c r="AF10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1-7 Days</x:v>
      </x:c>
      <x:c r="AG100" s="33" t="n">
        <x:f>--(WorkforceData[[#This Row],[Total Days Worked]]&gt;=121)</x:f>
        <x:v>0</x:v>
      </x:c>
    </x:row>
    <x:row r="101">
      <x:c r="A101" s="236" t="str">
        <x:v>TRN-0100</x:v>
      </x:c>
      <x:c r="B101" s="243"/>
      <x:c r="C101" s="243"/>
      <x:c r="D101" s="243"/>
      <x:c r="E101" s="243"/>
      <x:c r="F101" s="14" t="str">
        <x:v>Recruiter E</x:v>
      </x:c>
      <x:c r="G101" s="14" t="str">
        <x:v>Training Center A</x:v>
      </x:c>
      <x:c r="H101" s="28">
        <x:v>45181</x:v>
      </x:c>
      <x:c r="I101" s="14">
        <x:v>2023</x:v>
      </x:c>
      <x:c r="J101" s="14" t="s">
        <x:v>127</x:v>
      </x:c>
      <x:c r="K101" s="14">
        <x:v>32</x:v>
      </x:c>
      <x:c r="L101" s="29" t="s">
        <x:v>128</x:v>
      </x:c>
      <x:c r="M101" s="28">
        <x:v>45179</x:v>
      </x:c>
      <x:c r="N101" s="14"/>
      <x:c r="O101" s="14">
        <x:v>1072</x:v>
      </x:c>
      <x:c r="P101" s="14" t="s">
        <x:v>122</x:v>
      </x:c>
      <x:c r="Q101" s="14" t="s">
        <x:v>25</x:v>
      </x:c>
      <x:c r="R101" s="14"/>
      <x:c r="S101" s="14" t="s">
        <x:v>108</x:v>
      </x:c>
      <x:c r="T101" s="14" t="str">
        <x:v>Region B</x:v>
      </x:c>
      <x:c r="U101" s="28">
        <x:v>45209</x:v>
      </x:c>
      <x:c r="V101" s="30">
        <x:v>28</x:v>
      </x:c>
      <x:c r="W101" s="14" t="s">
        <x:v>112</x:v>
      </x:c>
      <x:c r="X101" s="14" t="s">
        <x:v>106</x:v>
      </x:c>
      <x:c r="Y101" s="32" t="str">
        <x:v>TRN-0100|20230912</x:v>
      </x:c>
      <x:c r="Z101" s="32" t="str" cm="1">
        <x:f t="array" ref="Z10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01" s="33" t="n">
        <x:f>--OR(WorkforceData[[#This Row],[Status]]="Active",WorkforceData[[#This Row],[Promoted]]="Yes",WorkforceData[[#This Row],[Total Days Worked]]&gt;=121)</x:f>
        <x:v>1</x:v>
      </x:c>
      <x:c r="AB101" s="33" t="n">
        <x:f>IF(AND(Q101="Terminated",R101="",O101=0),1,0)</x:f>
        <x:v>0</x:v>
      </x:c>
      <x:c r="AC101" s="33" t="n">
        <x:f>--OR(WorkforceData[[#This Row],[Status]]="Resigned",WorkforceData[[#This Row],[Status After Training]]="Withdrew")</x:f>
        <x:v>0</x:v>
      </x:c>
      <x:c r="AD101" s="34" t="n">
        <x:f>EOMONTH(WorkforceData[[#This Row],[Training Date]],0)</x:f>
        <x:v>45199</x:v>
      </x:c>
      <x:c r="AE101" s="32" t="str">
        <x:f>IF(M101&lt;H101,"Existing Employee",IF(U101="","No Assignment",IF(V101=0,"0 Days",IF(V101&lt;=7,"1-7 Days",IF(V101&lt;=14,"8-14 Days",IF(V101&lt;=21,"15-21 Days","21+ Days"))))))</x:f>
        <x:v>Existing Employee</x:v>
      </x:c>
      <x:c r="AF10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01" s="33" t="n">
        <x:f>--(WorkforceData[[#This Row],[Total Days Worked]]&gt;=121)</x:f>
        <x:v>1</x:v>
      </x:c>
    </x:row>
    <x:row r="102">
      <x:c r="A102" s="236" t="str">
        <x:v>TRN-0101</x:v>
      </x:c>
      <x:c r="B102" s="243"/>
      <x:c r="C102" s="243"/>
      <x:c r="D102" s="243"/>
      <x:c r="E102" s="243"/>
      <x:c r="F102" s="14" t="str">
        <x:v>Recruiter B</x:v>
      </x:c>
      <x:c r="G102" s="14" t="str">
        <x:v>Training Center A</x:v>
      </x:c>
      <x:c r="H102" s="28">
        <x:v>45181</x:v>
      </x:c>
      <x:c r="I102" s="14">
        <x:v>2023</x:v>
      </x:c>
      <x:c r="J102" s="14" t="s">
        <x:v>127</x:v>
      </x:c>
      <x:c r="K102" s="14">
        <x:v>32</x:v>
      </x:c>
      <x:c r="L102" s="29" t="s">
        <x:v>128</x:v>
      </x:c>
      <x:c r="M102" s="28">
        <x:v>45176</x:v>
      </x:c>
      <x:c r="N102" s="28">
        <x:v>46014</x:v>
      </x:c>
      <x:c r="O102" s="14">
        <x:v>838</x:v>
      </x:c>
      <x:c r="P102" s="14" t="s">
        <x:v>122</x:v>
      </x:c>
      <x:c r="Q102" s="14" t="s">
        <x:v>33</x:v>
      </x:c>
      <x:c r="R102" s="14" t="s">
        <x:v>124</x:v>
      </x:c>
      <x:c r="S102" s="14" t="s">
        <x:v>108</x:v>
      </x:c>
      <x:c r="T102" s="14" t="str">
        <x:v>Region A</x:v>
      </x:c>
      <x:c r="U102" s="28">
        <x:v>45181</x:v>
      </x:c>
      <x:c r="V102" s="30">
        <x:v>0</x:v>
      </x:c>
      <x:c r="W102" s="14" t="s">
        <x:v>109</x:v>
      </x:c>
      <x:c r="X102" s="14" t="s">
        <x:v>106</x:v>
      </x:c>
      <x:c r="Y102" s="32" t="str">
        <x:v>TRN-0101|20230912</x:v>
      </x:c>
      <x:c r="Z102" s="32" t="str" cm="1">
        <x:f t="array" ref="Z10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102" s="33" t="n">
        <x:f>--OR(WorkforceData[[#This Row],[Status]]="Active",WorkforceData[[#This Row],[Promoted]]="Yes",WorkforceData[[#This Row],[Total Days Worked]]&gt;=121)</x:f>
        <x:v>1</x:v>
      </x:c>
      <x:c r="AB102" s="33" t="n">
        <x:f>IF(AND(Q102="Terminated",R102="",O102=0),1,0)</x:f>
        <x:v>0</x:v>
      </x:c>
      <x:c r="AC102" s="33" t="n">
        <x:f>--OR(WorkforceData[[#This Row],[Status]]="Resigned",WorkforceData[[#This Row],[Status After Training]]="Withdrew")</x:f>
        <x:v>0</x:v>
      </x:c>
      <x:c r="AD102" s="34" t="n">
        <x:f>EOMONTH(WorkforceData[[#This Row],[Training Date]],0)</x:f>
        <x:v>45199</x:v>
      </x:c>
      <x:c r="AE102" s="32" t="str">
        <x:f>IF(M102&lt;H102,"Existing Employee",IF(U102="","No Assignment",IF(V102=0,"0 Days",IF(V102&lt;=7,"1-7 Days",IF(V102&lt;=14,"8-14 Days",IF(V102&lt;=21,"15-21 Days","21+ Days"))))))</x:f>
        <x:v>Existing Employee</x:v>
      </x:c>
      <x:c r="AF10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02" s="33" t="n">
        <x:f>--(WorkforceData[[#This Row],[Total Days Worked]]&gt;=121)</x:f>
        <x:v>1</x:v>
      </x:c>
    </x:row>
    <x:row r="103">
      <x:c r="A103" s="236" t="str">
        <x:v>TRN-0102</x:v>
      </x:c>
      <x:c r="B103" s="243"/>
      <x:c r="C103" s="243"/>
      <x:c r="D103" s="243"/>
      <x:c r="E103" s="243"/>
      <x:c r="F103" s="14" t="str">
        <x:v>Recruiter B</x:v>
      </x:c>
      <x:c r="G103" s="14" t="str">
        <x:v>Training Center A</x:v>
      </x:c>
      <x:c r="H103" s="28">
        <x:v>45181</x:v>
      </x:c>
      <x:c r="I103" s="14">
        <x:v>2023</x:v>
      </x:c>
      <x:c r="J103" s="14" t="s">
        <x:v>127</x:v>
      </x:c>
      <x:c r="K103" s="14">
        <x:v>32</x:v>
      </x:c>
      <x:c r="L103" s="29" t="s">
        <x:v>128</x:v>
      </x:c>
      <x:c r="M103" s="28">
        <x:v>45176</x:v>
      </x:c>
      <x:c r="N103" s="14"/>
      <x:c r="O103" s="14">
        <x:v>1075</x:v>
      </x:c>
      <x:c r="P103" s="14" t="s">
        <x:v>122</x:v>
      </x:c>
      <x:c r="Q103" s="14" t="s">
        <x:v>25</x:v>
      </x:c>
      <x:c r="R103" s="14"/>
      <x:c r="S103" s="14" t="s">
        <x:v>105</x:v>
      </x:c>
      <x:c r="T103" s="14"/>
      <x:c r="U103" s="28"/>
      <x:c r="V103" s="30"/>
      <x:c r="W103" s="14"/>
      <x:c r="X103" s="14" t="s">
        <x:v>71</x:v>
      </x:c>
      <x:c r="Y103" s="32" t="str">
        <x:v>TRN-0102|20230912</x:v>
      </x:c>
      <x:c r="Z103" s="32" t="str" cm="1">
        <x:f t="array" ref="Z10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03" s="33" t="n">
        <x:f>--OR(WorkforceData[[#This Row],[Status]]="Active",WorkforceData[[#This Row],[Promoted]]="Yes",WorkforceData[[#This Row],[Total Days Worked]]&gt;=121)</x:f>
        <x:v>1</x:v>
      </x:c>
      <x:c r="AB103" s="33" t="n">
        <x:f>IF(AND(Q103="Terminated",R103="",O103=0),1,0)</x:f>
        <x:v>0</x:v>
      </x:c>
      <x:c r="AC103" s="33" t="n">
        <x:f>--OR(WorkforceData[[#This Row],[Status]]="Resigned",WorkforceData[[#This Row],[Status After Training]]="Withdrew")</x:f>
        <x:v>0</x:v>
      </x:c>
      <x:c r="AD103" s="34" t="n">
        <x:f>EOMONTH(WorkforceData[[#This Row],[Training Date]],0)</x:f>
        <x:v>45199</x:v>
      </x:c>
      <x:c r="AE103" s="32" t="str">
        <x:f>IF(M103&lt;H103,"Existing Employee",IF(U103="","No Assignment",IF(V103=0,"0 Days",IF(V103&lt;=7,"1-7 Days",IF(V103&lt;=14,"8-14 Days",IF(V103&lt;=21,"15-21 Days","21+ Days"))))))</x:f>
        <x:v>Existing Employee</x:v>
      </x:c>
      <x:c r="AF10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03" s="33" t="n">
        <x:f>--(WorkforceData[[#This Row],[Total Days Worked]]&gt;=121)</x:f>
        <x:v>1</x:v>
      </x:c>
    </x:row>
    <x:row r="104">
      <x:c r="A104" s="236" t="str">
        <x:v>TRN-0103</x:v>
      </x:c>
      <x:c r="B104" s="243"/>
      <x:c r="C104" s="243"/>
      <x:c r="D104" s="243"/>
      <x:c r="E104" s="243"/>
      <x:c r="F104" s="14" t="str">
        <x:v>Recruiter F</x:v>
      </x:c>
      <x:c r="G104" s="14" t="str">
        <x:v>Training Center A</x:v>
      </x:c>
      <x:c r="H104" s="28">
        <x:v>45181</x:v>
      </x:c>
      <x:c r="I104" s="14">
        <x:v>2023</x:v>
      </x:c>
      <x:c r="J104" s="14" t="s">
        <x:v>127</x:v>
      </x:c>
      <x:c r="K104" s="14">
        <x:v>32</x:v>
      </x:c>
      <x:c r="L104" s="29" t="s">
        <x:v>128</x:v>
      </x:c>
      <x:c r="M104" s="28">
        <x:v>45181</x:v>
      </x:c>
      <x:c r="N104" s="28">
        <x:v>45428</x:v>
      </x:c>
      <x:c r="O104" s="14">
        <x:v>247</x:v>
      </x:c>
      <x:c r="P104" s="14" t="s">
        <x:v>107</x:v>
      </x:c>
      <x:c r="Q104" s="14" t="s">
        <x:v>33</x:v>
      </x:c>
      <x:c r="R104" s="14" t="s">
        <x:v>116</x:v>
      </x:c>
      <x:c r="S104" s="14" t="s">
        <x:v>108</x:v>
      </x:c>
      <x:c r="T104" s="14" t="str">
        <x:v>Region C</x:v>
      </x:c>
      <x:c r="U104" s="28">
        <x:v>45190</x:v>
      </x:c>
      <x:c r="V104" s="30">
        <x:v>9</x:v>
      </x:c>
      <x:c r="W104" s="14" t="s">
        <x:v>45</x:v>
      </x:c>
      <x:c r="X104" s="14" t="s">
        <x:v>106</x:v>
      </x:c>
      <x:c r="Y104" s="32" t="str">
        <x:v>TRN-0103|20230912</x:v>
      </x:c>
      <x:c r="Z104" s="32" t="str" cm="1">
        <x:f t="array" ref="Z10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104" s="33" t="n">
        <x:f>--OR(WorkforceData[[#This Row],[Status]]="Active",WorkforceData[[#This Row],[Promoted]]="Yes",WorkforceData[[#This Row],[Total Days Worked]]&gt;=121)</x:f>
        <x:v>1</x:v>
      </x:c>
      <x:c r="AB104" s="33" t="n">
        <x:f>IF(AND(Q104="Terminated",R104="",O104=0),1,0)</x:f>
        <x:v>0</x:v>
      </x:c>
      <x:c r="AC104" s="33" t="n">
        <x:f>--OR(WorkforceData[[#This Row],[Status]]="Resigned",WorkforceData[[#This Row],[Status After Training]]="Withdrew")</x:f>
        <x:v>0</x:v>
      </x:c>
      <x:c r="AD104" s="34" t="n">
        <x:f>EOMONTH(WorkforceData[[#This Row],[Training Date]],0)</x:f>
        <x:v>45199</x:v>
      </x:c>
      <x:c r="AE104" s="32" t="str">
        <x:f>IF(M104&lt;H104,"Existing Employee",IF(U104="","No Assignment",IF(V104=0,"0 Days",IF(V104&lt;=7,"1-7 Days",IF(V104&lt;=14,"8-14 Days",IF(V104&lt;=21,"15-21 Days","21+ Days"))))))</x:f>
        <x:v>8-14 Days</x:v>
      </x:c>
      <x:c r="AF10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04" s="33" t="n">
        <x:f>--(WorkforceData[[#This Row],[Total Days Worked]]&gt;=121)</x:f>
        <x:v>1</x:v>
      </x:c>
    </x:row>
    <x:row r="105">
      <x:c r="A105" s="236" t="str">
        <x:v>TRN-0104</x:v>
      </x:c>
      <x:c r="B105" s="243"/>
      <x:c r="C105" s="243"/>
      <x:c r="D105" s="243"/>
      <x:c r="E105" s="243"/>
      <x:c r="F105" s="14" t="str">
        <x:v>Recruiter B</x:v>
      </x:c>
      <x:c r="G105" s="14" t="str">
        <x:v>Training Center A</x:v>
      </x:c>
      <x:c r="H105" s="28">
        <x:v>45181</x:v>
      </x:c>
      <x:c r="I105" s="14">
        <x:v>2023</x:v>
      </x:c>
      <x:c r="J105" s="14" t="s">
        <x:v>127</x:v>
      </x:c>
      <x:c r="K105" s="14">
        <x:v>32</x:v>
      </x:c>
      <x:c r="L105" s="29" t="s">
        <x:v>128</x:v>
      </x:c>
      <x:c r="M105" s="28">
        <x:v>45171</x:v>
      </x:c>
      <x:c r="N105" s="28">
        <x:v>45194</x:v>
      </x:c>
      <x:c r="O105" s="14">
        <x:v>23</x:v>
      </x:c>
      <x:c r="P105" s="14" t="s">
        <x:v>102</x:v>
      </x:c>
      <x:c r="Q105" s="14" t="s">
        <x:v>33</x:v>
      </x:c>
      <x:c r="R105" s="14" t="s">
        <x:v>121</x:v>
      </x:c>
      <x:c r="S105" s="14" t="s">
        <x:v>105</x:v>
      </x:c>
      <x:c r="T105" s="14" t="str">
        <x:v>Region E</x:v>
      </x:c>
      <x:c r="U105" s="28">
        <x:v>45184</x:v>
      </x:c>
      <x:c r="V105" s="30">
        <x:v>3</x:v>
      </x:c>
      <x:c r="W105" s="14" t="s">
        <x:v>109</x:v>
      </x:c>
      <x:c r="X105" s="14" t="s">
        <x:v>106</x:v>
      </x:c>
      <x:c r="Y105" s="32" t="str">
        <x:v>TRN-0104|20230912</x:v>
      </x:c>
      <x:c r="Z105" s="32" t="str" cm="1">
        <x:f t="array" ref="Z10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105" s="33" t="n">
        <x:f>--OR(WorkforceData[[#This Row],[Status]]="Active",WorkforceData[[#This Row],[Promoted]]="Yes",WorkforceData[[#This Row],[Total Days Worked]]&gt;=121)</x:f>
        <x:v>0</x:v>
      </x:c>
      <x:c r="AB105" s="33" t="n">
        <x:f>IF(AND(Q105="Terminated",R105="",O105=0),1,0)</x:f>
        <x:v>0</x:v>
      </x:c>
      <x:c r="AC105" s="33" t="n">
        <x:f>--OR(WorkforceData[[#This Row],[Status]]="Resigned",WorkforceData[[#This Row],[Status After Training]]="Withdrew")</x:f>
        <x:v>0</x:v>
      </x:c>
      <x:c r="AD105" s="34" t="n">
        <x:f>EOMONTH(WorkforceData[[#This Row],[Training Date]],0)</x:f>
        <x:v>45199</x:v>
      </x:c>
      <x:c r="AE105" s="32" t="str">
        <x:f>IF(M105&lt;H105,"Existing Employee",IF(U105="","No Assignment",IF(V105=0,"0 Days",IF(V105&lt;=7,"1-7 Days",IF(V105&lt;=14,"8-14 Days",IF(V105&lt;=21,"15-21 Days","21+ Days"))))))</x:f>
        <x:v>Existing Employee</x:v>
      </x:c>
      <x:c r="AF10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105" s="33" t="n">
        <x:f>--(WorkforceData[[#This Row],[Total Days Worked]]&gt;=121)</x:f>
        <x:v>0</x:v>
      </x:c>
    </x:row>
    <x:row r="106">
      <x:c r="A106" s="236" t="str">
        <x:v>TRN-0105</x:v>
      </x:c>
      <x:c r="B106" s="243"/>
      <x:c r="C106" s="243"/>
      <x:c r="D106" s="243"/>
      <x:c r="E106" s="243"/>
      <x:c r="F106" s="14" t="str">
        <x:v>Recruiter C</x:v>
      </x:c>
      <x:c r="G106" s="14" t="str">
        <x:v>Training Center A</x:v>
      </x:c>
      <x:c r="H106" s="28">
        <x:v>45181</x:v>
      </x:c>
      <x:c r="I106" s="14">
        <x:v>2023</x:v>
      </x:c>
      <x:c r="J106" s="14" t="s">
        <x:v>127</x:v>
      </x:c>
      <x:c r="K106" s="14">
        <x:v>32</x:v>
      </x:c>
      <x:c r="L106" s="29" t="s">
        <x:v>128</x:v>
      </x:c>
      <x:c r="M106" s="28">
        <x:v>45181</x:v>
      </x:c>
      <x:c r="N106" s="28">
        <x:v>45272</x:v>
      </x:c>
      <x:c r="O106" s="14">
        <x:v>91</x:v>
      </x:c>
      <x:c r="P106" s="14" t="s">
        <x:v>113</x:v>
      </x:c>
      <x:c r="Q106" s="14" t="s">
        <x:v>103</x:v>
      </x:c>
      <x:c r="R106" s="14" t="s">
        <x:v>104</x:v>
      </x:c>
      <x:c r="S106" s="14" t="s">
        <x:v>105</x:v>
      </x:c>
      <x:c r="T106" s="14" t="str">
        <x:v>Region D</x:v>
      </x:c>
      <x:c r="U106" s="28">
        <x:v>45272</x:v>
      </x:c>
      <x:c r="V106" s="30">
        <x:v>91</x:v>
      </x:c>
      <x:c r="W106" s="14" t="s">
        <x:v>114</x:v>
      </x:c>
      <x:c r="X106" s="14" t="s">
        <x:v>115</x:v>
      </x:c>
      <x:c r="Y106" s="32" t="str">
        <x:v>TRN-0105|20230912</x:v>
      </x:c>
      <x:c r="Z106" s="32" t="str" cm="1">
        <x:f t="array" ref="Z10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106" s="33" t="n">
        <x:f>--OR(WorkforceData[[#This Row],[Status]]="Active",WorkforceData[[#This Row],[Promoted]]="Yes",WorkforceData[[#This Row],[Total Days Worked]]&gt;=121)</x:f>
        <x:v>0</x:v>
      </x:c>
      <x:c r="AB106" s="33" t="n">
        <x:f>IF(AND(Q106="Terminated",R106="",O106=0),1,0)</x:f>
        <x:v>0</x:v>
      </x:c>
      <x:c r="AC106" s="33" t="n">
        <x:f>--OR(WorkforceData[[#This Row],[Status]]="Resigned",WorkforceData[[#This Row],[Status After Training]]="Withdrew")</x:f>
        <x:v>1</x:v>
      </x:c>
      <x:c r="AD106" s="34" t="n">
        <x:f>EOMONTH(WorkforceData[[#This Row],[Training Date]],0)</x:f>
        <x:v>45199</x:v>
      </x:c>
      <x:c r="AE106" s="32" t="str">
        <x:f>IF(M106&lt;H106,"Existing Employee",IF(U106="","No Assignment",IF(V106=0,"0 Days",IF(V106&lt;=7,"1-7 Days",IF(V106&lt;=14,"8-14 Days",IF(V106&lt;=21,"15-21 Days","21+ Days"))))))</x:f>
        <x:v>21+ Days</x:v>
      </x:c>
      <x:c r="AF10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91-120 Days</x:v>
      </x:c>
      <x:c r="AG106" s="33" t="n">
        <x:f>--(WorkforceData[[#This Row],[Total Days Worked]]&gt;=121)</x:f>
        <x:v>0</x:v>
      </x:c>
    </x:row>
    <x:row r="107">
      <x:c r="A107" s="236" t="str">
        <x:v>TRN-0106</x:v>
      </x:c>
      <x:c r="B107" s="243"/>
      <x:c r="C107" s="243"/>
      <x:c r="D107" s="243"/>
      <x:c r="E107" s="243"/>
      <x:c r="F107" s="14" t="str">
        <x:v>Recruiter B</x:v>
      </x:c>
      <x:c r="G107" s="14" t="str">
        <x:v>Training Center A</x:v>
      </x:c>
      <x:c r="H107" s="28">
        <x:v>45181</x:v>
      </x:c>
      <x:c r="I107" s="14">
        <x:v>2023</x:v>
      </x:c>
      <x:c r="J107" s="14" t="s">
        <x:v>127</x:v>
      </x:c>
      <x:c r="K107" s="14">
        <x:v>32</x:v>
      </x:c>
      <x:c r="L107" s="29" t="s">
        <x:v>128</x:v>
      </x:c>
      <x:c r="M107" s="28">
        <x:v>45174</x:v>
      </x:c>
      <x:c r="N107" s="28">
        <x:v>45448</x:v>
      </x:c>
      <x:c r="O107" s="14">
        <x:v>274</x:v>
      </x:c>
      <x:c r="P107" s="14" t="s">
        <x:v>107</x:v>
      </x:c>
      <x:c r="Q107" s="14" t="s">
        <x:v>33</x:v>
      </x:c>
      <x:c r="R107" s="14" t="s">
        <x:v>116</x:v>
      </x:c>
      <x:c r="S107" s="14" t="s">
        <x:v>108</x:v>
      </x:c>
      <x:c r="T107" s="14" t="str">
        <x:v>Region B</x:v>
      </x:c>
      <x:c r="U107" s="28">
        <x:v>45185</x:v>
      </x:c>
      <x:c r="V107" s="30">
        <x:v>4</x:v>
      </x:c>
      <x:c r="W107" s="14" t="s">
        <x:v>109</x:v>
      </x:c>
      <x:c r="X107" s="14" t="s">
        <x:v>106</x:v>
      </x:c>
      <x:c r="Y107" s="32" t="str">
        <x:v>TRN-0106|20230912</x:v>
      </x:c>
      <x:c r="Z107" s="32" t="str" cm="1">
        <x:f t="array" ref="Z10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107" s="33" t="n">
        <x:f>--OR(WorkforceData[[#This Row],[Status]]="Active",WorkforceData[[#This Row],[Promoted]]="Yes",WorkforceData[[#This Row],[Total Days Worked]]&gt;=121)</x:f>
        <x:v>1</x:v>
      </x:c>
      <x:c r="AB107" s="33" t="n">
        <x:f>IF(AND(Q107="Terminated",R107="",O107=0),1,0)</x:f>
        <x:v>0</x:v>
      </x:c>
      <x:c r="AC107" s="33" t="n">
        <x:f>--OR(WorkforceData[[#This Row],[Status]]="Resigned",WorkforceData[[#This Row],[Status After Training]]="Withdrew")</x:f>
        <x:v>0</x:v>
      </x:c>
      <x:c r="AD107" s="34" t="n">
        <x:f>EOMONTH(WorkforceData[[#This Row],[Training Date]],0)</x:f>
        <x:v>45199</x:v>
      </x:c>
      <x:c r="AE107" s="32" t="str">
        <x:f>IF(M107&lt;H107,"Existing Employee",IF(U107="","No Assignment",IF(V107=0,"0 Days",IF(V107&lt;=7,"1-7 Days",IF(V107&lt;=14,"8-14 Days",IF(V107&lt;=21,"15-21 Days","21+ Days"))))))</x:f>
        <x:v>Existing Employee</x:v>
      </x:c>
      <x:c r="AF10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07" s="33" t="n">
        <x:f>--(WorkforceData[[#This Row],[Total Days Worked]]&gt;=121)</x:f>
        <x:v>1</x:v>
      </x:c>
    </x:row>
    <x:row r="108">
      <x:c r="A108" s="236" t="str">
        <x:v>TRN-0107</x:v>
      </x:c>
      <x:c r="B108" s="243"/>
      <x:c r="C108" s="243"/>
      <x:c r="D108" s="243"/>
      <x:c r="E108" s="243"/>
      <x:c r="F108" s="14" t="str">
        <x:v>Recruiter B</x:v>
      </x:c>
      <x:c r="G108" s="14" t="str">
        <x:v>Training Center A</x:v>
      </x:c>
      <x:c r="H108" s="28">
        <x:v>45181</x:v>
      </x:c>
      <x:c r="I108" s="14">
        <x:v>2023</x:v>
      </x:c>
      <x:c r="J108" s="14" t="s">
        <x:v>127</x:v>
      </x:c>
      <x:c r="K108" s="14">
        <x:v>32</x:v>
      </x:c>
      <x:c r="L108" s="29" t="s">
        <x:v>128</x:v>
      </x:c>
      <x:c r="M108" s="28">
        <x:v>45181</x:v>
      </x:c>
      <x:c r="N108" s="28">
        <x:v>45360</x:v>
      </x:c>
      <x:c r="O108" s="14">
        <x:v>179</x:v>
      </x:c>
      <x:c r="P108" s="14" t="s">
        <x:v>113</x:v>
      </x:c>
      <x:c r="Q108" s="14" t="s">
        <x:v>103</x:v>
      </x:c>
      <x:c r="R108" s="14" t="s">
        <x:v>104</x:v>
      </x:c>
      <x:c r="S108" s="14" t="s">
        <x:v>105</x:v>
      </x:c>
      <x:c r="T108" s="14" t="str">
        <x:v>Region A</x:v>
      </x:c>
      <x:c r="U108" s="28">
        <x:v>45192</x:v>
      </x:c>
      <x:c r="V108" s="30">
        <x:v>11</x:v>
      </x:c>
      <x:c r="W108" s="14" t="s">
        <x:v>45</x:v>
      </x:c>
      <x:c r="X108" s="14" t="s">
        <x:v>106</x:v>
      </x:c>
      <x:c r="Y108" s="32" t="str">
        <x:v>TRN-0107|20230912</x:v>
      </x:c>
      <x:c r="Z108" s="32" t="str" cm="1">
        <x:f t="array" ref="Z10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Complete</x:v>
      </x:c>
      <x:c r="AA108" s="33" t="n">
        <x:f>--OR(WorkforceData[[#This Row],[Status]]="Active",WorkforceData[[#This Row],[Promoted]]="Yes",WorkforceData[[#This Row],[Total Days Worked]]&gt;=121)</x:f>
        <x:v>1</x:v>
      </x:c>
      <x:c r="AB108" s="33" t="n">
        <x:f>IF(AND(Q108="Terminated",R108="",O108=0),1,0)</x:f>
        <x:v>0</x:v>
      </x:c>
      <x:c r="AC108" s="33" t="n">
        <x:f>--OR(WorkforceData[[#This Row],[Status]]="Resigned",WorkforceData[[#This Row],[Status After Training]]="Withdrew")</x:f>
        <x:v>1</x:v>
      </x:c>
      <x:c r="AD108" s="34" t="n">
        <x:f>EOMONTH(WorkforceData[[#This Row],[Training Date]],0)</x:f>
        <x:v>45199</x:v>
      </x:c>
      <x:c r="AE108" s="32" t="str">
        <x:f>IF(M108&lt;H108,"Existing Employee",IF(U108="","No Assignment",IF(V108=0,"0 Days",IF(V108&lt;=7,"1-7 Days",IF(V108&lt;=14,"8-14 Days",IF(V108&lt;=21,"15-21 Days","21+ Days"))))))</x:f>
        <x:v>8-14 Days</x:v>
      </x:c>
      <x:c r="AF10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08" s="33" t="n">
        <x:f>--(WorkforceData[[#This Row],[Total Days Worked]]&gt;=121)</x:f>
        <x:v>1</x:v>
      </x:c>
    </x:row>
    <x:row r="109">
      <x:c r="A109" s="236" t="str">
        <x:v>TRN-0108</x:v>
      </x:c>
      <x:c r="B109" s="243"/>
      <x:c r="C109" s="243"/>
      <x:c r="D109" s="243"/>
      <x:c r="E109" s="243"/>
      <x:c r="F109" s="14" t="str">
        <x:v>Recruiter H</x:v>
      </x:c>
      <x:c r="G109" s="14" t="str">
        <x:v>Training Center A</x:v>
      </x:c>
      <x:c r="H109" s="28">
        <x:v>45181</x:v>
      </x:c>
      <x:c r="I109" s="14">
        <x:v>2023</x:v>
      </x:c>
      <x:c r="J109" s="14" t="s">
        <x:v>127</x:v>
      </x:c>
      <x:c r="K109" s="14">
        <x:v>32</x:v>
      </x:c>
      <x:c r="L109" s="29" t="s">
        <x:v>128</x:v>
      </x:c>
      <x:c r="M109" s="28">
        <x:v>45181</x:v>
      </x:c>
      <x:c r="N109" s="28">
        <x:v>45527</x:v>
      </x:c>
      <x:c r="O109" s="14">
        <x:v>346</x:v>
      </x:c>
      <x:c r="P109" s="14" t="s">
        <x:v>107</x:v>
      </x:c>
      <x:c r="Q109" s="14" t="s">
        <x:v>103</x:v>
      </x:c>
      <x:c r="R109" s="14" t="s">
        <x:v>104</x:v>
      </x:c>
      <x:c r="S109" s="14" t="s">
        <x:v>108</x:v>
      </x:c>
      <x:c r="T109" s="14" t="str">
        <x:v>Region B</x:v>
      </x:c>
      <x:c r="U109" s="28">
        <x:v>45186</x:v>
      </x:c>
      <x:c r="V109" s="30">
        <x:v>5</x:v>
      </x:c>
      <x:c r="W109" s="14" t="s">
        <x:v>109</x:v>
      </x:c>
      <x:c r="X109" s="14" t="s">
        <x:v>106</x:v>
      </x:c>
      <x:c r="Y109" s="32" t="str">
        <x:v>TRN-0108|20230912</x:v>
      </x:c>
      <x:c r="Z109" s="32" t="str" cm="1">
        <x:f t="array" ref="Z10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109" s="33" t="n">
        <x:f>--OR(WorkforceData[[#This Row],[Status]]="Active",WorkforceData[[#This Row],[Promoted]]="Yes",WorkforceData[[#This Row],[Total Days Worked]]&gt;=121)</x:f>
        <x:v>1</x:v>
      </x:c>
      <x:c r="AB109" s="33" t="n">
        <x:f>IF(AND(Q109="Terminated",R109="",O109=0),1,0)</x:f>
        <x:v>0</x:v>
      </x:c>
      <x:c r="AC109" s="33" t="n">
        <x:f>--OR(WorkforceData[[#This Row],[Status]]="Resigned",WorkforceData[[#This Row],[Status After Training]]="Withdrew")</x:f>
        <x:v>1</x:v>
      </x:c>
      <x:c r="AD109" s="34" t="n">
        <x:f>EOMONTH(WorkforceData[[#This Row],[Training Date]],0)</x:f>
        <x:v>45199</x:v>
      </x:c>
      <x:c r="AE109" s="32" t="str">
        <x:f>IF(M109&lt;H109,"Existing Employee",IF(U109="","No Assignment",IF(V109=0,"0 Days",IF(V109&lt;=7,"1-7 Days",IF(V109&lt;=14,"8-14 Days",IF(V109&lt;=21,"15-21 Days","21+ Days"))))))</x:f>
        <x:v>1-7 Days</x:v>
      </x:c>
      <x:c r="AF10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09" s="33" t="n">
        <x:f>--(WorkforceData[[#This Row],[Total Days Worked]]&gt;=121)</x:f>
        <x:v>1</x:v>
      </x:c>
    </x:row>
    <x:row r="110">
      <x:c r="A110" s="236" t="str">
        <x:v>TRN-0109</x:v>
      </x:c>
      <x:c r="B110" s="243"/>
      <x:c r="C110" s="243"/>
      <x:c r="D110" s="243"/>
      <x:c r="E110" s="243"/>
      <x:c r="F110" s="14" t="str">
        <x:v>Recruiter F</x:v>
      </x:c>
      <x:c r="G110" s="14" t="str">
        <x:v>Training Center A</x:v>
      </x:c>
      <x:c r="H110" s="28">
        <x:v>45181</x:v>
      </x:c>
      <x:c r="I110" s="14">
        <x:v>2023</x:v>
      </x:c>
      <x:c r="J110" s="14" t="s">
        <x:v>127</x:v>
      </x:c>
      <x:c r="K110" s="14">
        <x:v>32</x:v>
      </x:c>
      <x:c r="L110" s="29" t="s">
        <x:v>128</x:v>
      </x:c>
      <x:c r="M110" s="28">
        <x:v>45178</x:v>
      </x:c>
      <x:c r="N110" s="28">
        <x:v>45294</x:v>
      </x:c>
      <x:c r="O110" s="14">
        <x:v>116</x:v>
      </x:c>
      <x:c r="P110" s="14" t="s">
        <x:v>113</x:v>
      </x:c>
      <x:c r="Q110" s="14" t="s">
        <x:v>33</x:v>
      </x:c>
      <x:c r="R110" s="14" t="s">
        <x:v>124</x:v>
      </x:c>
      <x:c r="S110" s="14" t="s">
        <x:v>105</x:v>
      </x:c>
      <x:c r="T110" s="14" t="str">
        <x:v>Region B</x:v>
      </x:c>
      <x:c r="U110" s="28">
        <x:v>45192</x:v>
      </x:c>
      <x:c r="V110" s="30">
        <x:v>11</x:v>
      </x:c>
      <x:c r="W110" s="14" t="s">
        <x:v>45</x:v>
      </x:c>
      <x:c r="X110" s="14" t="s">
        <x:v>106</x:v>
      </x:c>
      <x:c r="Y110" s="32" t="str">
        <x:v>TRN-0109|20230912</x:v>
      </x:c>
      <x:c r="Z110" s="32" t="str" cm="1">
        <x:f t="array" ref="Z11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110" s="33" t="n">
        <x:f>--OR(WorkforceData[[#This Row],[Status]]="Active",WorkforceData[[#This Row],[Promoted]]="Yes",WorkforceData[[#This Row],[Total Days Worked]]&gt;=121)</x:f>
        <x:v>0</x:v>
      </x:c>
      <x:c r="AB110" s="33" t="n">
        <x:f>IF(AND(Q110="Terminated",R110="",O110=0),1,0)</x:f>
        <x:v>0</x:v>
      </x:c>
      <x:c r="AC110" s="33" t="n">
        <x:f>--OR(WorkforceData[[#This Row],[Status]]="Resigned",WorkforceData[[#This Row],[Status After Training]]="Withdrew")</x:f>
        <x:v>0</x:v>
      </x:c>
      <x:c r="AD110" s="34" t="n">
        <x:f>EOMONTH(WorkforceData[[#This Row],[Training Date]],0)</x:f>
        <x:v>45199</x:v>
      </x:c>
      <x:c r="AE110" s="32" t="str">
        <x:f>IF(M110&lt;H110,"Existing Employee",IF(U110="","No Assignment",IF(V110=0,"0 Days",IF(V110&lt;=7,"1-7 Days",IF(V110&lt;=14,"8-14 Days",IF(V110&lt;=21,"15-21 Days","21+ Days"))))))</x:f>
        <x:v>Existing Employee</x:v>
      </x:c>
      <x:c r="AF11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91-120 Days</x:v>
      </x:c>
      <x:c r="AG110" s="33" t="n">
        <x:f>--(WorkforceData[[#This Row],[Total Days Worked]]&gt;=121)</x:f>
        <x:v>0</x:v>
      </x:c>
    </x:row>
    <x:row r="111">
      <x:c r="A111" s="236" t="str">
        <x:v>TRN-0110</x:v>
      </x:c>
      <x:c r="B111" s="243"/>
      <x:c r="C111" s="243"/>
      <x:c r="D111" s="243"/>
      <x:c r="E111" s="243"/>
      <x:c r="F111" s="14" t="str">
        <x:v>Recruiter E</x:v>
      </x:c>
      <x:c r="G111" s="14" t="str">
        <x:v>Training Center A</x:v>
      </x:c>
      <x:c r="H111" s="28">
        <x:v>46203</x:v>
      </x:c>
      <x:c r="I111" s="14">
        <x:v>2026</x:v>
      </x:c>
      <x:c r="J111" s="14" t="s">
        <x:v>129</x:v>
      </x:c>
      <x:c r="K111" s="14">
        <x:v>26</x:v>
      </x:c>
      <x:c r="L111" s="29" t="s">
        <x:v>101</x:v>
      </x:c>
      <x:c r="M111" s="28">
        <x:v>46201</x:v>
      </x:c>
      <x:c r="N111" s="14"/>
      <x:c r="O111" s="14">
        <x:v>50</x:v>
      </x:c>
      <x:c r="P111" s="14" t="s">
        <x:v>110</x:v>
      </x:c>
      <x:c r="Q111" s="14" t="s">
        <x:v>38</x:v>
      </x:c>
      <x:c r="R111" s="14"/>
      <x:c r="S111" s="14" t="s">
        <x:v>105</x:v>
      </x:c>
      <x:c r="T111" s="14" t="str">
        <x:v>Region B</x:v>
      </x:c>
      <x:c r="U111" s="28">
        <x:v>46220</x:v>
      </x:c>
      <x:c r="V111" s="30">
        <x:v>17</x:v>
      </x:c>
      <x:c r="W111" s="14" t="s">
        <x:v>112</x:v>
      </x:c>
      <x:c r="X111" s="14" t="s">
        <x:v>106</x:v>
      </x:c>
      <x:c r="Y111" s="32" t="str">
        <x:v>TRN-0110|20260630</x:v>
      </x:c>
      <x:c r="Z111" s="32" t="str" cm="1">
        <x:f t="array" ref="Z11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11" s="33" t="n">
        <x:f>--OR(WorkforceData[[#This Row],[Status]]="Active",WorkforceData[[#This Row],[Promoted]]="Yes",WorkforceData[[#This Row],[Total Days Worked]]&gt;=121)</x:f>
        <x:v>0</x:v>
      </x:c>
      <x:c r="AB111" s="33" t="n">
        <x:f>IF(AND(Q111="Terminated",R111="",O111=0),1,0)</x:f>
        <x:v>0</x:v>
      </x:c>
      <x:c r="AC111" s="33" t="n">
        <x:f>--OR(WorkforceData[[#This Row],[Status]]="Resigned",WorkforceData[[#This Row],[Status After Training]]="Withdrew")</x:f>
        <x:v>0</x:v>
      </x:c>
      <x:c r="AD111" s="34" t="n">
        <x:f>EOMONTH(WorkforceData[[#This Row],[Training Date]],0)</x:f>
        <x:v>46203</x:v>
      </x:c>
      <x:c r="AE111" s="32" t="str">
        <x:f>IF(M111&lt;H111,"Existing Employee",IF(U111="","No Assignment",IF(V111=0,"0 Days",IF(V111&lt;=7,"1-7 Days",IF(V111&lt;=14,"8-14 Days",IF(V111&lt;=21,"15-21 Days","21+ Days"))))))</x:f>
        <x:v>Existing Employee</x:v>
      </x:c>
      <x:c r="AF11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111" s="33" t="n">
        <x:f>--(WorkforceData[[#This Row],[Total Days Worked]]&gt;=121)</x:f>
        <x:v>0</x:v>
      </x:c>
    </x:row>
    <x:row r="112">
      <x:c r="A112" s="236" t="str">
        <x:v>TRN-0111</x:v>
      </x:c>
      <x:c r="B112" s="243"/>
      <x:c r="C112" s="243"/>
      <x:c r="D112" s="243"/>
      <x:c r="E112" s="243"/>
      <x:c r="F112" s="14" t="str">
        <x:v>Recruiter C</x:v>
      </x:c>
      <x:c r="G112" s="14" t="str">
        <x:v>Training Center A</x:v>
      </x:c>
      <x:c r="H112" s="28">
        <x:v>46203</x:v>
      </x:c>
      <x:c r="I112" s="14">
        <x:v>2026</x:v>
      </x:c>
      <x:c r="J112" s="14" t="s">
        <x:v>129</x:v>
      </x:c>
      <x:c r="K112" s="14">
        <x:v>26</x:v>
      </x:c>
      <x:c r="L112" s="29" t="s">
        <x:v>101</x:v>
      </x:c>
      <x:c r="M112" s="28">
        <x:v>46203</x:v>
      </x:c>
      <x:c r="N112" s="14"/>
      <x:c r="O112" s="14">
        <x:v>48</x:v>
      </x:c>
      <x:c r="P112" s="14" t="s">
        <x:v>110</x:v>
      </x:c>
      <x:c r="Q112" s="14" t="s">
        <x:v>25</x:v>
      </x:c>
      <x:c r="R112" s="14"/>
      <x:c r="S112" s="14" t="s">
        <x:v>105</x:v>
      </x:c>
      <x:c r="T112" s="14" t="str">
        <x:v>Region C</x:v>
      </x:c>
      <x:c r="U112" s="28">
        <x:v>46209</x:v>
      </x:c>
      <x:c r="V112" s="30">
        <x:v>6</x:v>
      </x:c>
      <x:c r="W112" s="14" t="s">
        <x:v>109</x:v>
      </x:c>
      <x:c r="X112" s="14" t="s">
        <x:v>106</x:v>
      </x:c>
      <x:c r="Y112" s="32" t="str">
        <x:v>TRN-0111|20260630</x:v>
      </x:c>
      <x:c r="Z112" s="32" t="str" cm="1">
        <x:f t="array" ref="Z11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12" s="33" t="n">
        <x:f>--OR(WorkforceData[[#This Row],[Status]]="Active",WorkforceData[[#This Row],[Promoted]]="Yes",WorkforceData[[#This Row],[Total Days Worked]]&gt;=121)</x:f>
        <x:v>1</x:v>
      </x:c>
      <x:c r="AB112" s="33" t="n">
        <x:f>IF(AND(Q112="Terminated",R112="",O112=0),1,0)</x:f>
        <x:v>0</x:v>
      </x:c>
      <x:c r="AC112" s="33" t="n">
        <x:f>--OR(WorkforceData[[#This Row],[Status]]="Resigned",WorkforceData[[#This Row],[Status After Training]]="Withdrew")</x:f>
        <x:v>0</x:v>
      </x:c>
      <x:c r="AD112" s="34" t="n">
        <x:f>EOMONTH(WorkforceData[[#This Row],[Training Date]],0)</x:f>
        <x:v>46203</x:v>
      </x:c>
      <x:c r="AE112" s="32" t="str">
        <x:f>IF(M112&lt;H112,"Existing Employee",IF(U112="","No Assignment",IF(V112=0,"0 Days",IF(V112&lt;=7,"1-7 Days",IF(V112&lt;=14,"8-14 Days",IF(V112&lt;=21,"15-21 Days","21+ Days"))))))</x:f>
        <x:v>1-7 Days</x:v>
      </x:c>
      <x:c r="AF11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112" s="33" t="n">
        <x:f>--(WorkforceData[[#This Row],[Total Days Worked]]&gt;=121)</x:f>
        <x:v>0</x:v>
      </x:c>
    </x:row>
    <x:row r="113">
      <x:c r="A113" s="236" t="str">
        <x:v>TRN-0112</x:v>
      </x:c>
      <x:c r="B113" s="243"/>
      <x:c r="C113" s="243"/>
      <x:c r="D113" s="243"/>
      <x:c r="E113" s="243"/>
      <x:c r="F113" s="14" t="str">
        <x:v>Recruiter G</x:v>
      </x:c>
      <x:c r="G113" s="14" t="str">
        <x:v>Training Center A</x:v>
      </x:c>
      <x:c r="H113" s="28">
        <x:v>46203</x:v>
      </x:c>
      <x:c r="I113" s="14">
        <x:v>2026</x:v>
      </x:c>
      <x:c r="J113" s="14" t="s">
        <x:v>129</x:v>
      </x:c>
      <x:c r="K113" s="14">
        <x:v>26</x:v>
      </x:c>
      <x:c r="L113" s="29" t="s">
        <x:v>101</x:v>
      </x:c>
      <x:c r="M113" s="28">
        <x:v>46193</x:v>
      </x:c>
      <x:c r="N113" s="28">
        <x:v>46241</x:v>
      </x:c>
      <x:c r="O113" s="14">
        <x:v>48</x:v>
      </x:c>
      <x:c r="P113" s="14" t="s">
        <x:v>110</x:v>
      </x:c>
      <x:c r="Q113" s="14" t="s">
        <x:v>33</x:v>
      </x:c>
      <x:c r="R113" s="14" t="s">
        <x:v>121</x:v>
      </x:c>
      <x:c r="S113" s="14" t="s">
        <x:v>105</x:v>
      </x:c>
      <x:c r="T113" s="14" t="str">
        <x:v>Region C</x:v>
      </x:c>
      <x:c r="U113" s="28">
        <x:v>46208</x:v>
      </x:c>
      <x:c r="V113" s="30">
        <x:v>5</x:v>
      </x:c>
      <x:c r="W113" s="14" t="s">
        <x:v>109</x:v>
      </x:c>
      <x:c r="X113" s="14" t="s">
        <x:v>106</x:v>
      </x:c>
      <x:c r="Y113" s="32" t="str">
        <x:v>TRN-0112|20260630</x:v>
      </x:c>
      <x:c r="Z113" s="32" t="str" cm="1">
        <x:f t="array" ref="Z11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113" s="33" t="n">
        <x:f>--OR(WorkforceData[[#This Row],[Status]]="Active",WorkforceData[[#This Row],[Promoted]]="Yes",WorkforceData[[#This Row],[Total Days Worked]]&gt;=121)</x:f>
        <x:v>0</x:v>
      </x:c>
      <x:c r="AB113" s="33" t="n">
        <x:f>IF(AND(Q113="Terminated",R113="",O113=0),1,0)</x:f>
        <x:v>0</x:v>
      </x:c>
      <x:c r="AC113" s="33" t="n">
        <x:f>--OR(WorkforceData[[#This Row],[Status]]="Resigned",WorkforceData[[#This Row],[Status After Training]]="Withdrew")</x:f>
        <x:v>0</x:v>
      </x:c>
      <x:c r="AD113" s="34" t="n">
        <x:f>EOMONTH(WorkforceData[[#This Row],[Training Date]],0)</x:f>
        <x:v>46203</x:v>
      </x:c>
      <x:c r="AE113" s="32" t="str">
        <x:f>IF(M113&lt;H113,"Existing Employee",IF(U113="","No Assignment",IF(V113=0,"0 Days",IF(V113&lt;=7,"1-7 Days",IF(V113&lt;=14,"8-14 Days",IF(V113&lt;=21,"15-21 Days","21+ Days"))))))</x:f>
        <x:v>Existing Employee</x:v>
      </x:c>
      <x:c r="AF11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113" s="33" t="n">
        <x:f>--(WorkforceData[[#This Row],[Total Days Worked]]&gt;=121)</x:f>
        <x:v>0</x:v>
      </x:c>
    </x:row>
    <x:row r="114">
      <x:c r="A114" s="236" t="str">
        <x:v>TRN-0113</x:v>
      </x:c>
      <x:c r="B114" s="243"/>
      <x:c r="C114" s="243"/>
      <x:c r="D114" s="243"/>
      <x:c r="E114" s="243"/>
      <x:c r="F114" s="14" t="str">
        <x:v>Recruiter A</x:v>
      </x:c>
      <x:c r="G114" s="14" t="str">
        <x:v>Training Center A</x:v>
      </x:c>
      <x:c r="H114" s="28">
        <x:v>46203</x:v>
      </x:c>
      <x:c r="I114" s="14">
        <x:v>2026</x:v>
      </x:c>
      <x:c r="J114" s="14" t="s">
        <x:v>129</x:v>
      </x:c>
      <x:c r="K114" s="14">
        <x:v>26</x:v>
      </x:c>
      <x:c r="L114" s="29" t="s">
        <x:v>101</x:v>
      </x:c>
      <x:c r="M114" s="28">
        <x:v>46200</x:v>
      </x:c>
      <x:c r="N114" s="14"/>
      <x:c r="O114" s="14">
        <x:v>51</x:v>
      </x:c>
      <x:c r="P114" s="14" t="s">
        <x:v>110</x:v>
      </x:c>
      <x:c r="Q114" s="14" t="s">
        <x:v>25</x:v>
      </x:c>
      <x:c r="R114" s="14"/>
      <x:c r="S114" s="14" t="s">
        <x:v>105</x:v>
      </x:c>
      <x:c r="T114" s="14" t="str">
        <x:v>Region D</x:v>
      </x:c>
      <x:c r="U114" s="28">
        <x:v>46205</x:v>
      </x:c>
      <x:c r="V114" s="30">
        <x:v>2</x:v>
      </x:c>
      <x:c r="W114" s="14" t="s">
        <x:v>109</x:v>
      </x:c>
      <x:c r="X114" s="14" t="s">
        <x:v>106</x:v>
      </x:c>
      <x:c r="Y114" s="32" t="str">
        <x:v>TRN-0113|20260630</x:v>
      </x:c>
      <x:c r="Z114" s="32" t="str" cm="1">
        <x:f t="array" ref="Z11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14" s="33" t="n">
        <x:f>--OR(WorkforceData[[#This Row],[Status]]="Active",WorkforceData[[#This Row],[Promoted]]="Yes",WorkforceData[[#This Row],[Total Days Worked]]&gt;=121)</x:f>
        <x:v>1</x:v>
      </x:c>
      <x:c r="AB114" s="33" t="n">
        <x:f>IF(AND(Q114="Terminated",R114="",O114=0),1,0)</x:f>
        <x:v>0</x:v>
      </x:c>
      <x:c r="AC114" s="33" t="n">
        <x:f>--OR(WorkforceData[[#This Row],[Status]]="Resigned",WorkforceData[[#This Row],[Status After Training]]="Withdrew")</x:f>
        <x:v>0</x:v>
      </x:c>
      <x:c r="AD114" s="34" t="n">
        <x:f>EOMONTH(WorkforceData[[#This Row],[Training Date]],0)</x:f>
        <x:v>46203</x:v>
      </x:c>
      <x:c r="AE114" s="32" t="str">
        <x:f>IF(M114&lt;H114,"Existing Employee",IF(U114="","No Assignment",IF(V114=0,"0 Days",IF(V114&lt;=7,"1-7 Days",IF(V114&lt;=14,"8-14 Days",IF(V114&lt;=21,"15-21 Days","21+ Days"))))))</x:f>
        <x:v>Existing Employee</x:v>
      </x:c>
      <x:c r="AF11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114" s="33" t="n">
        <x:f>--(WorkforceData[[#This Row],[Total Days Worked]]&gt;=121)</x:f>
        <x:v>0</x:v>
      </x:c>
    </x:row>
    <x:row r="115">
      <x:c r="A115" s="236" t="str">
        <x:v>TRN-0114</x:v>
      </x:c>
      <x:c r="B115" s="243"/>
      <x:c r="C115" s="243"/>
      <x:c r="D115" s="243"/>
      <x:c r="E115" s="243"/>
      <x:c r="F115" s="14" t="str">
        <x:v>Recruiter H</x:v>
      </x:c>
      <x:c r="G115" s="14" t="str">
        <x:v>Training Center A</x:v>
      </x:c>
      <x:c r="H115" s="28">
        <x:v>46203</x:v>
      </x:c>
      <x:c r="I115" s="14">
        <x:v>2026</x:v>
      </x:c>
      <x:c r="J115" s="14" t="s">
        <x:v>129</x:v>
      </x:c>
      <x:c r="K115" s="14">
        <x:v>26</x:v>
      </x:c>
      <x:c r="L115" s="29" t="s">
        <x:v>101</x:v>
      </x:c>
      <x:c r="M115" s="28">
        <x:v>46203</x:v>
      </x:c>
      <x:c r="N115" s="28">
        <x:v>46204</x:v>
      </x:c>
      <x:c r="O115" s="14">
        <x:v>1</x:v>
      </x:c>
      <x:c r="P115" s="14" t="s">
        <x:v>102</x:v>
      </x:c>
      <x:c r="Q115" s="14" t="s">
        <x:v>103</x:v>
      </x:c>
      <x:c r="R115" s="14" t="s">
        <x:v>111</x:v>
      </x:c>
      <x:c r="S115" s="14" t="s">
        <x:v>105</x:v>
      </x:c>
      <x:c r="T115" s="14" t="str">
        <x:v>Region C</x:v>
      </x:c>
      <x:c r="U115" s="28">
        <x:v>46204</x:v>
      </x:c>
      <x:c r="V115" s="30">
        <x:v>1</x:v>
      </x:c>
      <x:c r="W115" s="14" t="s">
        <x:v>109</x:v>
      </x:c>
      <x:c r="X115" s="14" t="s">
        <x:v>106</x:v>
      </x:c>
      <x:c r="Y115" s="32" t="str">
        <x:v>TRN-0114|20260630</x:v>
      </x:c>
      <x:c r="Z115" s="32" t="str" cm="1">
        <x:f t="array" ref="Z11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115" s="33" t="n">
        <x:f>--OR(WorkforceData[[#This Row],[Status]]="Active",WorkforceData[[#This Row],[Promoted]]="Yes",WorkforceData[[#This Row],[Total Days Worked]]&gt;=121)</x:f>
        <x:v>0</x:v>
      </x:c>
      <x:c r="AB115" s="33" t="n">
        <x:f>IF(AND(Q115="Terminated",R115="",O115=0),1,0)</x:f>
        <x:v>0</x:v>
      </x:c>
      <x:c r="AC115" s="33" t="n">
        <x:f>--OR(WorkforceData[[#This Row],[Status]]="Resigned",WorkforceData[[#This Row],[Status After Training]]="Withdrew")</x:f>
        <x:v>1</x:v>
      </x:c>
      <x:c r="AD115" s="34" t="n">
        <x:f>EOMONTH(WorkforceData[[#This Row],[Training Date]],0)</x:f>
        <x:v>46203</x:v>
      </x:c>
      <x:c r="AE115" s="32" t="str">
        <x:f>IF(M115&lt;H115,"Existing Employee",IF(U115="","No Assignment",IF(V115=0,"0 Days",IF(V115&lt;=7,"1-7 Days",IF(V115&lt;=14,"8-14 Days",IF(V115&lt;=21,"15-21 Days","21+ Days"))))))</x:f>
        <x:v>1-7 Days</x:v>
      </x:c>
      <x:c r="AF11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1-7 Days</x:v>
      </x:c>
      <x:c r="AG115" s="33" t="n">
        <x:f>--(WorkforceData[[#This Row],[Total Days Worked]]&gt;=121)</x:f>
        <x:v>0</x:v>
      </x:c>
    </x:row>
    <x:row r="116">
      <x:c r="A116" s="236" t="str">
        <x:v>TRN-0115</x:v>
      </x:c>
      <x:c r="B116" s="243"/>
      <x:c r="C116" s="243"/>
      <x:c r="D116" s="243"/>
      <x:c r="E116" s="243"/>
      <x:c r="F116" s="14" t="str">
        <x:v>Recruiter F</x:v>
      </x:c>
      <x:c r="G116" s="14" t="str">
        <x:v>Training Center A</x:v>
      </x:c>
      <x:c r="H116" s="28">
        <x:v>46203</x:v>
      </x:c>
      <x:c r="I116" s="14">
        <x:v>2026</x:v>
      </x:c>
      <x:c r="J116" s="14" t="s">
        <x:v>129</x:v>
      </x:c>
      <x:c r="K116" s="14">
        <x:v>26</x:v>
      </x:c>
      <x:c r="L116" s="29" t="s">
        <x:v>101</x:v>
      </x:c>
      <x:c r="M116" s="28">
        <x:v>46196</x:v>
      </x:c>
      <x:c r="N116" s="28">
        <x:v>46222</x:v>
      </x:c>
      <x:c r="O116" s="14">
        <x:v>26</x:v>
      </x:c>
      <x:c r="P116" s="14" t="s">
        <x:v>102</x:v>
      </x:c>
      <x:c r="Q116" s="14" t="s">
        <x:v>103</x:v>
      </x:c>
      <x:c r="R116" s="14" t="s">
        <x:v>111</x:v>
      </x:c>
      <x:c r="S116" s="14" t="s">
        <x:v>105</x:v>
      </x:c>
      <x:c r="T116" s="14" t="str">
        <x:v>Region D</x:v>
      </x:c>
      <x:c r="U116" s="28">
        <x:v>46222</x:v>
      </x:c>
      <x:c r="V116" s="30">
        <x:v>19</x:v>
      </x:c>
      <x:c r="W116" s="14" t="s">
        <x:v>112</x:v>
      </x:c>
      <x:c r="X116" s="14" t="s">
        <x:v>117</x:v>
      </x:c>
      <x:c r="Y116" s="32" t="str">
        <x:v>TRN-0115|20260630</x:v>
      </x:c>
      <x:c r="Z116" s="32" t="str" cm="1">
        <x:f t="array" ref="Z11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116" s="33" t="n">
        <x:f>--OR(WorkforceData[[#This Row],[Status]]="Active",WorkforceData[[#This Row],[Promoted]]="Yes",WorkforceData[[#This Row],[Total Days Worked]]&gt;=121)</x:f>
        <x:v>0</x:v>
      </x:c>
      <x:c r="AB116" s="33" t="n">
        <x:f>IF(AND(Q116="Terminated",R116="",O116=0),1,0)</x:f>
        <x:v>0</x:v>
      </x:c>
      <x:c r="AC116" s="33" t="n">
        <x:f>--OR(WorkforceData[[#This Row],[Status]]="Resigned",WorkforceData[[#This Row],[Status After Training]]="Withdrew")</x:f>
        <x:v>1</x:v>
      </x:c>
      <x:c r="AD116" s="34" t="n">
        <x:f>EOMONTH(WorkforceData[[#This Row],[Training Date]],0)</x:f>
        <x:v>46203</x:v>
      </x:c>
      <x:c r="AE116" s="32" t="str">
        <x:f>IF(M116&lt;H116,"Existing Employee",IF(U116="","No Assignment",IF(V116=0,"0 Days",IF(V116&lt;=7,"1-7 Days",IF(V116&lt;=14,"8-14 Days",IF(V116&lt;=21,"15-21 Days","21+ Days"))))))</x:f>
        <x:v>Existing Employee</x:v>
      </x:c>
      <x:c r="AF11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116" s="33" t="n">
        <x:f>--(WorkforceData[[#This Row],[Total Days Worked]]&gt;=121)</x:f>
        <x:v>0</x:v>
      </x:c>
    </x:row>
    <x:row r="117">
      <x:c r="A117" s="236" t="str">
        <x:v>TRN-0116</x:v>
      </x:c>
      <x:c r="B117" s="243"/>
      <x:c r="C117" s="243"/>
      <x:c r="D117" s="243"/>
      <x:c r="E117" s="243"/>
      <x:c r="F117" s="14" t="str">
        <x:v>Recruiter H</x:v>
      </x:c>
      <x:c r="G117" s="14" t="str">
        <x:v>Training Center A</x:v>
      </x:c>
      <x:c r="H117" s="28">
        <x:v>46203</x:v>
      </x:c>
      <x:c r="I117" s="14">
        <x:v>2026</x:v>
      </x:c>
      <x:c r="J117" s="14" t="s">
        <x:v>129</x:v>
      </x:c>
      <x:c r="K117" s="14">
        <x:v>26</x:v>
      </x:c>
      <x:c r="L117" s="29" t="s">
        <x:v>101</x:v>
      </x:c>
      <x:c r="M117" s="28">
        <x:v>46200</x:v>
      </x:c>
      <x:c r="N117" s="14"/>
      <x:c r="O117" s="14">
        <x:v>51</x:v>
      </x:c>
      <x:c r="P117" s="14" t="s">
        <x:v>110</x:v>
      </x:c>
      <x:c r="Q117" s="14" t="s">
        <x:v>38</x:v>
      </x:c>
      <x:c r="R117" s="14"/>
      <x:c r="S117" s="14" t="s">
        <x:v>105</x:v>
      </x:c>
      <x:c r="T117" s="14" t="str">
        <x:v>Region B</x:v>
      </x:c>
      <x:c r="U117" s="28">
        <x:v>46216</x:v>
      </x:c>
      <x:c r="V117" s="30">
        <x:v>13</x:v>
      </x:c>
      <x:c r="W117" s="14" t="s">
        <x:v>45</x:v>
      </x:c>
      <x:c r="X117" s="14" t="s">
        <x:v>106</x:v>
      </x:c>
      <x:c r="Y117" s="32" t="str">
        <x:v>TRN-0116|20260630</x:v>
      </x:c>
      <x:c r="Z117" s="32" t="str" cm="1">
        <x:f t="array" ref="Z11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17" s="33" t="n">
        <x:f>--OR(WorkforceData[[#This Row],[Status]]="Active",WorkforceData[[#This Row],[Promoted]]="Yes",WorkforceData[[#This Row],[Total Days Worked]]&gt;=121)</x:f>
        <x:v>0</x:v>
      </x:c>
      <x:c r="AB117" s="33" t="n">
        <x:f>IF(AND(Q117="Terminated",R117="",O117=0),1,0)</x:f>
        <x:v>0</x:v>
      </x:c>
      <x:c r="AC117" s="33" t="n">
        <x:f>--OR(WorkforceData[[#This Row],[Status]]="Resigned",WorkforceData[[#This Row],[Status After Training]]="Withdrew")</x:f>
        <x:v>0</x:v>
      </x:c>
      <x:c r="AD117" s="34" t="n">
        <x:f>EOMONTH(WorkforceData[[#This Row],[Training Date]],0)</x:f>
        <x:v>46203</x:v>
      </x:c>
      <x:c r="AE117" s="32" t="str">
        <x:f>IF(M117&lt;H117,"Existing Employee",IF(U117="","No Assignment",IF(V117=0,"0 Days",IF(V117&lt;=7,"1-7 Days",IF(V117&lt;=14,"8-14 Days",IF(V117&lt;=21,"15-21 Days","21+ Days"))))))</x:f>
        <x:v>Existing Employee</x:v>
      </x:c>
      <x:c r="AF11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117" s="33" t="n">
        <x:f>--(WorkforceData[[#This Row],[Total Days Worked]]&gt;=121)</x:f>
        <x:v>0</x:v>
      </x:c>
    </x:row>
    <x:row r="118">
      <x:c r="A118" s="236" t="str">
        <x:v>TRN-0117</x:v>
      </x:c>
      <x:c r="B118" s="243"/>
      <x:c r="C118" s="243"/>
      <x:c r="D118" s="243"/>
      <x:c r="E118" s="243"/>
      <x:c r="F118" s="14" t="str">
        <x:v>Recruiter G</x:v>
      </x:c>
      <x:c r="G118" s="14" t="str">
        <x:v>Training Center A</x:v>
      </x:c>
      <x:c r="H118" s="28">
        <x:v>46203</x:v>
      </x:c>
      <x:c r="I118" s="14">
        <x:v>2026</x:v>
      </x:c>
      <x:c r="J118" s="14" t="s">
        <x:v>129</x:v>
      </x:c>
      <x:c r="K118" s="14">
        <x:v>26</x:v>
      </x:c>
      <x:c r="L118" s="29" t="s">
        <x:v>101</x:v>
      </x:c>
      <x:c r="M118" s="28">
        <x:v>46203</x:v>
      </x:c>
      <x:c r="N118" s="28">
        <x:v>46251</x:v>
      </x:c>
      <x:c r="O118" s="14">
        <x:v>48</x:v>
      </x:c>
      <x:c r="P118" s="14" t="s">
        <x:v>110</x:v>
      </x:c>
      <x:c r="Q118" s="14" t="s">
        <x:v>33</x:v>
      </x:c>
      <x:c r="R118" s="14" t="s">
        <x:v>116</x:v>
      </x:c>
      <x:c r="S118" s="14" t="s">
        <x:v>105</x:v>
      </x:c>
      <x:c r="T118" s="14" t="str">
        <x:v>Region D</x:v>
      </x:c>
      <x:c r="U118" s="28">
        <x:v>46206</x:v>
      </x:c>
      <x:c r="V118" s="30">
        <x:v>3</x:v>
      </x:c>
      <x:c r="W118" s="14" t="s">
        <x:v>109</x:v>
      </x:c>
      <x:c r="X118" s="14" t="s">
        <x:v>106</x:v>
      </x:c>
      <x:c r="Y118" s="32" t="str">
        <x:v>TRN-0117|20260630</x:v>
      </x:c>
      <x:c r="Z118" s="32" t="str" cm="1">
        <x:f t="array" ref="Z11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118" s="33" t="n">
        <x:f>--OR(WorkforceData[[#This Row],[Status]]="Active",WorkforceData[[#This Row],[Promoted]]="Yes",WorkforceData[[#This Row],[Total Days Worked]]&gt;=121)</x:f>
        <x:v>0</x:v>
      </x:c>
      <x:c r="AB118" s="33" t="n">
        <x:f>IF(AND(Q118="Terminated",R118="",O118=0),1,0)</x:f>
        <x:v>0</x:v>
      </x:c>
      <x:c r="AC118" s="33" t="n">
        <x:f>--OR(WorkforceData[[#This Row],[Status]]="Resigned",WorkforceData[[#This Row],[Status After Training]]="Withdrew")</x:f>
        <x:v>0</x:v>
      </x:c>
      <x:c r="AD118" s="34" t="n">
        <x:f>EOMONTH(WorkforceData[[#This Row],[Training Date]],0)</x:f>
        <x:v>46203</x:v>
      </x:c>
      <x:c r="AE118" s="32" t="str">
        <x:f>IF(M118&lt;H118,"Existing Employee",IF(U118="","No Assignment",IF(V118=0,"0 Days",IF(V118&lt;=7,"1-7 Days",IF(V118&lt;=14,"8-14 Days",IF(V118&lt;=21,"15-21 Days","21+ Days"))))))</x:f>
        <x:v>1-7 Days</x:v>
      </x:c>
      <x:c r="AF11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118" s="33" t="n">
        <x:f>--(WorkforceData[[#This Row],[Total Days Worked]]&gt;=121)</x:f>
        <x:v>0</x:v>
      </x:c>
    </x:row>
    <x:row r="119">
      <x:c r="A119" s="236" t="str">
        <x:v>TRN-0118</x:v>
      </x:c>
      <x:c r="B119" s="243"/>
      <x:c r="C119" s="243"/>
      <x:c r="D119" s="243"/>
      <x:c r="E119" s="243"/>
      <x:c r="F119" s="14" t="str">
        <x:v>Recruiter F</x:v>
      </x:c>
      <x:c r="G119" s="14" t="str">
        <x:v>Training Center A</x:v>
      </x:c>
      <x:c r="H119" s="28">
        <x:v>46203</x:v>
      </x:c>
      <x:c r="I119" s="14">
        <x:v>2026</x:v>
      </x:c>
      <x:c r="J119" s="14" t="s">
        <x:v>129</x:v>
      </x:c>
      <x:c r="K119" s="14">
        <x:v>26</x:v>
      </x:c>
      <x:c r="L119" s="29" t="s">
        <x:v>101</x:v>
      </x:c>
      <x:c r="M119" s="28">
        <x:v>46202</x:v>
      </x:c>
      <x:c r="N119" s="14"/>
      <x:c r="O119" s="14">
        <x:v>49</x:v>
      </x:c>
      <x:c r="P119" s="14" t="s">
        <x:v>110</x:v>
      </x:c>
      <x:c r="Q119" s="14" t="s">
        <x:v>25</x:v>
      </x:c>
      <x:c r="R119" s="14"/>
      <x:c r="S119" s="14" t="s">
        <x:v>105</x:v>
      </x:c>
      <x:c r="T119" s="14"/>
      <x:c r="U119" s="28"/>
      <x:c r="V119" s="30"/>
      <x:c r="W119" s="14"/>
      <x:c r="X119" s="14" t="s">
        <x:v>71</x:v>
      </x:c>
      <x:c r="Y119" s="32" t="str">
        <x:v>TRN-0118|20260630</x:v>
      </x:c>
      <x:c r="Z119" s="32" t="str" cm="1">
        <x:f t="array" ref="Z11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19" s="33" t="n">
        <x:f>--OR(WorkforceData[[#This Row],[Status]]="Active",WorkforceData[[#This Row],[Promoted]]="Yes",WorkforceData[[#This Row],[Total Days Worked]]&gt;=121)</x:f>
        <x:v>1</x:v>
      </x:c>
      <x:c r="AB119" s="33" t="n">
        <x:f>IF(AND(Q119="Terminated",R119="",O119=0),1,0)</x:f>
        <x:v>0</x:v>
      </x:c>
      <x:c r="AC119" s="33" t="n">
        <x:f>--OR(WorkforceData[[#This Row],[Status]]="Resigned",WorkforceData[[#This Row],[Status After Training]]="Withdrew")</x:f>
        <x:v>0</x:v>
      </x:c>
      <x:c r="AD119" s="34" t="n">
        <x:f>EOMONTH(WorkforceData[[#This Row],[Training Date]],0)</x:f>
        <x:v>46203</x:v>
      </x:c>
      <x:c r="AE119" s="32" t="str">
        <x:f>IF(M119&lt;H119,"Existing Employee",IF(U119="","No Assignment",IF(V119=0,"0 Days",IF(V119&lt;=7,"1-7 Days",IF(V119&lt;=14,"8-14 Days",IF(V119&lt;=21,"15-21 Days","21+ Days"))))))</x:f>
        <x:v>Existing Employee</x:v>
      </x:c>
      <x:c r="AF11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119" s="33" t="n">
        <x:f>--(WorkforceData[[#This Row],[Total Days Worked]]&gt;=121)</x:f>
        <x:v>0</x:v>
      </x:c>
    </x:row>
    <x:row r="120">
      <x:c r="A120" s="236" t="str">
        <x:v>TRN-0119</x:v>
      </x:c>
      <x:c r="B120" s="243"/>
      <x:c r="C120" s="243"/>
      <x:c r="D120" s="243"/>
      <x:c r="E120" s="243"/>
      <x:c r="F120" s="14" t="str">
        <x:v>Recruiter C</x:v>
      </x:c>
      <x:c r="G120" s="14" t="str">
        <x:v>Training Center A</x:v>
      </x:c>
      <x:c r="H120" s="28">
        <x:v>46203</x:v>
      </x:c>
      <x:c r="I120" s="14">
        <x:v>2026</x:v>
      </x:c>
      <x:c r="J120" s="14" t="s">
        <x:v>129</x:v>
      </x:c>
      <x:c r="K120" s="14">
        <x:v>26</x:v>
      </x:c>
      <x:c r="L120" s="29" t="s">
        <x:v>101</x:v>
      </x:c>
      <x:c r="M120" s="28">
        <x:v>46203</x:v>
      </x:c>
      <x:c r="N120" s="28">
        <x:v>46251</x:v>
      </x:c>
      <x:c r="O120" s="14">
        <x:v>48</x:v>
      </x:c>
      <x:c r="P120" s="14" t="s">
        <x:v>110</x:v>
      </x:c>
      <x:c r="Q120" s="14" t="s">
        <x:v>103</x:v>
      </x:c>
      <x:c r="R120" s="14" t="s">
        <x:v>111</x:v>
      </x:c>
      <x:c r="S120" s="14" t="s">
        <x:v>105</x:v>
      </x:c>
      <x:c r="T120" s="14"/>
      <x:c r="U120" s="28"/>
      <x:c r="V120" s="30"/>
      <x:c r="W120" s="14"/>
      <x:c r="X120" s="14" t="s">
        <x:v>71</x:v>
      </x:c>
      <x:c r="Y120" s="32" t="str">
        <x:v>TRN-0119|20260630</x:v>
      </x:c>
      <x:c r="Z120" s="32" t="str" cm="1">
        <x:f t="array" ref="Z12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120" s="33" t="n">
        <x:f>--OR(WorkforceData[[#This Row],[Status]]="Active",WorkforceData[[#This Row],[Promoted]]="Yes",WorkforceData[[#This Row],[Total Days Worked]]&gt;=121)</x:f>
        <x:v>0</x:v>
      </x:c>
      <x:c r="AB120" s="33" t="n">
        <x:f>IF(AND(Q120="Terminated",R120="",O120=0),1,0)</x:f>
        <x:v>0</x:v>
      </x:c>
      <x:c r="AC120" s="33" t="n">
        <x:f>--OR(WorkforceData[[#This Row],[Status]]="Resigned",WorkforceData[[#This Row],[Status After Training]]="Withdrew")</x:f>
        <x:v>1</x:v>
      </x:c>
      <x:c r="AD120" s="34" t="n">
        <x:f>EOMONTH(WorkforceData[[#This Row],[Training Date]],0)</x:f>
        <x:v>46203</x:v>
      </x:c>
      <x:c r="AE120" s="32" t="str">
        <x:f>IF(M120&lt;H120,"Existing Employee",IF(U120="","No Assignment",IF(V120=0,"0 Days",IF(V120&lt;=7,"1-7 Days",IF(V120&lt;=14,"8-14 Days",IF(V120&lt;=21,"15-21 Days","21+ Days"))))))</x:f>
        <x:v>No Assignment</x:v>
      </x:c>
      <x:c r="AF12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120" s="33" t="n">
        <x:f>--(WorkforceData[[#This Row],[Total Days Worked]]&gt;=121)</x:f>
        <x:v>0</x:v>
      </x:c>
    </x:row>
    <x:row r="121">
      <x:c r="A121" s="236" t="str">
        <x:v>TRN-0120</x:v>
      </x:c>
      <x:c r="B121" s="243"/>
      <x:c r="C121" s="243"/>
      <x:c r="D121" s="243"/>
      <x:c r="E121" s="243"/>
      <x:c r="F121" s="14" t="str">
        <x:v>Recruiter H</x:v>
      </x:c>
      <x:c r="G121" s="14" t="str">
        <x:v>Training Center A</x:v>
      </x:c>
      <x:c r="H121" s="28">
        <x:v>46203</x:v>
      </x:c>
      <x:c r="I121" s="14">
        <x:v>2026</x:v>
      </x:c>
      <x:c r="J121" s="14" t="s">
        <x:v>129</x:v>
      </x:c>
      <x:c r="K121" s="14">
        <x:v>26</x:v>
      </x:c>
      <x:c r="L121" s="29" t="s">
        <x:v>101</x:v>
      </x:c>
      <x:c r="M121" s="28">
        <x:v>46203</x:v>
      </x:c>
      <x:c r="N121" s="14"/>
      <x:c r="O121" s="14">
        <x:v>48</x:v>
      </x:c>
      <x:c r="P121" s="14" t="s">
        <x:v>110</x:v>
      </x:c>
      <x:c r="Q121" s="14" t="s">
        <x:v>25</x:v>
      </x:c>
      <x:c r="R121" s="14"/>
      <x:c r="S121" s="14" t="s">
        <x:v>105</x:v>
      </x:c>
      <x:c r="T121" s="14" t="str">
        <x:v>Region D</x:v>
      </x:c>
      <x:c r="U121" s="28">
        <x:v>46203</x:v>
      </x:c>
      <x:c r="V121" s="30">
        <x:v>0</x:v>
      </x:c>
      <x:c r="W121" s="14" t="s">
        <x:v>109</x:v>
      </x:c>
      <x:c r="X121" s="14" t="s">
        <x:v>106</x:v>
      </x:c>
      <x:c r="Y121" s="32" t="str">
        <x:v>TRN-0120|20260630</x:v>
      </x:c>
      <x:c r="Z121" s="32" t="str" cm="1">
        <x:f t="array" ref="Z12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21" s="33" t="n">
        <x:f>--OR(WorkforceData[[#This Row],[Status]]="Active",WorkforceData[[#This Row],[Promoted]]="Yes",WorkforceData[[#This Row],[Total Days Worked]]&gt;=121)</x:f>
        <x:v>1</x:v>
      </x:c>
      <x:c r="AB121" s="33" t="n">
        <x:f>IF(AND(Q121="Terminated",R121="",O121=0),1,0)</x:f>
        <x:v>0</x:v>
      </x:c>
      <x:c r="AC121" s="33" t="n">
        <x:f>--OR(WorkforceData[[#This Row],[Status]]="Resigned",WorkforceData[[#This Row],[Status After Training]]="Withdrew")</x:f>
        <x:v>0</x:v>
      </x:c>
      <x:c r="AD121" s="34" t="n">
        <x:f>EOMONTH(WorkforceData[[#This Row],[Training Date]],0)</x:f>
        <x:v>46203</x:v>
      </x:c>
      <x:c r="AE121" s="32" t="str">
        <x:f>IF(M121&lt;H121,"Existing Employee",IF(U121="","No Assignment",IF(V121=0,"0 Days",IF(V121&lt;=7,"1-7 Days",IF(V121&lt;=14,"8-14 Days",IF(V121&lt;=21,"15-21 Days","21+ Days"))))))</x:f>
        <x:v>0 Days</x:v>
      </x:c>
      <x:c r="AF12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121" s="33" t="n">
        <x:f>--(WorkforceData[[#This Row],[Total Days Worked]]&gt;=121)</x:f>
        <x:v>0</x:v>
      </x:c>
    </x:row>
    <x:row r="122">
      <x:c r="A122" s="236" t="str">
        <x:v>TRN-0121</x:v>
      </x:c>
      <x:c r="B122" s="243"/>
      <x:c r="C122" s="243"/>
      <x:c r="D122" s="243"/>
      <x:c r="E122" s="243"/>
      <x:c r="F122" s="14" t="str">
        <x:v>Recruiter E</x:v>
      </x:c>
      <x:c r="G122" s="14" t="str">
        <x:v>Training Center A</x:v>
      </x:c>
      <x:c r="H122" s="28">
        <x:v>46203</x:v>
      </x:c>
      <x:c r="I122" s="14">
        <x:v>2026</x:v>
      </x:c>
      <x:c r="J122" s="14" t="s">
        <x:v>129</x:v>
      </x:c>
      <x:c r="K122" s="14">
        <x:v>26</x:v>
      </x:c>
      <x:c r="L122" s="29" t="s">
        <x:v>101</x:v>
      </x:c>
      <x:c r="M122" s="28">
        <x:v>46202</x:v>
      </x:c>
      <x:c r="N122" s="14"/>
      <x:c r="O122" s="14">
        <x:v>49</x:v>
      </x:c>
      <x:c r="P122" s="14" t="s">
        <x:v>110</x:v>
      </x:c>
      <x:c r="Q122" s="14" t="s">
        <x:v>25</x:v>
      </x:c>
      <x:c r="R122" s="14"/>
      <x:c r="S122" s="14" t="s">
        <x:v>105</x:v>
      </x:c>
      <x:c r="T122" s="14" t="str">
        <x:v>Region B</x:v>
      </x:c>
      <x:c r="U122" s="28">
        <x:v>46203</x:v>
      </x:c>
      <x:c r="V122" s="30">
        <x:v>0</x:v>
      </x:c>
      <x:c r="W122" s="14" t="s">
        <x:v>109</x:v>
      </x:c>
      <x:c r="X122" s="14" t="s">
        <x:v>106</x:v>
      </x:c>
      <x:c r="Y122" s="32" t="str">
        <x:v>TRN-0121|20260630</x:v>
      </x:c>
      <x:c r="Z122" s="32" t="str" cm="1">
        <x:f t="array" ref="Z12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22" s="33" t="n">
        <x:f>--OR(WorkforceData[[#This Row],[Status]]="Active",WorkforceData[[#This Row],[Promoted]]="Yes",WorkforceData[[#This Row],[Total Days Worked]]&gt;=121)</x:f>
        <x:v>1</x:v>
      </x:c>
      <x:c r="AB122" s="33" t="n">
        <x:f>IF(AND(Q122="Terminated",R122="",O122=0),1,0)</x:f>
        <x:v>0</x:v>
      </x:c>
      <x:c r="AC122" s="33" t="n">
        <x:f>--OR(WorkforceData[[#This Row],[Status]]="Resigned",WorkforceData[[#This Row],[Status After Training]]="Withdrew")</x:f>
        <x:v>0</x:v>
      </x:c>
      <x:c r="AD122" s="34" t="n">
        <x:f>EOMONTH(WorkforceData[[#This Row],[Training Date]],0)</x:f>
        <x:v>46203</x:v>
      </x:c>
      <x:c r="AE122" s="32" t="str">
        <x:f>IF(M122&lt;H122,"Existing Employee",IF(U122="","No Assignment",IF(V122=0,"0 Days",IF(V122&lt;=7,"1-7 Days",IF(V122&lt;=14,"8-14 Days",IF(V122&lt;=21,"15-21 Days","21+ Days"))))))</x:f>
        <x:v>Existing Employee</x:v>
      </x:c>
      <x:c r="AF12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122" s="33" t="n">
        <x:f>--(WorkforceData[[#This Row],[Total Days Worked]]&gt;=121)</x:f>
        <x:v>0</x:v>
      </x:c>
    </x:row>
    <x:row r="123">
      <x:c r="A123" s="236" t="str">
        <x:v>TRN-0122</x:v>
      </x:c>
      <x:c r="B123" s="243"/>
      <x:c r="C123" s="243"/>
      <x:c r="D123" s="243"/>
      <x:c r="E123" s="243"/>
      <x:c r="F123" s="14" t="str">
        <x:v>Recruiter A</x:v>
      </x:c>
      <x:c r="G123" s="14" t="str">
        <x:v>Training Center A</x:v>
      </x:c>
      <x:c r="H123" s="28">
        <x:v>46203</x:v>
      </x:c>
      <x:c r="I123" s="14">
        <x:v>2026</x:v>
      </x:c>
      <x:c r="J123" s="14" t="s">
        <x:v>129</x:v>
      </x:c>
      <x:c r="K123" s="14">
        <x:v>26</x:v>
      </x:c>
      <x:c r="L123" s="29" t="s">
        <x:v>101</x:v>
      </x:c>
      <x:c r="M123" s="28">
        <x:v>46193</x:v>
      </x:c>
      <x:c r="N123" s="28">
        <x:v>46208</x:v>
      </x:c>
      <x:c r="O123" s="14">
        <x:v>15</x:v>
      </x:c>
      <x:c r="P123" s="14" t="s">
        <x:v>102</x:v>
      </x:c>
      <x:c r="Q123" s="14" t="s">
        <x:v>103</x:v>
      </x:c>
      <x:c r="R123" s="14" t="s">
        <x:v>104</x:v>
      </x:c>
      <x:c r="S123" s="14" t="s">
        <x:v>105</x:v>
      </x:c>
      <x:c r="T123" s="14" t="str">
        <x:v>Region A</x:v>
      </x:c>
      <x:c r="U123" s="28">
        <x:v>46208</x:v>
      </x:c>
      <x:c r="V123" s="30">
        <x:v>5</x:v>
      </x:c>
      <x:c r="W123" s="14" t="s">
        <x:v>109</x:v>
      </x:c>
      <x:c r="X123" s="14" t="s">
        <x:v>106</x:v>
      </x:c>
      <x:c r="Y123" s="32" t="str">
        <x:v>TRN-0122|20260630</x:v>
      </x:c>
      <x:c r="Z123" s="32" t="str" cm="1">
        <x:f t="array" ref="Z12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123" s="33" t="n">
        <x:f>--OR(WorkforceData[[#This Row],[Status]]="Active",WorkforceData[[#This Row],[Promoted]]="Yes",WorkforceData[[#This Row],[Total Days Worked]]&gt;=121)</x:f>
        <x:v>0</x:v>
      </x:c>
      <x:c r="AB123" s="33" t="n">
        <x:f>IF(AND(Q123="Terminated",R123="",O123=0),1,0)</x:f>
        <x:v>0</x:v>
      </x:c>
      <x:c r="AC123" s="33" t="n">
        <x:f>--OR(WorkforceData[[#This Row],[Status]]="Resigned",WorkforceData[[#This Row],[Status After Training]]="Withdrew")</x:f>
        <x:v>1</x:v>
      </x:c>
      <x:c r="AD123" s="34" t="n">
        <x:f>EOMONTH(WorkforceData[[#This Row],[Training Date]],0)</x:f>
        <x:v>46203</x:v>
      </x:c>
      <x:c r="AE123" s="32" t="str">
        <x:f>IF(M123&lt;H123,"Existing Employee",IF(U123="","No Assignment",IF(V123=0,"0 Days",IF(V123&lt;=7,"1-7 Days",IF(V123&lt;=14,"8-14 Days",IF(V123&lt;=21,"15-21 Days","21+ Days"))))))</x:f>
        <x:v>Existing Employee</x:v>
      </x:c>
      <x:c r="AF12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123" s="33" t="n">
        <x:f>--(WorkforceData[[#This Row],[Total Days Worked]]&gt;=121)</x:f>
        <x:v>0</x:v>
      </x:c>
    </x:row>
    <x:row r="124">
      <x:c r="A124" s="236" t="str">
        <x:v>TRN-0123</x:v>
      </x:c>
      <x:c r="B124" s="243"/>
      <x:c r="C124" s="243"/>
      <x:c r="D124" s="243"/>
      <x:c r="E124" s="243"/>
      <x:c r="F124" s="14" t="str">
        <x:v>Recruiter B</x:v>
      </x:c>
      <x:c r="G124" s="14" t="str">
        <x:v>Training Center A</x:v>
      </x:c>
      <x:c r="H124" s="28">
        <x:v>46203</x:v>
      </x:c>
      <x:c r="I124" s="14">
        <x:v>2026</x:v>
      </x:c>
      <x:c r="J124" s="14" t="s">
        <x:v>129</x:v>
      </x:c>
      <x:c r="K124" s="14">
        <x:v>26</x:v>
      </x:c>
      <x:c r="L124" s="29" t="s">
        <x:v>101</x:v>
      </x:c>
      <x:c r="M124" s="28">
        <x:v>46193</x:v>
      </x:c>
      <x:c r="N124" s="14"/>
      <x:c r="O124" s="14">
        <x:v>58</x:v>
      </x:c>
      <x:c r="P124" s="14" t="s">
        <x:v>110</x:v>
      </x:c>
      <x:c r="Q124" s="14" t="s">
        <x:v>25</x:v>
      </x:c>
      <x:c r="R124" s="14"/>
      <x:c r="S124" s="14" t="s">
        <x:v>105</x:v>
      </x:c>
      <x:c r="T124" s="14" t="str">
        <x:v>Region B</x:v>
      </x:c>
      <x:c r="U124" s="28">
        <x:v>46203</x:v>
      </x:c>
      <x:c r="V124" s="30">
        <x:v>0</x:v>
      </x:c>
      <x:c r="W124" s="14" t="s">
        <x:v>109</x:v>
      </x:c>
      <x:c r="X124" s="14" t="s">
        <x:v>106</x:v>
      </x:c>
      <x:c r="Y124" s="32" t="str">
        <x:v>TRN-0123|20260630</x:v>
      </x:c>
      <x:c r="Z124" s="32" t="str" cm="1">
        <x:f t="array" ref="Z12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24" s="33" t="n">
        <x:f>--OR(WorkforceData[[#This Row],[Status]]="Active",WorkforceData[[#This Row],[Promoted]]="Yes",WorkforceData[[#This Row],[Total Days Worked]]&gt;=121)</x:f>
        <x:v>1</x:v>
      </x:c>
      <x:c r="AB124" s="33" t="n">
        <x:f>IF(AND(Q124="Terminated",R124="",O124=0),1,0)</x:f>
        <x:v>0</x:v>
      </x:c>
      <x:c r="AC124" s="33" t="n">
        <x:f>--OR(WorkforceData[[#This Row],[Status]]="Resigned",WorkforceData[[#This Row],[Status After Training]]="Withdrew")</x:f>
        <x:v>0</x:v>
      </x:c>
      <x:c r="AD124" s="34" t="n">
        <x:f>EOMONTH(WorkforceData[[#This Row],[Training Date]],0)</x:f>
        <x:v>46203</x:v>
      </x:c>
      <x:c r="AE124" s="32" t="str">
        <x:f>IF(M124&lt;H124,"Existing Employee",IF(U124="","No Assignment",IF(V124=0,"0 Days",IF(V124&lt;=7,"1-7 Days",IF(V124&lt;=14,"8-14 Days",IF(V124&lt;=21,"15-21 Days","21+ Days"))))))</x:f>
        <x:v>Existing Employee</x:v>
      </x:c>
      <x:c r="AF12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124" s="33" t="n">
        <x:f>--(WorkforceData[[#This Row],[Total Days Worked]]&gt;=121)</x:f>
        <x:v>0</x:v>
      </x:c>
    </x:row>
    <x:row r="125">
      <x:c r="A125" s="236" t="str">
        <x:v>TRN-0124</x:v>
      </x:c>
      <x:c r="B125" s="243"/>
      <x:c r="C125" s="243"/>
      <x:c r="D125" s="243"/>
      <x:c r="E125" s="243"/>
      <x:c r="F125" s="14" t="str">
        <x:v>Recruiter B</x:v>
      </x:c>
      <x:c r="G125" s="14" t="str">
        <x:v>Training Center A</x:v>
      </x:c>
      <x:c r="H125" s="28">
        <x:v>46203</x:v>
      </x:c>
      <x:c r="I125" s="14">
        <x:v>2026</x:v>
      </x:c>
      <x:c r="J125" s="14" t="s">
        <x:v>129</x:v>
      </x:c>
      <x:c r="K125" s="14">
        <x:v>26</x:v>
      </x:c>
      <x:c r="L125" s="29" t="s">
        <x:v>101</x:v>
      </x:c>
      <x:c r="M125" s="28">
        <x:v>46200</x:v>
      </x:c>
      <x:c r="N125" s="14"/>
      <x:c r="O125" s="14">
        <x:v>51</x:v>
      </x:c>
      <x:c r="P125" s="14" t="s">
        <x:v>110</x:v>
      </x:c>
      <x:c r="Q125" s="14" t="s">
        <x:v>25</x:v>
      </x:c>
      <x:c r="R125" s="14"/>
      <x:c r="S125" s="14" t="s">
        <x:v>105</x:v>
      </x:c>
      <x:c r="T125" s="14" t="str">
        <x:v>Region B</x:v>
      </x:c>
      <x:c r="U125" s="28">
        <x:v>46204</x:v>
      </x:c>
      <x:c r="V125" s="30">
        <x:v>1</x:v>
      </x:c>
      <x:c r="W125" s="14" t="s">
        <x:v>109</x:v>
      </x:c>
      <x:c r="X125" s="14" t="s">
        <x:v>106</x:v>
      </x:c>
      <x:c r="Y125" s="32" t="str">
        <x:v>TRN-0124|20260630</x:v>
      </x:c>
      <x:c r="Z125" s="32" t="str" cm="1">
        <x:f t="array" ref="Z12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25" s="33" t="n">
        <x:f>--OR(WorkforceData[[#This Row],[Status]]="Active",WorkforceData[[#This Row],[Promoted]]="Yes",WorkforceData[[#This Row],[Total Days Worked]]&gt;=121)</x:f>
        <x:v>1</x:v>
      </x:c>
      <x:c r="AB125" s="33" t="n">
        <x:f>IF(AND(Q125="Terminated",R125="",O125=0),1,0)</x:f>
        <x:v>0</x:v>
      </x:c>
      <x:c r="AC125" s="33" t="n">
        <x:f>--OR(WorkforceData[[#This Row],[Status]]="Resigned",WorkforceData[[#This Row],[Status After Training]]="Withdrew")</x:f>
        <x:v>0</x:v>
      </x:c>
      <x:c r="AD125" s="34" t="n">
        <x:f>EOMONTH(WorkforceData[[#This Row],[Training Date]],0)</x:f>
        <x:v>46203</x:v>
      </x:c>
      <x:c r="AE125" s="32" t="str">
        <x:f>IF(M125&lt;H125,"Existing Employee",IF(U125="","No Assignment",IF(V125=0,"0 Days",IF(V125&lt;=7,"1-7 Days",IF(V125&lt;=14,"8-14 Days",IF(V125&lt;=21,"15-21 Days","21+ Days"))))))</x:f>
        <x:v>Existing Employee</x:v>
      </x:c>
      <x:c r="AF12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125" s="33" t="n">
        <x:f>--(WorkforceData[[#This Row],[Total Days Worked]]&gt;=121)</x:f>
        <x:v>0</x:v>
      </x:c>
    </x:row>
    <x:row r="126">
      <x:c r="A126" s="236" t="str">
        <x:v>TRN-0125</x:v>
      </x:c>
      <x:c r="B126" s="243"/>
      <x:c r="C126" s="243"/>
      <x:c r="D126" s="243"/>
      <x:c r="E126" s="243"/>
      <x:c r="F126" s="14" t="str">
        <x:v>Recruiter H</x:v>
      </x:c>
      <x:c r="G126" s="14" t="str">
        <x:v>Training Center A</x:v>
      </x:c>
      <x:c r="H126" s="28">
        <x:v>46203</x:v>
      </x:c>
      <x:c r="I126" s="14">
        <x:v>2026</x:v>
      </x:c>
      <x:c r="J126" s="14" t="s">
        <x:v>129</x:v>
      </x:c>
      <x:c r="K126" s="14">
        <x:v>26</x:v>
      </x:c>
      <x:c r="L126" s="29" t="s">
        <x:v>101</x:v>
      </x:c>
      <x:c r="M126" s="28">
        <x:v>46203</x:v>
      </x:c>
      <x:c r="N126" s="14"/>
      <x:c r="O126" s="14">
        <x:v>48</x:v>
      </x:c>
      <x:c r="P126" s="14" t="s">
        <x:v>110</x:v>
      </x:c>
      <x:c r="Q126" s="14" t="s">
        <x:v>25</x:v>
      </x:c>
      <x:c r="R126" s="14"/>
      <x:c r="S126" s="14" t="s">
        <x:v>105</x:v>
      </x:c>
      <x:c r="T126" s="14" t="str">
        <x:v>Region B</x:v>
      </x:c>
      <x:c r="U126" s="28">
        <x:v>46235</x:v>
      </x:c>
      <x:c r="V126" s="30">
        <x:v>32</x:v>
      </x:c>
      <x:c r="W126" s="14" t="s">
        <x:v>63</x:v>
      </x:c>
      <x:c r="X126" s="14" t="s">
        <x:v>117</x:v>
      </x:c>
      <x:c r="Y126" s="32" t="str">
        <x:v>TRN-0125|20260630</x:v>
      </x:c>
      <x:c r="Z126" s="32" t="str" cm="1">
        <x:f t="array" ref="Z12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26" s="33" t="n">
        <x:f>--OR(WorkforceData[[#This Row],[Status]]="Active",WorkforceData[[#This Row],[Promoted]]="Yes",WorkforceData[[#This Row],[Total Days Worked]]&gt;=121)</x:f>
        <x:v>1</x:v>
      </x:c>
      <x:c r="AB126" s="33" t="n">
        <x:f>IF(AND(Q126="Terminated",R126="",O126=0),1,0)</x:f>
        <x:v>0</x:v>
      </x:c>
      <x:c r="AC126" s="33" t="n">
        <x:f>--OR(WorkforceData[[#This Row],[Status]]="Resigned",WorkforceData[[#This Row],[Status After Training]]="Withdrew")</x:f>
        <x:v>0</x:v>
      </x:c>
      <x:c r="AD126" s="34" t="n">
        <x:f>EOMONTH(WorkforceData[[#This Row],[Training Date]],0)</x:f>
        <x:v>46203</x:v>
      </x:c>
      <x:c r="AE126" s="32" t="str">
        <x:f>IF(M126&lt;H126,"Existing Employee",IF(U126="","No Assignment",IF(V126=0,"0 Days",IF(V126&lt;=7,"1-7 Days",IF(V126&lt;=14,"8-14 Days",IF(V126&lt;=21,"15-21 Days","21+ Days"))))))</x:f>
        <x:v>21+ Days</x:v>
      </x:c>
      <x:c r="AF12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126" s="33" t="n">
        <x:f>--(WorkforceData[[#This Row],[Total Days Worked]]&gt;=121)</x:f>
        <x:v>0</x:v>
      </x:c>
    </x:row>
    <x:row r="127">
      <x:c r="A127" s="236" t="str">
        <x:v>TRN-0126</x:v>
      </x:c>
      <x:c r="B127" s="243"/>
      <x:c r="C127" s="243"/>
      <x:c r="D127" s="243"/>
      <x:c r="E127" s="243"/>
      <x:c r="F127" s="14" t="str">
        <x:v>Recruiter E</x:v>
      </x:c>
      <x:c r="G127" s="14" t="str">
        <x:v>Training Center A</x:v>
      </x:c>
      <x:c r="H127" s="28">
        <x:v>46203</x:v>
      </x:c>
      <x:c r="I127" s="14">
        <x:v>2026</x:v>
      </x:c>
      <x:c r="J127" s="14" t="s">
        <x:v>129</x:v>
      </x:c>
      <x:c r="K127" s="14">
        <x:v>26</x:v>
      </x:c>
      <x:c r="L127" s="29" t="s">
        <x:v>101</x:v>
      </x:c>
      <x:c r="M127" s="28">
        <x:v>46193</x:v>
      </x:c>
      <x:c r="N127" s="14"/>
      <x:c r="O127" s="14">
        <x:v>58</x:v>
      </x:c>
      <x:c r="P127" s="14" t="s">
        <x:v>110</x:v>
      </x:c>
      <x:c r="Q127" s="14" t="s">
        <x:v>25</x:v>
      </x:c>
      <x:c r="R127" s="14"/>
      <x:c r="S127" s="14" t="s">
        <x:v>105</x:v>
      </x:c>
      <x:c r="T127" s="14" t="str">
        <x:v>Region B</x:v>
      </x:c>
      <x:c r="U127" s="28">
        <x:v>46251</x:v>
      </x:c>
      <x:c r="V127" s="30">
        <x:v>48</x:v>
      </x:c>
      <x:c r="W127" s="14" t="s">
        <x:v>63</x:v>
      </x:c>
      <x:c r="X127" s="14" t="s">
        <x:v>117</x:v>
      </x:c>
      <x:c r="Y127" s="32" t="str">
        <x:v>TRN-0126|20260630</x:v>
      </x:c>
      <x:c r="Z127" s="32" t="str" cm="1">
        <x:f t="array" ref="Z12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27" s="33" t="n">
        <x:f>--OR(WorkforceData[[#This Row],[Status]]="Active",WorkforceData[[#This Row],[Promoted]]="Yes",WorkforceData[[#This Row],[Total Days Worked]]&gt;=121)</x:f>
        <x:v>1</x:v>
      </x:c>
      <x:c r="AB127" s="33" t="n">
        <x:f>IF(AND(Q127="Terminated",R127="",O127=0),1,0)</x:f>
        <x:v>0</x:v>
      </x:c>
      <x:c r="AC127" s="33" t="n">
        <x:f>--OR(WorkforceData[[#This Row],[Status]]="Resigned",WorkforceData[[#This Row],[Status After Training]]="Withdrew")</x:f>
        <x:v>0</x:v>
      </x:c>
      <x:c r="AD127" s="34" t="n">
        <x:f>EOMONTH(WorkforceData[[#This Row],[Training Date]],0)</x:f>
        <x:v>46203</x:v>
      </x:c>
      <x:c r="AE127" s="32" t="str">
        <x:f>IF(M127&lt;H127,"Existing Employee",IF(U127="","No Assignment",IF(V127=0,"0 Days",IF(V127&lt;=7,"1-7 Days",IF(V127&lt;=14,"8-14 Days",IF(V127&lt;=21,"15-21 Days","21+ Days"))))))</x:f>
        <x:v>Existing Employee</x:v>
      </x:c>
      <x:c r="AF12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127" s="33" t="n">
        <x:f>--(WorkforceData[[#This Row],[Total Days Worked]]&gt;=121)</x:f>
        <x:v>0</x:v>
      </x:c>
    </x:row>
    <x:row r="128">
      <x:c r="A128" s="236" t="str">
        <x:v>TRN-0127</x:v>
      </x:c>
      <x:c r="B128" s="243"/>
      <x:c r="C128" s="243"/>
      <x:c r="D128" s="243"/>
      <x:c r="E128" s="243"/>
      <x:c r="F128" s="14" t="str">
        <x:v>Recruiter E</x:v>
      </x:c>
      <x:c r="G128" s="14" t="str">
        <x:v>Training Center A</x:v>
      </x:c>
      <x:c r="H128" s="28">
        <x:v>46203</x:v>
      </x:c>
      <x:c r="I128" s="14">
        <x:v>2026</x:v>
      </x:c>
      <x:c r="J128" s="14" t="s">
        <x:v>129</x:v>
      </x:c>
      <x:c r="K128" s="14">
        <x:v>26</x:v>
      </x:c>
      <x:c r="L128" s="29" t="s">
        <x:v>101</x:v>
      </x:c>
      <x:c r="M128" s="28">
        <x:v>46203</x:v>
      </x:c>
      <x:c r="N128" s="14"/>
      <x:c r="O128" s="14">
        <x:v>48</x:v>
      </x:c>
      <x:c r="P128" s="14" t="s">
        <x:v>110</x:v>
      </x:c>
      <x:c r="Q128" s="14" t="s">
        <x:v>25</x:v>
      </x:c>
      <x:c r="R128" s="14"/>
      <x:c r="S128" s="14" t="s">
        <x:v>105</x:v>
      </x:c>
      <x:c r="T128" s="14" t="str">
        <x:v>Region C</x:v>
      </x:c>
      <x:c r="U128" s="28">
        <x:v>46251</x:v>
      </x:c>
      <x:c r="V128" s="30">
        <x:v>48</x:v>
      </x:c>
      <x:c r="W128" s="14" t="s">
        <x:v>63</x:v>
      </x:c>
      <x:c r="X128" s="14" t="s">
        <x:v>117</x:v>
      </x:c>
      <x:c r="Y128" s="32" t="str">
        <x:v>TRN-0127|20260630</x:v>
      </x:c>
      <x:c r="Z128" s="32" t="str" cm="1">
        <x:f t="array" ref="Z12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28" s="33" t="n">
        <x:f>--OR(WorkforceData[[#This Row],[Status]]="Active",WorkforceData[[#This Row],[Promoted]]="Yes",WorkforceData[[#This Row],[Total Days Worked]]&gt;=121)</x:f>
        <x:v>1</x:v>
      </x:c>
      <x:c r="AB128" s="33" t="n">
        <x:f>IF(AND(Q128="Terminated",R128="",O128=0),1,0)</x:f>
        <x:v>0</x:v>
      </x:c>
      <x:c r="AC128" s="33" t="n">
        <x:f>--OR(WorkforceData[[#This Row],[Status]]="Resigned",WorkforceData[[#This Row],[Status After Training]]="Withdrew")</x:f>
        <x:v>0</x:v>
      </x:c>
      <x:c r="AD128" s="34" t="n">
        <x:f>EOMONTH(WorkforceData[[#This Row],[Training Date]],0)</x:f>
        <x:v>46203</x:v>
      </x:c>
      <x:c r="AE128" s="32" t="str">
        <x:f>IF(M128&lt;H128,"Existing Employee",IF(U128="","No Assignment",IF(V128=0,"0 Days",IF(V128&lt;=7,"1-7 Days",IF(V128&lt;=14,"8-14 Days",IF(V128&lt;=21,"15-21 Days","21+ Days"))))))</x:f>
        <x:v>21+ Days</x:v>
      </x:c>
      <x:c r="AF12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128" s="33" t="n">
        <x:f>--(WorkforceData[[#This Row],[Total Days Worked]]&gt;=121)</x:f>
        <x:v>0</x:v>
      </x:c>
    </x:row>
    <x:row r="129">
      <x:c r="A129" s="236" t="str">
        <x:v>TRN-0128</x:v>
      </x:c>
      <x:c r="B129" s="243"/>
      <x:c r="C129" s="243"/>
      <x:c r="D129" s="243"/>
      <x:c r="E129" s="243"/>
      <x:c r="F129" s="14" t="str">
        <x:v>Recruiter E</x:v>
      </x:c>
      <x:c r="G129" s="14" t="str">
        <x:v>Training Center A</x:v>
      </x:c>
      <x:c r="H129" s="28">
        <x:v>46203</x:v>
      </x:c>
      <x:c r="I129" s="14">
        <x:v>2026</x:v>
      </x:c>
      <x:c r="J129" s="14" t="s">
        <x:v>129</x:v>
      </x:c>
      <x:c r="K129" s="14">
        <x:v>26</x:v>
      </x:c>
      <x:c r="L129" s="29" t="s">
        <x:v>101</x:v>
      </x:c>
      <x:c r="M129" s="28">
        <x:v>46203</x:v>
      </x:c>
      <x:c r="N129" s="14"/>
      <x:c r="O129" s="14">
        <x:v>48</x:v>
      </x:c>
      <x:c r="P129" s="14" t="s">
        <x:v>110</x:v>
      </x:c>
      <x:c r="Q129" s="14" t="s">
        <x:v>25</x:v>
      </x:c>
      <x:c r="R129" s="14"/>
      <x:c r="S129" s="14" t="s">
        <x:v>105</x:v>
      </x:c>
      <x:c r="T129" s="14" t="str">
        <x:v>Region E</x:v>
      </x:c>
      <x:c r="U129" s="28">
        <x:v>46214</x:v>
      </x:c>
      <x:c r="V129" s="30">
        <x:v>11</x:v>
      </x:c>
      <x:c r="W129" s="14" t="s">
        <x:v>45</x:v>
      </x:c>
      <x:c r="X129" s="14" t="s">
        <x:v>106</x:v>
      </x:c>
      <x:c r="Y129" s="32" t="str">
        <x:v>TRN-0128|20260630</x:v>
      </x:c>
      <x:c r="Z129" s="32" t="str" cm="1">
        <x:f t="array" ref="Z12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29" s="33" t="n">
        <x:f>--OR(WorkforceData[[#This Row],[Status]]="Active",WorkforceData[[#This Row],[Promoted]]="Yes",WorkforceData[[#This Row],[Total Days Worked]]&gt;=121)</x:f>
        <x:v>1</x:v>
      </x:c>
      <x:c r="AB129" s="33" t="n">
        <x:f>IF(AND(Q129="Terminated",R129="",O129=0),1,0)</x:f>
        <x:v>0</x:v>
      </x:c>
      <x:c r="AC129" s="33" t="n">
        <x:f>--OR(WorkforceData[[#This Row],[Status]]="Resigned",WorkforceData[[#This Row],[Status After Training]]="Withdrew")</x:f>
        <x:v>0</x:v>
      </x:c>
      <x:c r="AD129" s="34" t="n">
        <x:f>EOMONTH(WorkforceData[[#This Row],[Training Date]],0)</x:f>
        <x:v>46203</x:v>
      </x:c>
      <x:c r="AE129" s="32" t="str">
        <x:f>IF(M129&lt;H129,"Existing Employee",IF(U129="","No Assignment",IF(V129=0,"0 Days",IF(V129&lt;=7,"1-7 Days",IF(V129&lt;=14,"8-14 Days",IF(V129&lt;=21,"15-21 Days","21+ Days"))))))</x:f>
        <x:v>8-14 Days</x:v>
      </x:c>
      <x:c r="AF12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129" s="33" t="n">
        <x:f>--(WorkforceData[[#This Row],[Total Days Worked]]&gt;=121)</x:f>
        <x:v>0</x:v>
      </x:c>
    </x:row>
    <x:row r="130">
      <x:c r="A130" s="236" t="str">
        <x:v>TRN-0129</x:v>
      </x:c>
      <x:c r="B130" s="243"/>
      <x:c r="C130" s="243"/>
      <x:c r="D130" s="243"/>
      <x:c r="E130" s="243"/>
      <x:c r="F130" s="14" t="str">
        <x:v>Recruiter H</x:v>
      </x:c>
      <x:c r="G130" s="14" t="str">
        <x:v>Training Center A</x:v>
      </x:c>
      <x:c r="H130" s="28">
        <x:v>46203</x:v>
      </x:c>
      <x:c r="I130" s="14">
        <x:v>2026</x:v>
      </x:c>
      <x:c r="J130" s="14" t="s">
        <x:v>129</x:v>
      </x:c>
      <x:c r="K130" s="14">
        <x:v>26</x:v>
      </x:c>
      <x:c r="L130" s="29" t="s">
        <x:v>101</x:v>
      </x:c>
      <x:c r="M130" s="28">
        <x:v>46198</x:v>
      </x:c>
      <x:c r="N130" s="14"/>
      <x:c r="O130" s="14">
        <x:v>53</x:v>
      </x:c>
      <x:c r="P130" s="14" t="s">
        <x:v>110</x:v>
      </x:c>
      <x:c r="Q130" s="14" t="s">
        <x:v>38</x:v>
      </x:c>
      <x:c r="R130" s="14"/>
      <x:c r="S130" s="14" t="s">
        <x:v>105</x:v>
      </x:c>
      <x:c r="T130" s="14" t="str">
        <x:v>Region C</x:v>
      </x:c>
      <x:c r="U130" s="28">
        <x:v>46210</x:v>
      </x:c>
      <x:c r="V130" s="30">
        <x:v>7</x:v>
      </x:c>
      <x:c r="W130" s="14" t="s">
        <x:v>109</x:v>
      </x:c>
      <x:c r="X130" s="14" t="s">
        <x:v>106</x:v>
      </x:c>
      <x:c r="Y130" s="32" t="str">
        <x:v>TRN-0129|20260630</x:v>
      </x:c>
      <x:c r="Z130" s="32" t="str" cm="1">
        <x:f t="array" ref="Z13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30" s="33" t="n">
        <x:f>--OR(WorkforceData[[#This Row],[Status]]="Active",WorkforceData[[#This Row],[Promoted]]="Yes",WorkforceData[[#This Row],[Total Days Worked]]&gt;=121)</x:f>
        <x:v>0</x:v>
      </x:c>
      <x:c r="AB130" s="33" t="n">
        <x:f>IF(AND(Q130="Terminated",R130="",O130=0),1,0)</x:f>
        <x:v>0</x:v>
      </x:c>
      <x:c r="AC130" s="33" t="n">
        <x:f>--OR(WorkforceData[[#This Row],[Status]]="Resigned",WorkforceData[[#This Row],[Status After Training]]="Withdrew")</x:f>
        <x:v>0</x:v>
      </x:c>
      <x:c r="AD130" s="34" t="n">
        <x:f>EOMONTH(WorkforceData[[#This Row],[Training Date]],0)</x:f>
        <x:v>46203</x:v>
      </x:c>
      <x:c r="AE130" s="32" t="str">
        <x:f>IF(M130&lt;H130,"Existing Employee",IF(U130="","No Assignment",IF(V130=0,"0 Days",IF(V130&lt;=7,"1-7 Days",IF(V130&lt;=14,"8-14 Days",IF(V130&lt;=21,"15-21 Days","21+ Days"))))))</x:f>
        <x:v>Existing Employee</x:v>
      </x:c>
      <x:c r="AF13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130" s="33" t="n">
        <x:f>--(WorkforceData[[#This Row],[Total Days Worked]]&gt;=121)</x:f>
        <x:v>0</x:v>
      </x:c>
    </x:row>
    <x:row r="131">
      <x:c r="A131" s="236" t="str">
        <x:v>TRN-0130</x:v>
      </x:c>
      <x:c r="B131" s="243"/>
      <x:c r="C131" s="243"/>
      <x:c r="D131" s="243"/>
      <x:c r="E131" s="243"/>
      <x:c r="F131" s="14" t="str">
        <x:v>Recruiter A</x:v>
      </x:c>
      <x:c r="G131" s="14" t="str">
        <x:v>Training Center A</x:v>
      </x:c>
      <x:c r="H131" s="28">
        <x:v>46203</x:v>
      </x:c>
      <x:c r="I131" s="14">
        <x:v>2026</x:v>
      </x:c>
      <x:c r="J131" s="14" t="s">
        <x:v>129</x:v>
      </x:c>
      <x:c r="K131" s="14">
        <x:v>26</x:v>
      </x:c>
      <x:c r="L131" s="29" t="s">
        <x:v>101</x:v>
      </x:c>
      <x:c r="M131" s="28">
        <x:v>46203</x:v>
      </x:c>
      <x:c r="N131" s="28">
        <x:v>46251</x:v>
      </x:c>
      <x:c r="O131" s="14">
        <x:v>48</x:v>
      </x:c>
      <x:c r="P131" s="14" t="s">
        <x:v>110</x:v>
      </x:c>
      <x:c r="Q131" s="14" t="s">
        <x:v>33</x:v>
      </x:c>
      <x:c r="R131" s="14" t="s">
        <x:v>121</x:v>
      </x:c>
      <x:c r="S131" s="14" t="s">
        <x:v>105</x:v>
      </x:c>
      <x:c r="T131" s="14" t="str">
        <x:v>Region D</x:v>
      </x:c>
      <x:c r="U131" s="28">
        <x:v>46209</x:v>
      </x:c>
      <x:c r="V131" s="30">
        <x:v>6</x:v>
      </x:c>
      <x:c r="W131" s="14" t="s">
        <x:v>109</x:v>
      </x:c>
      <x:c r="X131" s="14" t="s">
        <x:v>106</x:v>
      </x:c>
      <x:c r="Y131" s="32" t="str">
        <x:v>TRN-0130|20260630</x:v>
      </x:c>
      <x:c r="Z131" s="32" t="str" cm="1">
        <x:f t="array" ref="Z13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131" s="33" t="n">
        <x:f>--OR(WorkforceData[[#This Row],[Status]]="Active",WorkforceData[[#This Row],[Promoted]]="Yes",WorkforceData[[#This Row],[Total Days Worked]]&gt;=121)</x:f>
        <x:v>0</x:v>
      </x:c>
      <x:c r="AB131" s="33" t="n">
        <x:f>IF(AND(Q131="Terminated",R131="",O131=0),1,0)</x:f>
        <x:v>0</x:v>
      </x:c>
      <x:c r="AC131" s="33" t="n">
        <x:f>--OR(WorkforceData[[#This Row],[Status]]="Resigned",WorkforceData[[#This Row],[Status After Training]]="Withdrew")</x:f>
        <x:v>0</x:v>
      </x:c>
      <x:c r="AD131" s="34" t="n">
        <x:f>EOMONTH(WorkforceData[[#This Row],[Training Date]],0)</x:f>
        <x:v>46203</x:v>
      </x:c>
      <x:c r="AE131" s="32" t="str">
        <x:f>IF(M131&lt;H131,"Existing Employee",IF(U131="","No Assignment",IF(V131=0,"0 Days",IF(V131&lt;=7,"1-7 Days",IF(V131&lt;=14,"8-14 Days",IF(V131&lt;=21,"15-21 Days","21+ Days"))))))</x:f>
        <x:v>1-7 Days</x:v>
      </x:c>
      <x:c r="AF13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131" s="33" t="n">
        <x:f>--(WorkforceData[[#This Row],[Total Days Worked]]&gt;=121)</x:f>
        <x:v>0</x:v>
      </x:c>
    </x:row>
    <x:row r="132">
      <x:c r="A132" s="236" t="str">
        <x:v>TRN-0131</x:v>
      </x:c>
      <x:c r="B132" s="243"/>
      <x:c r="C132" s="243"/>
      <x:c r="D132" s="243"/>
      <x:c r="E132" s="243"/>
      <x:c r="F132" s="14" t="str">
        <x:v>Recruiter F</x:v>
      </x:c>
      <x:c r="G132" s="14" t="str">
        <x:v>Training Center A</x:v>
      </x:c>
      <x:c r="H132" s="28">
        <x:v>46203</x:v>
      </x:c>
      <x:c r="I132" s="14">
        <x:v>2026</x:v>
      </x:c>
      <x:c r="J132" s="14" t="s">
        <x:v>129</x:v>
      </x:c>
      <x:c r="K132" s="14">
        <x:v>26</x:v>
      </x:c>
      <x:c r="L132" s="29" t="s">
        <x:v>101</x:v>
      </x:c>
      <x:c r="M132" s="28">
        <x:v>46198</x:v>
      </x:c>
      <x:c r="N132" s="14"/>
      <x:c r="O132" s="14">
        <x:v>53</x:v>
      </x:c>
      <x:c r="P132" s="14" t="s">
        <x:v>110</x:v>
      </x:c>
      <x:c r="Q132" s="14" t="s">
        <x:v>25</x:v>
      </x:c>
      <x:c r="R132" s="14"/>
      <x:c r="S132" s="14" t="s">
        <x:v>105</x:v>
      </x:c>
      <x:c r="T132" s="14" t="str">
        <x:v>Region B</x:v>
      </x:c>
      <x:c r="U132" s="28">
        <x:v>46215</x:v>
      </x:c>
      <x:c r="V132" s="30">
        <x:v>12</x:v>
      </x:c>
      <x:c r="W132" s="14" t="s">
        <x:v>45</x:v>
      </x:c>
      <x:c r="X132" s="14" t="s">
        <x:v>106</x:v>
      </x:c>
      <x:c r="Y132" s="32" t="str">
        <x:v>TRN-0131|20260630</x:v>
      </x:c>
      <x:c r="Z132" s="32" t="str" cm="1">
        <x:f t="array" ref="Z13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32" s="33" t="n">
        <x:f>--OR(WorkforceData[[#This Row],[Status]]="Active",WorkforceData[[#This Row],[Promoted]]="Yes",WorkforceData[[#This Row],[Total Days Worked]]&gt;=121)</x:f>
        <x:v>1</x:v>
      </x:c>
      <x:c r="AB132" s="33" t="n">
        <x:f>IF(AND(Q132="Terminated",R132="",O132=0),1,0)</x:f>
        <x:v>0</x:v>
      </x:c>
      <x:c r="AC132" s="33" t="n">
        <x:f>--OR(WorkforceData[[#This Row],[Status]]="Resigned",WorkforceData[[#This Row],[Status After Training]]="Withdrew")</x:f>
        <x:v>0</x:v>
      </x:c>
      <x:c r="AD132" s="34" t="n">
        <x:f>EOMONTH(WorkforceData[[#This Row],[Training Date]],0)</x:f>
        <x:v>46203</x:v>
      </x:c>
      <x:c r="AE132" s="32" t="str">
        <x:f>IF(M132&lt;H132,"Existing Employee",IF(U132="","No Assignment",IF(V132=0,"0 Days",IF(V132&lt;=7,"1-7 Days",IF(V132&lt;=14,"8-14 Days",IF(V132&lt;=21,"15-21 Days","21+ Days"))))))</x:f>
        <x:v>Existing Employee</x:v>
      </x:c>
      <x:c r="AF13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132" s="33" t="n">
        <x:f>--(WorkforceData[[#This Row],[Total Days Worked]]&gt;=121)</x:f>
        <x:v>0</x:v>
      </x:c>
    </x:row>
    <x:row r="133">
      <x:c r="A133" s="236" t="str">
        <x:v>TRN-0132</x:v>
      </x:c>
      <x:c r="B133" s="243"/>
      <x:c r="C133" s="243"/>
      <x:c r="D133" s="243"/>
      <x:c r="E133" s="243"/>
      <x:c r="F133" s="14" t="str">
        <x:v>Recruiter F</x:v>
      </x:c>
      <x:c r="G133" s="14" t="str">
        <x:v>Training Center A</x:v>
      </x:c>
      <x:c r="H133" s="28">
        <x:v>46203</x:v>
      </x:c>
      <x:c r="I133" s="14">
        <x:v>2026</x:v>
      </x:c>
      <x:c r="J133" s="14" t="s">
        <x:v>129</x:v>
      </x:c>
      <x:c r="K133" s="14">
        <x:v>26</x:v>
      </x:c>
      <x:c r="L133" s="29" t="s">
        <x:v>101</x:v>
      </x:c>
      <x:c r="M133" s="28">
        <x:v>46198</x:v>
      </x:c>
      <x:c r="N133" s="14"/>
      <x:c r="O133" s="14">
        <x:v>53</x:v>
      </x:c>
      <x:c r="P133" s="14" t="s">
        <x:v>110</x:v>
      </x:c>
      <x:c r="Q133" s="14" t="s">
        <x:v>38</x:v>
      </x:c>
      <x:c r="R133" s="14"/>
      <x:c r="S133" s="14" t="s">
        <x:v>105</x:v>
      </x:c>
      <x:c r="T133" s="14" t="str">
        <x:v>Region D</x:v>
      </x:c>
      <x:c r="U133" s="28">
        <x:v>46207</x:v>
      </x:c>
      <x:c r="V133" s="30">
        <x:v>4</x:v>
      </x:c>
      <x:c r="W133" s="14" t="s">
        <x:v>109</x:v>
      </x:c>
      <x:c r="X133" s="14" t="s">
        <x:v>106</x:v>
      </x:c>
      <x:c r="Y133" s="32" t="str">
        <x:v>TRN-0132|20260630</x:v>
      </x:c>
      <x:c r="Z133" s="32" t="str" cm="1">
        <x:f t="array" ref="Z13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33" s="33" t="n">
        <x:f>--OR(WorkforceData[[#This Row],[Status]]="Active",WorkforceData[[#This Row],[Promoted]]="Yes",WorkforceData[[#This Row],[Total Days Worked]]&gt;=121)</x:f>
        <x:v>0</x:v>
      </x:c>
      <x:c r="AB133" s="33" t="n">
        <x:f>IF(AND(Q133="Terminated",R133="",O133=0),1,0)</x:f>
        <x:v>0</x:v>
      </x:c>
      <x:c r="AC133" s="33" t="n">
        <x:f>--OR(WorkforceData[[#This Row],[Status]]="Resigned",WorkforceData[[#This Row],[Status After Training]]="Withdrew")</x:f>
        <x:v>0</x:v>
      </x:c>
      <x:c r="AD133" s="34" t="n">
        <x:f>EOMONTH(WorkforceData[[#This Row],[Training Date]],0)</x:f>
        <x:v>46203</x:v>
      </x:c>
      <x:c r="AE133" s="32" t="str">
        <x:f>IF(M133&lt;H133,"Existing Employee",IF(U133="","No Assignment",IF(V133=0,"0 Days",IF(V133&lt;=7,"1-7 Days",IF(V133&lt;=14,"8-14 Days",IF(V133&lt;=21,"15-21 Days","21+ Days"))))))</x:f>
        <x:v>Existing Employee</x:v>
      </x:c>
      <x:c r="AF13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133" s="33" t="n">
        <x:f>--(WorkforceData[[#This Row],[Total Days Worked]]&gt;=121)</x:f>
        <x:v>0</x:v>
      </x:c>
    </x:row>
    <x:row r="134">
      <x:c r="A134" s="236" t="str">
        <x:v>TRN-0133</x:v>
      </x:c>
      <x:c r="B134" s="243"/>
      <x:c r="C134" s="243"/>
      <x:c r="D134" s="243"/>
      <x:c r="E134" s="243"/>
      <x:c r="F134" s="14" t="str">
        <x:v>Recruiter E</x:v>
      </x:c>
      <x:c r="G134" s="14" t="str">
        <x:v>Training Center A</x:v>
      </x:c>
      <x:c r="H134" s="28">
        <x:v>46203</x:v>
      </x:c>
      <x:c r="I134" s="14">
        <x:v>2026</x:v>
      </x:c>
      <x:c r="J134" s="14" t="s">
        <x:v>129</x:v>
      </x:c>
      <x:c r="K134" s="14">
        <x:v>26</x:v>
      </x:c>
      <x:c r="L134" s="29" t="s">
        <x:v>101</x:v>
      </x:c>
      <x:c r="M134" s="28">
        <x:v>46201</x:v>
      </x:c>
      <x:c r="N134" s="28">
        <x:v>46251</x:v>
      </x:c>
      <x:c r="O134" s="14">
        <x:v>50</x:v>
      </x:c>
      <x:c r="P134" s="14" t="s">
        <x:v>110</x:v>
      </x:c>
      <x:c r="Q134" s="14" t="s">
        <x:v>103</x:v>
      </x:c>
      <x:c r="R134" s="14" t="s">
        <x:v>111</x:v>
      </x:c>
      <x:c r="S134" s="14" t="s">
        <x:v>105</x:v>
      </x:c>
      <x:c r="T134" s="14" t="str">
        <x:v>Region D</x:v>
      </x:c>
      <x:c r="U134" s="28">
        <x:v>46251</x:v>
      </x:c>
      <x:c r="V134" s="30">
        <x:v>48</x:v>
      </x:c>
      <x:c r="W134" s="14" t="s">
        <x:v>63</x:v>
      </x:c>
      <x:c r="X134" s="14" t="s">
        <x:v>115</x:v>
      </x:c>
      <x:c r="Y134" s="32" t="str">
        <x:v>TRN-0133|20260630</x:v>
      </x:c>
      <x:c r="Z134" s="32" t="str" cm="1">
        <x:f t="array" ref="Z13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134" s="33" t="n">
        <x:f>--OR(WorkforceData[[#This Row],[Status]]="Active",WorkforceData[[#This Row],[Promoted]]="Yes",WorkforceData[[#This Row],[Total Days Worked]]&gt;=121)</x:f>
        <x:v>0</x:v>
      </x:c>
      <x:c r="AB134" s="33" t="n">
        <x:f>IF(AND(Q134="Terminated",R134="",O134=0),1,0)</x:f>
        <x:v>0</x:v>
      </x:c>
      <x:c r="AC134" s="33" t="n">
        <x:f>--OR(WorkforceData[[#This Row],[Status]]="Resigned",WorkforceData[[#This Row],[Status After Training]]="Withdrew")</x:f>
        <x:v>1</x:v>
      </x:c>
      <x:c r="AD134" s="34" t="n">
        <x:f>EOMONTH(WorkforceData[[#This Row],[Training Date]],0)</x:f>
        <x:v>46203</x:v>
      </x:c>
      <x:c r="AE134" s="32" t="str">
        <x:f>IF(M134&lt;H134,"Existing Employee",IF(U134="","No Assignment",IF(V134=0,"0 Days",IF(V134&lt;=7,"1-7 Days",IF(V134&lt;=14,"8-14 Days",IF(V134&lt;=21,"15-21 Days","21+ Days"))))))</x:f>
        <x:v>Existing Employee</x:v>
      </x:c>
      <x:c r="AF13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134" s="33" t="n">
        <x:f>--(WorkforceData[[#This Row],[Total Days Worked]]&gt;=121)</x:f>
        <x:v>0</x:v>
      </x:c>
    </x:row>
    <x:row r="135">
      <x:c r="A135" s="236" t="str">
        <x:v>TRN-0134</x:v>
      </x:c>
      <x:c r="B135" s="243"/>
      <x:c r="C135" s="243"/>
      <x:c r="D135" s="243"/>
      <x:c r="E135" s="243"/>
      <x:c r="F135" s="14" t="str">
        <x:v>Recruiter F</x:v>
      </x:c>
      <x:c r="G135" s="14" t="str">
        <x:v>Training Center A</x:v>
      </x:c>
      <x:c r="H135" s="28">
        <x:v>46203</x:v>
      </x:c>
      <x:c r="I135" s="14">
        <x:v>2026</x:v>
      </x:c>
      <x:c r="J135" s="14" t="s">
        <x:v>129</x:v>
      </x:c>
      <x:c r="K135" s="14">
        <x:v>26</x:v>
      </x:c>
      <x:c r="L135" s="29" t="s">
        <x:v>101</x:v>
      </x:c>
      <x:c r="M135" s="28">
        <x:v>46200</x:v>
      </x:c>
      <x:c r="N135" s="14"/>
      <x:c r="O135" s="14">
        <x:v>51</x:v>
      </x:c>
      <x:c r="P135" s="14" t="s">
        <x:v>110</x:v>
      </x:c>
      <x:c r="Q135" s="14" t="s">
        <x:v>25</x:v>
      </x:c>
      <x:c r="R135" s="14"/>
      <x:c r="S135" s="14" t="s">
        <x:v>105</x:v>
      </x:c>
      <x:c r="T135" s="14" t="str">
        <x:v>Region A</x:v>
      </x:c>
      <x:c r="U135" s="28">
        <x:v>46223</x:v>
      </x:c>
      <x:c r="V135" s="30">
        <x:v>20</x:v>
      </x:c>
      <x:c r="W135" s="14" t="s">
        <x:v>112</x:v>
      </x:c>
      <x:c r="X135" s="14" t="s">
        <x:v>106</x:v>
      </x:c>
      <x:c r="Y135" s="32" t="str">
        <x:v>TRN-0134|20260630</x:v>
      </x:c>
      <x:c r="Z135" s="32" t="str" cm="1">
        <x:f t="array" ref="Z13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35" s="33" t="n">
        <x:f>--OR(WorkforceData[[#This Row],[Status]]="Active",WorkforceData[[#This Row],[Promoted]]="Yes",WorkforceData[[#This Row],[Total Days Worked]]&gt;=121)</x:f>
        <x:v>1</x:v>
      </x:c>
      <x:c r="AB135" s="33" t="n">
        <x:f>IF(AND(Q135="Terminated",R135="",O135=0),1,0)</x:f>
        <x:v>0</x:v>
      </x:c>
      <x:c r="AC135" s="33" t="n">
        <x:f>--OR(WorkforceData[[#This Row],[Status]]="Resigned",WorkforceData[[#This Row],[Status After Training]]="Withdrew")</x:f>
        <x:v>0</x:v>
      </x:c>
      <x:c r="AD135" s="34" t="n">
        <x:f>EOMONTH(WorkforceData[[#This Row],[Training Date]],0)</x:f>
        <x:v>46203</x:v>
      </x:c>
      <x:c r="AE135" s="32" t="str">
        <x:f>IF(M135&lt;H135,"Existing Employee",IF(U135="","No Assignment",IF(V135=0,"0 Days",IF(V135&lt;=7,"1-7 Days",IF(V135&lt;=14,"8-14 Days",IF(V135&lt;=21,"15-21 Days","21+ Days"))))))</x:f>
        <x:v>Existing Employee</x:v>
      </x:c>
      <x:c r="AF13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135" s="33" t="n">
        <x:f>--(WorkforceData[[#This Row],[Total Days Worked]]&gt;=121)</x:f>
        <x:v>0</x:v>
      </x:c>
    </x:row>
    <x:row r="136">
      <x:c r="A136" s="236" t="str">
        <x:v>TRN-0135</x:v>
      </x:c>
      <x:c r="B136" s="243"/>
      <x:c r="C136" s="243"/>
      <x:c r="D136" s="243"/>
      <x:c r="E136" s="243"/>
      <x:c r="F136" s="14" t="str">
        <x:v>Recruiter B</x:v>
      </x:c>
      <x:c r="G136" s="14" t="str">
        <x:v>Training Center A</x:v>
      </x:c>
      <x:c r="H136" s="28">
        <x:v>46203</x:v>
      </x:c>
      <x:c r="I136" s="14">
        <x:v>2026</x:v>
      </x:c>
      <x:c r="J136" s="14" t="s">
        <x:v>129</x:v>
      </x:c>
      <x:c r="K136" s="14">
        <x:v>26</x:v>
      </x:c>
      <x:c r="L136" s="29" t="s">
        <x:v>101</x:v>
      </x:c>
      <x:c r="M136" s="28">
        <x:v>46202</x:v>
      </x:c>
      <x:c r="N136" s="14"/>
      <x:c r="O136" s="14">
        <x:v>49</x:v>
      </x:c>
      <x:c r="P136" s="14" t="s">
        <x:v>110</x:v>
      </x:c>
      <x:c r="Q136" s="14" t="s">
        <x:v>25</x:v>
      </x:c>
      <x:c r="R136" s="14"/>
      <x:c r="S136" s="14" t="s">
        <x:v>105</x:v>
      </x:c>
      <x:c r="T136" s="14" t="str">
        <x:v>Region E</x:v>
      </x:c>
      <x:c r="U136" s="28">
        <x:v>46206</x:v>
      </x:c>
      <x:c r="V136" s="30">
        <x:v>3</x:v>
      </x:c>
      <x:c r="W136" s="14" t="s">
        <x:v>109</x:v>
      </x:c>
      <x:c r="X136" s="14" t="s">
        <x:v>106</x:v>
      </x:c>
      <x:c r="Y136" s="32" t="str">
        <x:v>TRN-0135|20260630</x:v>
      </x:c>
      <x:c r="Z136" s="32" t="str" cm="1">
        <x:f t="array" ref="Z13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36" s="33" t="n">
        <x:f>--OR(WorkforceData[[#This Row],[Status]]="Active",WorkforceData[[#This Row],[Promoted]]="Yes",WorkforceData[[#This Row],[Total Days Worked]]&gt;=121)</x:f>
        <x:v>1</x:v>
      </x:c>
      <x:c r="AB136" s="33" t="n">
        <x:f>IF(AND(Q136="Terminated",R136="",O136=0),1,0)</x:f>
        <x:v>0</x:v>
      </x:c>
      <x:c r="AC136" s="33" t="n">
        <x:f>--OR(WorkforceData[[#This Row],[Status]]="Resigned",WorkforceData[[#This Row],[Status After Training]]="Withdrew")</x:f>
        <x:v>0</x:v>
      </x:c>
      <x:c r="AD136" s="34" t="n">
        <x:f>EOMONTH(WorkforceData[[#This Row],[Training Date]],0)</x:f>
        <x:v>46203</x:v>
      </x:c>
      <x:c r="AE136" s="32" t="str">
        <x:f>IF(M136&lt;H136,"Existing Employee",IF(U136="","No Assignment",IF(V136=0,"0 Days",IF(V136&lt;=7,"1-7 Days",IF(V136&lt;=14,"8-14 Days",IF(V136&lt;=21,"15-21 Days","21+ Days"))))))</x:f>
        <x:v>Existing Employee</x:v>
      </x:c>
      <x:c r="AF13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136" s="33" t="n">
        <x:f>--(WorkforceData[[#This Row],[Total Days Worked]]&gt;=121)</x:f>
        <x:v>0</x:v>
      </x:c>
    </x:row>
    <x:row r="137">
      <x:c r="A137" s="236" t="str">
        <x:v>TRN-0136</x:v>
      </x:c>
      <x:c r="B137" s="243"/>
      <x:c r="C137" s="243"/>
      <x:c r="D137" s="243"/>
      <x:c r="E137" s="243"/>
      <x:c r="F137" s="14" t="str">
        <x:v>Recruiter B</x:v>
      </x:c>
      <x:c r="G137" s="14" t="str">
        <x:v>Training Center A</x:v>
      </x:c>
      <x:c r="H137" s="28">
        <x:v>45374</x:v>
      </x:c>
      <x:c r="I137" s="14">
        <x:v>2024</x:v>
      </x:c>
      <x:c r="J137" s="14" t="s">
        <x:v>130</x:v>
      </x:c>
      <x:c r="K137" s="14">
        <x:v>16</x:v>
      </x:c>
      <x:c r="L137" s="29" t="s">
        <x:v>119</x:v>
      </x:c>
      <x:c r="M137" s="28">
        <x:v>45374</x:v>
      </x:c>
      <x:c r="N137" s="14"/>
      <x:c r="O137" s="14">
        <x:v>877</x:v>
      </x:c>
      <x:c r="P137" s="14" t="s">
        <x:v>122</x:v>
      </x:c>
      <x:c r="Q137" s="14" t="s">
        <x:v>38</x:v>
      </x:c>
      <x:c r="R137" s="14"/>
      <x:c r="S137" s="14" t="s">
        <x:v>108</x:v>
      </x:c>
      <x:c r="T137" s="14" t="str">
        <x:v>Region A</x:v>
      </x:c>
      <x:c r="U137" s="28">
        <x:v>45381</x:v>
      </x:c>
      <x:c r="V137" s="30">
        <x:v>7</x:v>
      </x:c>
      <x:c r="W137" s="14" t="s">
        <x:v>109</x:v>
      </x:c>
      <x:c r="X137" s="14" t="s">
        <x:v>106</x:v>
      </x:c>
      <x:c r="Y137" s="32" t="str">
        <x:v>TRN-0136|20240323</x:v>
      </x:c>
      <x:c r="Z137" s="32" t="str" cm="1">
        <x:f t="array" ref="Z13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37" s="33" t="n">
        <x:f>--OR(WorkforceData[[#This Row],[Status]]="Active",WorkforceData[[#This Row],[Promoted]]="Yes",WorkforceData[[#This Row],[Total Days Worked]]&gt;=121)</x:f>
        <x:v>1</x:v>
      </x:c>
      <x:c r="AB137" s="33" t="n">
        <x:f>IF(AND(Q137="Terminated",R137="",O137=0),1,0)</x:f>
        <x:v>0</x:v>
      </x:c>
      <x:c r="AC137" s="33" t="n">
        <x:f>--OR(WorkforceData[[#This Row],[Status]]="Resigned",WorkforceData[[#This Row],[Status After Training]]="Withdrew")</x:f>
        <x:v>0</x:v>
      </x:c>
      <x:c r="AD137" s="34" t="n">
        <x:f>EOMONTH(WorkforceData[[#This Row],[Training Date]],0)</x:f>
        <x:v>45382</x:v>
      </x:c>
      <x:c r="AE137" s="32" t="str">
        <x:f>IF(M137&lt;H137,"Existing Employee",IF(U137="","No Assignment",IF(V137=0,"0 Days",IF(V137&lt;=7,"1-7 Days",IF(V137&lt;=14,"8-14 Days",IF(V137&lt;=21,"15-21 Days","21+ Days"))))))</x:f>
        <x:v>1-7 Days</x:v>
      </x:c>
      <x:c r="AF13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37" s="33" t="n">
        <x:f>--(WorkforceData[[#This Row],[Total Days Worked]]&gt;=121)</x:f>
        <x:v>1</x:v>
      </x:c>
    </x:row>
    <x:row r="138">
      <x:c r="A138" s="236" t="str">
        <x:v>TRN-0137</x:v>
      </x:c>
      <x:c r="B138" s="243"/>
      <x:c r="C138" s="243"/>
      <x:c r="D138" s="243"/>
      <x:c r="E138" s="243"/>
      <x:c r="F138" s="14" t="str">
        <x:v>Recruiter H</x:v>
      </x:c>
      <x:c r="G138" s="14" t="str">
        <x:v>Training Center A</x:v>
      </x:c>
      <x:c r="H138" s="28">
        <x:v>45374</x:v>
      </x:c>
      <x:c r="I138" s="14">
        <x:v>2024</x:v>
      </x:c>
      <x:c r="J138" s="14" t="s">
        <x:v>130</x:v>
      </x:c>
      <x:c r="K138" s="14">
        <x:v>16</x:v>
      </x:c>
      <x:c r="L138" s="29" t="s">
        <x:v>119</x:v>
      </x:c>
      <x:c r="M138" s="28">
        <x:v>45367</x:v>
      </x:c>
      <x:c r="N138" s="28">
        <x:v>45396</x:v>
      </x:c>
      <x:c r="O138" s="14">
        <x:v>29</x:v>
      </x:c>
      <x:c r="P138" s="14" t="s">
        <x:v>102</x:v>
      </x:c>
      <x:c r="Q138" s="14" t="s">
        <x:v>33</x:v>
      </x:c>
      <x:c r="R138" s="14" t="s">
        <x:v>121</x:v>
      </x:c>
      <x:c r="S138" s="14" t="s">
        <x:v>105</x:v>
      </x:c>
      <x:c r="T138" s="14" t="str">
        <x:v>Region C</x:v>
      </x:c>
      <x:c r="U138" s="28">
        <x:v>45379</x:v>
      </x:c>
      <x:c r="V138" s="30">
        <x:v>5</x:v>
      </x:c>
      <x:c r="W138" s="14" t="s">
        <x:v>109</x:v>
      </x:c>
      <x:c r="X138" s="14" t="s">
        <x:v>106</x:v>
      </x:c>
      <x:c r="Y138" s="32" t="str">
        <x:v>TRN-0137|20240323</x:v>
      </x:c>
      <x:c r="Z138" s="32" t="str" cm="1">
        <x:f t="array" ref="Z13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138" s="33" t="n">
        <x:f>--OR(WorkforceData[[#This Row],[Status]]="Active",WorkforceData[[#This Row],[Promoted]]="Yes",WorkforceData[[#This Row],[Total Days Worked]]&gt;=121)</x:f>
        <x:v>0</x:v>
      </x:c>
      <x:c r="AB138" s="33" t="n">
        <x:f>IF(AND(Q138="Terminated",R138="",O138=0),1,0)</x:f>
        <x:v>0</x:v>
      </x:c>
      <x:c r="AC138" s="33" t="n">
        <x:f>--OR(WorkforceData[[#This Row],[Status]]="Resigned",WorkforceData[[#This Row],[Status After Training]]="Withdrew")</x:f>
        <x:v>0</x:v>
      </x:c>
      <x:c r="AD138" s="34" t="n">
        <x:f>EOMONTH(WorkforceData[[#This Row],[Training Date]],0)</x:f>
        <x:v>45382</x:v>
      </x:c>
      <x:c r="AE138" s="32" t="str">
        <x:f>IF(M138&lt;H138,"Existing Employee",IF(U138="","No Assignment",IF(V138=0,"0 Days",IF(V138&lt;=7,"1-7 Days",IF(V138&lt;=14,"8-14 Days",IF(V138&lt;=21,"15-21 Days","21+ Days"))))))</x:f>
        <x:v>Existing Employee</x:v>
      </x:c>
      <x:c r="AF13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138" s="33" t="n">
        <x:f>--(WorkforceData[[#This Row],[Total Days Worked]]&gt;=121)</x:f>
        <x:v>0</x:v>
      </x:c>
    </x:row>
    <x:row r="139">
      <x:c r="A139" s="236" t="str">
        <x:v>TRN-0138</x:v>
      </x:c>
      <x:c r="B139" s="243"/>
      <x:c r="C139" s="243"/>
      <x:c r="D139" s="243"/>
      <x:c r="E139" s="243"/>
      <x:c r="F139" s="14" t="str">
        <x:v>Recruiter C</x:v>
      </x:c>
      <x:c r="G139" s="14" t="str">
        <x:v>Training Center A</x:v>
      </x:c>
      <x:c r="H139" s="28">
        <x:v>45374</x:v>
      </x:c>
      <x:c r="I139" s="14">
        <x:v>2024</x:v>
      </x:c>
      <x:c r="J139" s="14" t="s">
        <x:v>130</x:v>
      </x:c>
      <x:c r="K139" s="14">
        <x:v>16</x:v>
      </x:c>
      <x:c r="L139" s="29" t="s">
        <x:v>119</x:v>
      </x:c>
      <x:c r="M139" s="28">
        <x:v>45371</x:v>
      </x:c>
      <x:c r="N139" s="14"/>
      <x:c r="O139" s="14">
        <x:v>880</x:v>
      </x:c>
      <x:c r="P139" s="14" t="s">
        <x:v>122</x:v>
      </x:c>
      <x:c r="Q139" s="14" t="s">
        <x:v>25</x:v>
      </x:c>
      <x:c r="R139" s="14"/>
      <x:c r="S139" s="14" t="s">
        <x:v>108</x:v>
      </x:c>
      <x:c r="T139" s="14" t="str">
        <x:v>Region B</x:v>
      </x:c>
      <x:c r="U139" s="28">
        <x:v>45398</x:v>
      </x:c>
      <x:c r="V139" s="30">
        <x:v>24</x:v>
      </x:c>
      <x:c r="W139" s="14" t="s">
        <x:v>112</x:v>
      </x:c>
      <x:c r="X139" s="14" t="s">
        <x:v>106</x:v>
      </x:c>
      <x:c r="Y139" s="32" t="str">
        <x:v>TRN-0138|20240323</x:v>
      </x:c>
      <x:c r="Z139" s="32" t="str" cm="1">
        <x:f t="array" ref="Z13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39" s="33" t="n">
        <x:f>--OR(WorkforceData[[#This Row],[Status]]="Active",WorkforceData[[#This Row],[Promoted]]="Yes",WorkforceData[[#This Row],[Total Days Worked]]&gt;=121)</x:f>
        <x:v>1</x:v>
      </x:c>
      <x:c r="AB139" s="33" t="n">
        <x:f>IF(AND(Q139="Terminated",R139="",O139=0),1,0)</x:f>
        <x:v>0</x:v>
      </x:c>
      <x:c r="AC139" s="33" t="n">
        <x:f>--OR(WorkforceData[[#This Row],[Status]]="Resigned",WorkforceData[[#This Row],[Status After Training]]="Withdrew")</x:f>
        <x:v>0</x:v>
      </x:c>
      <x:c r="AD139" s="34" t="n">
        <x:f>EOMONTH(WorkforceData[[#This Row],[Training Date]],0)</x:f>
        <x:v>45382</x:v>
      </x:c>
      <x:c r="AE139" s="32" t="str">
        <x:f>IF(M139&lt;H139,"Existing Employee",IF(U139="","No Assignment",IF(V139=0,"0 Days",IF(V139&lt;=7,"1-7 Days",IF(V139&lt;=14,"8-14 Days",IF(V139&lt;=21,"15-21 Days","21+ Days"))))))</x:f>
        <x:v>Existing Employee</x:v>
      </x:c>
      <x:c r="AF13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39" s="33" t="n">
        <x:f>--(WorkforceData[[#This Row],[Total Days Worked]]&gt;=121)</x:f>
        <x:v>1</x:v>
      </x:c>
    </x:row>
    <x:row r="140">
      <x:c r="A140" s="236" t="str">
        <x:v>TRN-0139</x:v>
      </x:c>
      <x:c r="B140" s="243"/>
      <x:c r="C140" s="243"/>
      <x:c r="D140" s="243"/>
      <x:c r="E140" s="243"/>
      <x:c r="F140" s="14" t="str">
        <x:v>Recruiter E</x:v>
      </x:c>
      <x:c r="G140" s="14" t="str">
        <x:v>Training Center A</x:v>
      </x:c>
      <x:c r="H140" s="28">
        <x:v>45374</x:v>
      </x:c>
      <x:c r="I140" s="14">
        <x:v>2024</x:v>
      </x:c>
      <x:c r="J140" s="14" t="s">
        <x:v>130</x:v>
      </x:c>
      <x:c r="K140" s="14">
        <x:v>16</x:v>
      </x:c>
      <x:c r="L140" s="29" t="s">
        <x:v>119</x:v>
      </x:c>
      <x:c r="M140" s="28">
        <x:v>45364</x:v>
      </x:c>
      <x:c r="N140" s="28">
        <x:v>45495</x:v>
      </x:c>
      <x:c r="O140" s="14">
        <x:v>131</x:v>
      </x:c>
      <x:c r="P140" s="14" t="s">
        <x:v>113</x:v>
      </x:c>
      <x:c r="Q140" s="14" t="s">
        <x:v>103</x:v>
      </x:c>
      <x:c r="R140" s="14" t="s">
        <x:v>104</x:v>
      </x:c>
      <x:c r="S140" s="14" t="s">
        <x:v>105</x:v>
      </x:c>
      <x:c r="T140" s="14" t="str">
        <x:v>Region A</x:v>
      </x:c>
      <x:c r="U140" s="28">
        <x:v>45393</x:v>
      </x:c>
      <x:c r="V140" s="30">
        <x:v>19</x:v>
      </x:c>
      <x:c r="W140" s="14" t="s">
        <x:v>112</x:v>
      </x:c>
      <x:c r="X140" s="14" t="s">
        <x:v>106</x:v>
      </x:c>
      <x:c r="Y140" s="32" t="str">
        <x:v>TRN-0139|20240323</x:v>
      </x:c>
      <x:c r="Z140" s="32" t="str" cm="1">
        <x:f t="array" ref="Z14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Complete</x:v>
      </x:c>
      <x:c r="AA140" s="33" t="n">
        <x:f>--OR(WorkforceData[[#This Row],[Status]]="Active",WorkforceData[[#This Row],[Promoted]]="Yes",WorkforceData[[#This Row],[Total Days Worked]]&gt;=121)</x:f>
        <x:v>1</x:v>
      </x:c>
      <x:c r="AB140" s="33" t="n">
        <x:f>IF(AND(Q140="Terminated",R140="",O140=0),1,0)</x:f>
        <x:v>0</x:v>
      </x:c>
      <x:c r="AC140" s="33" t="n">
        <x:f>--OR(WorkforceData[[#This Row],[Status]]="Resigned",WorkforceData[[#This Row],[Status After Training]]="Withdrew")</x:f>
        <x:v>1</x:v>
      </x:c>
      <x:c r="AD140" s="34" t="n">
        <x:f>EOMONTH(WorkforceData[[#This Row],[Training Date]],0)</x:f>
        <x:v>45382</x:v>
      </x:c>
      <x:c r="AE140" s="32" t="str">
        <x:f>IF(M140&lt;H140,"Existing Employee",IF(U140="","No Assignment",IF(V140=0,"0 Days",IF(V140&lt;=7,"1-7 Days",IF(V140&lt;=14,"8-14 Days",IF(V140&lt;=21,"15-21 Days","21+ Days"))))))</x:f>
        <x:v>Existing Employee</x:v>
      </x:c>
      <x:c r="AF14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40" s="33" t="n">
        <x:f>--(WorkforceData[[#This Row],[Total Days Worked]]&gt;=121)</x:f>
        <x:v>1</x:v>
      </x:c>
    </x:row>
    <x:row r="141">
      <x:c r="A141" s="236" t="str">
        <x:v>TRN-0140</x:v>
      </x:c>
      <x:c r="B141" s="243"/>
      <x:c r="C141" s="243"/>
      <x:c r="D141" s="243"/>
      <x:c r="E141" s="243"/>
      <x:c r="F141" s="14" t="str">
        <x:v>Recruiter B</x:v>
      </x:c>
      <x:c r="G141" s="14" t="str">
        <x:v>Training Center A</x:v>
      </x:c>
      <x:c r="H141" s="28">
        <x:v>45374</x:v>
      </x:c>
      <x:c r="I141" s="14">
        <x:v>2024</x:v>
      </x:c>
      <x:c r="J141" s="14" t="s">
        <x:v>130</x:v>
      </x:c>
      <x:c r="K141" s="14">
        <x:v>16</x:v>
      </x:c>
      <x:c r="L141" s="29" t="s">
        <x:v>119</x:v>
      </x:c>
      <x:c r="M141" s="28">
        <x:v>45374</x:v>
      </x:c>
      <x:c r="N141" s="14"/>
      <x:c r="O141" s="14">
        <x:v>877</x:v>
      </x:c>
      <x:c r="P141" s="14" t="s">
        <x:v>122</x:v>
      </x:c>
      <x:c r="Q141" s="14" t="s">
        <x:v>25</x:v>
      </x:c>
      <x:c r="R141" s="14"/>
      <x:c r="S141" s="14" t="s">
        <x:v>108</x:v>
      </x:c>
      <x:c r="T141" s="14" t="str">
        <x:v>Region D</x:v>
      </x:c>
      <x:c r="U141" s="28">
        <x:v>45429</x:v>
      </x:c>
      <x:c r="V141" s="30">
        <x:v>55</x:v>
      </x:c>
      <x:c r="W141" s="14" t="s">
        <x:v>63</x:v>
      </x:c>
      <x:c r="X141" s="14" t="s">
        <x:v>117</x:v>
      </x:c>
      <x:c r="Y141" s="32" t="str">
        <x:v>TRN-0140|20240323</x:v>
      </x:c>
      <x:c r="Z141" s="32" t="str" cm="1">
        <x:f t="array" ref="Z14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41" s="33" t="n">
        <x:f>--OR(WorkforceData[[#This Row],[Status]]="Active",WorkforceData[[#This Row],[Promoted]]="Yes",WorkforceData[[#This Row],[Total Days Worked]]&gt;=121)</x:f>
        <x:v>1</x:v>
      </x:c>
      <x:c r="AB141" s="33" t="n">
        <x:f>IF(AND(Q141="Terminated",R141="",O141=0),1,0)</x:f>
        <x:v>0</x:v>
      </x:c>
      <x:c r="AC141" s="33" t="n">
        <x:f>--OR(WorkforceData[[#This Row],[Status]]="Resigned",WorkforceData[[#This Row],[Status After Training]]="Withdrew")</x:f>
        <x:v>0</x:v>
      </x:c>
      <x:c r="AD141" s="34" t="n">
        <x:f>EOMONTH(WorkforceData[[#This Row],[Training Date]],0)</x:f>
        <x:v>45382</x:v>
      </x:c>
      <x:c r="AE141" s="32" t="str">
        <x:f>IF(M141&lt;H141,"Existing Employee",IF(U141="","No Assignment",IF(V141=0,"0 Days",IF(V141&lt;=7,"1-7 Days",IF(V141&lt;=14,"8-14 Days",IF(V141&lt;=21,"15-21 Days","21+ Days"))))))</x:f>
        <x:v>21+ Days</x:v>
      </x:c>
      <x:c r="AF14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41" s="33" t="n">
        <x:f>--(WorkforceData[[#This Row],[Total Days Worked]]&gt;=121)</x:f>
        <x:v>1</x:v>
      </x:c>
    </x:row>
    <x:row r="142">
      <x:c r="A142" s="236" t="str">
        <x:v>TRN-0141</x:v>
      </x:c>
      <x:c r="B142" s="243"/>
      <x:c r="C142" s="243"/>
      <x:c r="D142" s="243"/>
      <x:c r="E142" s="243"/>
      <x:c r="F142" s="14" t="str">
        <x:v>Recruiter E</x:v>
      </x:c>
      <x:c r="G142" s="14" t="str">
        <x:v>Training Center A</x:v>
      </x:c>
      <x:c r="H142" s="28">
        <x:v>45374</x:v>
      </x:c>
      <x:c r="I142" s="14">
        <x:v>2024</x:v>
      </x:c>
      <x:c r="J142" s="14" t="s">
        <x:v>130</x:v>
      </x:c>
      <x:c r="K142" s="14">
        <x:v>16</x:v>
      </x:c>
      <x:c r="L142" s="29" t="s">
        <x:v>119</x:v>
      </x:c>
      <x:c r="M142" s="28">
        <x:v>45367</x:v>
      </x:c>
      <x:c r="N142" s="14"/>
      <x:c r="O142" s="14">
        <x:v>884</x:v>
      </x:c>
      <x:c r="P142" s="14" t="s">
        <x:v>122</x:v>
      </x:c>
      <x:c r="Q142" s="14" t="s">
        <x:v>25</x:v>
      </x:c>
      <x:c r="R142" s="14"/>
      <x:c r="S142" s="14" t="s">
        <x:v>108</x:v>
      </x:c>
      <x:c r="T142" s="14" t="str">
        <x:v>Region D</x:v>
      </x:c>
      <x:c r="U142" s="28">
        <x:v>45380</x:v>
      </x:c>
      <x:c r="V142" s="30">
        <x:v>6</x:v>
      </x:c>
      <x:c r="W142" s="14" t="s">
        <x:v>109</x:v>
      </x:c>
      <x:c r="X142" s="14" t="s">
        <x:v>106</x:v>
      </x:c>
      <x:c r="Y142" s="32" t="str">
        <x:v>TRN-0141|20240323</x:v>
      </x:c>
      <x:c r="Z142" s="32" t="str" cm="1">
        <x:f t="array" ref="Z14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42" s="33" t="n">
        <x:f>--OR(WorkforceData[[#This Row],[Status]]="Active",WorkforceData[[#This Row],[Promoted]]="Yes",WorkforceData[[#This Row],[Total Days Worked]]&gt;=121)</x:f>
        <x:v>1</x:v>
      </x:c>
      <x:c r="AB142" s="33" t="n">
        <x:f>IF(AND(Q142="Terminated",R142="",O142=0),1,0)</x:f>
        <x:v>0</x:v>
      </x:c>
      <x:c r="AC142" s="33" t="n">
        <x:f>--OR(WorkforceData[[#This Row],[Status]]="Resigned",WorkforceData[[#This Row],[Status After Training]]="Withdrew")</x:f>
        <x:v>0</x:v>
      </x:c>
      <x:c r="AD142" s="34" t="n">
        <x:f>EOMONTH(WorkforceData[[#This Row],[Training Date]],0)</x:f>
        <x:v>45382</x:v>
      </x:c>
      <x:c r="AE142" s="32" t="str">
        <x:f>IF(M142&lt;H142,"Existing Employee",IF(U142="","No Assignment",IF(V142=0,"0 Days",IF(V142&lt;=7,"1-7 Days",IF(V142&lt;=14,"8-14 Days",IF(V142&lt;=21,"15-21 Days","21+ Days"))))))</x:f>
        <x:v>Existing Employee</x:v>
      </x:c>
      <x:c r="AF14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42" s="33" t="n">
        <x:f>--(WorkforceData[[#This Row],[Total Days Worked]]&gt;=121)</x:f>
        <x:v>1</x:v>
      </x:c>
    </x:row>
    <x:row r="143">
      <x:c r="A143" s="236" t="str">
        <x:v>TRN-0142</x:v>
      </x:c>
      <x:c r="B143" s="243"/>
      <x:c r="C143" s="243"/>
      <x:c r="D143" s="243"/>
      <x:c r="E143" s="243"/>
      <x:c r="F143" s="14" t="str">
        <x:v>Recruiter F</x:v>
      </x:c>
      <x:c r="G143" s="14" t="str">
        <x:v>Training Center A</x:v>
      </x:c>
      <x:c r="H143" s="28">
        <x:v>45374</x:v>
      </x:c>
      <x:c r="I143" s="14">
        <x:v>2024</x:v>
      </x:c>
      <x:c r="J143" s="14" t="s">
        <x:v>130</x:v>
      </x:c>
      <x:c r="K143" s="14">
        <x:v>16</x:v>
      </x:c>
      <x:c r="L143" s="29" t="s">
        <x:v>119</x:v>
      </x:c>
      <x:c r="M143" s="28">
        <x:v>45374</x:v>
      </x:c>
      <x:c r="N143" s="28">
        <x:v>45454</x:v>
      </x:c>
      <x:c r="O143" s="14">
        <x:v>80</x:v>
      </x:c>
      <x:c r="P143" s="14" t="s">
        <x:v>110</x:v>
      </x:c>
      <x:c r="Q143" s="14" t="s">
        <x:v>33</x:v>
      </x:c>
      <x:c r="R143" s="14" t="s">
        <x:v>121</x:v>
      </x:c>
      <x:c r="S143" s="14" t="s">
        <x:v>105</x:v>
      </x:c>
      <x:c r="T143" s="14" t="str">
        <x:v>Region B</x:v>
      </x:c>
      <x:c r="U143" s="28">
        <x:v>45387</x:v>
      </x:c>
      <x:c r="V143" s="30">
        <x:v>13</x:v>
      </x:c>
      <x:c r="W143" s="14" t="s">
        <x:v>45</x:v>
      </x:c>
      <x:c r="X143" s="14" t="s">
        <x:v>106</x:v>
      </x:c>
      <x:c r="Y143" s="32" t="str">
        <x:v>TRN-0142|20240323</x:v>
      </x:c>
      <x:c r="Z143" s="32" t="str" cm="1">
        <x:f t="array" ref="Z14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143" s="33" t="n">
        <x:f>--OR(WorkforceData[[#This Row],[Status]]="Active",WorkforceData[[#This Row],[Promoted]]="Yes",WorkforceData[[#This Row],[Total Days Worked]]&gt;=121)</x:f>
        <x:v>0</x:v>
      </x:c>
      <x:c r="AB143" s="33" t="n">
        <x:f>IF(AND(Q143="Terminated",R143="",O143=0),1,0)</x:f>
        <x:v>0</x:v>
      </x:c>
      <x:c r="AC143" s="33" t="n">
        <x:f>--OR(WorkforceData[[#This Row],[Status]]="Resigned",WorkforceData[[#This Row],[Status After Training]]="Withdrew")</x:f>
        <x:v>0</x:v>
      </x:c>
      <x:c r="AD143" s="34" t="n">
        <x:f>EOMONTH(WorkforceData[[#This Row],[Training Date]],0)</x:f>
        <x:v>45382</x:v>
      </x:c>
      <x:c r="AE143" s="32" t="str">
        <x:f>IF(M143&lt;H143,"Existing Employee",IF(U143="","No Assignment",IF(V143=0,"0 Days",IF(V143&lt;=7,"1-7 Days",IF(V143&lt;=14,"8-14 Days",IF(V143&lt;=21,"15-21 Days","21+ Days"))))))</x:f>
        <x:v>8-14 Days</x:v>
      </x:c>
      <x:c r="AF14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61-90 Days</x:v>
      </x:c>
      <x:c r="AG143" s="33" t="n">
        <x:f>--(WorkforceData[[#This Row],[Total Days Worked]]&gt;=121)</x:f>
        <x:v>0</x:v>
      </x:c>
    </x:row>
    <x:row r="144">
      <x:c r="A144" s="236" t="str">
        <x:v>TRN-0143</x:v>
      </x:c>
      <x:c r="B144" s="243"/>
      <x:c r="C144" s="243"/>
      <x:c r="D144" s="243"/>
      <x:c r="E144" s="243"/>
      <x:c r="F144" s="14" t="str">
        <x:v>Recruiter D</x:v>
      </x:c>
      <x:c r="G144" s="14" t="str">
        <x:v>Training Center A</x:v>
      </x:c>
      <x:c r="H144" s="28">
        <x:v>45374</x:v>
      </x:c>
      <x:c r="I144" s="14">
        <x:v>2024</x:v>
      </x:c>
      <x:c r="J144" s="14" t="s">
        <x:v>130</x:v>
      </x:c>
      <x:c r="K144" s="14">
        <x:v>16</x:v>
      </x:c>
      <x:c r="L144" s="29" t="s">
        <x:v>119</x:v>
      </x:c>
      <x:c r="M144" s="28">
        <x:v>45374</x:v>
      </x:c>
      <x:c r="N144" s="14"/>
      <x:c r="O144" s="14">
        <x:v>877</x:v>
      </x:c>
      <x:c r="P144" s="14" t="s">
        <x:v>122</x:v>
      </x:c>
      <x:c r="Q144" s="14" t="s">
        <x:v>38</x:v>
      </x:c>
      <x:c r="R144" s="14"/>
      <x:c r="S144" s="14" t="s">
        <x:v>108</x:v>
      </x:c>
      <x:c r="T144" s="14" t="str">
        <x:v>Region A</x:v>
      </x:c>
      <x:c r="U144" s="28">
        <x:v>45412</x:v>
      </x:c>
      <x:c r="V144" s="30">
        <x:v>38</x:v>
      </x:c>
      <x:c r="W144" s="14" t="s">
        <x:v>63</x:v>
      </x:c>
      <x:c r="X144" s="14" t="s">
        <x:v>117</x:v>
      </x:c>
      <x:c r="Y144" s="32" t="str">
        <x:v>TRN-0143|20240323</x:v>
      </x:c>
      <x:c r="Z144" s="32" t="str" cm="1">
        <x:f t="array" ref="Z14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44" s="33" t="n">
        <x:f>--OR(WorkforceData[[#This Row],[Status]]="Active",WorkforceData[[#This Row],[Promoted]]="Yes",WorkforceData[[#This Row],[Total Days Worked]]&gt;=121)</x:f>
        <x:v>1</x:v>
      </x:c>
      <x:c r="AB144" s="33" t="n">
        <x:f>IF(AND(Q144="Terminated",R144="",O144=0),1,0)</x:f>
        <x:v>0</x:v>
      </x:c>
      <x:c r="AC144" s="33" t="n">
        <x:f>--OR(WorkforceData[[#This Row],[Status]]="Resigned",WorkforceData[[#This Row],[Status After Training]]="Withdrew")</x:f>
        <x:v>0</x:v>
      </x:c>
      <x:c r="AD144" s="34" t="n">
        <x:f>EOMONTH(WorkforceData[[#This Row],[Training Date]],0)</x:f>
        <x:v>45382</x:v>
      </x:c>
      <x:c r="AE144" s="32" t="str">
        <x:f>IF(M144&lt;H144,"Existing Employee",IF(U144="","No Assignment",IF(V144=0,"0 Days",IF(V144&lt;=7,"1-7 Days",IF(V144&lt;=14,"8-14 Days",IF(V144&lt;=21,"15-21 Days","21+ Days"))))))</x:f>
        <x:v>21+ Days</x:v>
      </x:c>
      <x:c r="AF14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44" s="33" t="n">
        <x:f>--(WorkforceData[[#This Row],[Total Days Worked]]&gt;=121)</x:f>
        <x:v>1</x:v>
      </x:c>
    </x:row>
    <x:row r="145">
      <x:c r="A145" s="236" t="str">
        <x:v>TRN-0144</x:v>
      </x:c>
      <x:c r="B145" s="243"/>
      <x:c r="C145" s="243"/>
      <x:c r="D145" s="243"/>
      <x:c r="E145" s="243"/>
      <x:c r="F145" s="14" t="str">
        <x:v>Recruiter D</x:v>
      </x:c>
      <x:c r="G145" s="14" t="str">
        <x:v>Training Center A</x:v>
      </x:c>
      <x:c r="H145" s="28">
        <x:v>45374</x:v>
      </x:c>
      <x:c r="I145" s="14">
        <x:v>2024</x:v>
      </x:c>
      <x:c r="J145" s="14" t="s">
        <x:v>130</x:v>
      </x:c>
      <x:c r="K145" s="14">
        <x:v>16</x:v>
      </x:c>
      <x:c r="L145" s="29" t="s">
        <x:v>119</x:v>
      </x:c>
      <x:c r="M145" s="28">
        <x:v>45374</x:v>
      </x:c>
      <x:c r="N145" s="28">
        <x:v>46008</x:v>
      </x:c>
      <x:c r="O145" s="14">
        <x:v>634</x:v>
      </x:c>
      <x:c r="P145" s="14" t="s">
        <x:v>120</x:v>
      </x:c>
      <x:c r="Q145" s="14" t="s">
        <x:v>33</x:v>
      </x:c>
      <x:c r="R145" s="14" t="s">
        <x:v>124</x:v>
      </x:c>
      <x:c r="S145" s="14" t="s">
        <x:v>108</x:v>
      </x:c>
      <x:c r="T145" s="14" t="str">
        <x:v>Region D</x:v>
      </x:c>
      <x:c r="U145" s="28">
        <x:v>45385</x:v>
      </x:c>
      <x:c r="V145" s="30">
        <x:v>11</x:v>
      </x:c>
      <x:c r="W145" s="14" t="s">
        <x:v>45</x:v>
      </x:c>
      <x:c r="X145" s="14" t="s">
        <x:v>106</x:v>
      </x:c>
      <x:c r="Y145" s="32" t="str">
        <x:v>TRN-0144|20240323</x:v>
      </x:c>
      <x:c r="Z145" s="32" t="str" cm="1">
        <x:f t="array" ref="Z14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145" s="33" t="n">
        <x:f>--OR(WorkforceData[[#This Row],[Status]]="Active",WorkforceData[[#This Row],[Promoted]]="Yes",WorkforceData[[#This Row],[Total Days Worked]]&gt;=121)</x:f>
        <x:v>1</x:v>
      </x:c>
      <x:c r="AB145" s="33" t="n">
        <x:f>IF(AND(Q145="Terminated",R145="",O145=0),1,0)</x:f>
        <x:v>0</x:v>
      </x:c>
      <x:c r="AC145" s="33" t="n">
        <x:f>--OR(WorkforceData[[#This Row],[Status]]="Resigned",WorkforceData[[#This Row],[Status After Training]]="Withdrew")</x:f>
        <x:v>0</x:v>
      </x:c>
      <x:c r="AD145" s="34" t="n">
        <x:f>EOMONTH(WorkforceData[[#This Row],[Training Date]],0)</x:f>
        <x:v>45382</x:v>
      </x:c>
      <x:c r="AE145" s="32" t="str">
        <x:f>IF(M145&lt;H145,"Existing Employee",IF(U145="","No Assignment",IF(V145=0,"0 Days",IF(V145&lt;=7,"1-7 Days",IF(V145&lt;=14,"8-14 Days",IF(V145&lt;=21,"15-21 Days","21+ Days"))))))</x:f>
        <x:v>8-14 Days</x:v>
      </x:c>
      <x:c r="AF14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45" s="33" t="n">
        <x:f>--(WorkforceData[[#This Row],[Total Days Worked]]&gt;=121)</x:f>
        <x:v>1</x:v>
      </x:c>
    </x:row>
    <x:row r="146">
      <x:c r="A146" s="236" t="str">
        <x:v>TRN-0145</x:v>
      </x:c>
      <x:c r="B146" s="243"/>
      <x:c r="C146" s="243"/>
      <x:c r="D146" s="243"/>
      <x:c r="E146" s="243"/>
      <x:c r="F146" s="14" t="str">
        <x:v>Recruiter A</x:v>
      </x:c>
      <x:c r="G146" s="14" t="str">
        <x:v>Training Center A</x:v>
      </x:c>
      <x:c r="H146" s="28">
        <x:v>45374</x:v>
      </x:c>
      <x:c r="I146" s="14">
        <x:v>2024</x:v>
      </x:c>
      <x:c r="J146" s="14" t="s">
        <x:v>130</x:v>
      </x:c>
      <x:c r="K146" s="14">
        <x:v>16</x:v>
      </x:c>
      <x:c r="L146" s="29" t="s">
        <x:v>119</x:v>
      </x:c>
      <x:c r="M146" s="28">
        <x:v>45372</x:v>
      </x:c>
      <x:c r="N146" s="14"/>
      <x:c r="O146" s="14">
        <x:v>879</x:v>
      </x:c>
      <x:c r="P146" s="14" t="s">
        <x:v>122</x:v>
      </x:c>
      <x:c r="Q146" s="14" t="s">
        <x:v>25</x:v>
      </x:c>
      <x:c r="R146" s="14"/>
      <x:c r="S146" s="14" t="s">
        <x:v>108</x:v>
      </x:c>
      <x:c r="T146" s="14" t="str">
        <x:v>Region C</x:v>
      </x:c>
      <x:c r="U146" s="28">
        <x:v>45432</x:v>
      </x:c>
      <x:c r="V146" s="30">
        <x:v>58</x:v>
      </x:c>
      <x:c r="W146" s="14" t="s">
        <x:v>63</x:v>
      </x:c>
      <x:c r="X146" s="14" t="s">
        <x:v>117</x:v>
      </x:c>
      <x:c r="Y146" s="32" t="str">
        <x:v>TRN-0145|20240323</x:v>
      </x:c>
      <x:c r="Z146" s="32" t="str" cm="1">
        <x:f t="array" ref="Z14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46" s="33" t="n">
        <x:f>--OR(WorkforceData[[#This Row],[Status]]="Active",WorkforceData[[#This Row],[Promoted]]="Yes",WorkforceData[[#This Row],[Total Days Worked]]&gt;=121)</x:f>
        <x:v>1</x:v>
      </x:c>
      <x:c r="AB146" s="33" t="n">
        <x:f>IF(AND(Q146="Terminated",R146="",O146=0),1,0)</x:f>
        <x:v>0</x:v>
      </x:c>
      <x:c r="AC146" s="33" t="n">
        <x:f>--OR(WorkforceData[[#This Row],[Status]]="Resigned",WorkforceData[[#This Row],[Status After Training]]="Withdrew")</x:f>
        <x:v>0</x:v>
      </x:c>
      <x:c r="AD146" s="34" t="n">
        <x:f>EOMONTH(WorkforceData[[#This Row],[Training Date]],0)</x:f>
        <x:v>45382</x:v>
      </x:c>
      <x:c r="AE146" s="32" t="str">
        <x:f>IF(M146&lt;H146,"Existing Employee",IF(U146="","No Assignment",IF(V146=0,"0 Days",IF(V146&lt;=7,"1-7 Days",IF(V146&lt;=14,"8-14 Days",IF(V146&lt;=21,"15-21 Days","21+ Days"))))))</x:f>
        <x:v>Existing Employee</x:v>
      </x:c>
      <x:c r="AF14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46" s="33" t="n">
        <x:f>--(WorkforceData[[#This Row],[Total Days Worked]]&gt;=121)</x:f>
        <x:v>1</x:v>
      </x:c>
    </x:row>
    <x:row r="147">
      <x:c r="A147" s="236" t="str">
        <x:v>TRN-0146</x:v>
      </x:c>
      <x:c r="B147" s="243"/>
      <x:c r="C147" s="243"/>
      <x:c r="D147" s="243"/>
      <x:c r="E147" s="243"/>
      <x:c r="F147" s="14" t="str">
        <x:v>Recruiter F</x:v>
      </x:c>
      <x:c r="G147" s="14" t="str">
        <x:v>Training Center A</x:v>
      </x:c>
      <x:c r="H147" s="28">
        <x:v>45374</x:v>
      </x:c>
      <x:c r="I147" s="14">
        <x:v>2024</x:v>
      </x:c>
      <x:c r="J147" s="14" t="s">
        <x:v>130</x:v>
      </x:c>
      <x:c r="K147" s="14">
        <x:v>16</x:v>
      </x:c>
      <x:c r="L147" s="29" t="s">
        <x:v>119</x:v>
      </x:c>
      <x:c r="M147" s="28">
        <x:v>45374</x:v>
      </x:c>
      <x:c r="N147" s="28">
        <x:v>45499</x:v>
      </x:c>
      <x:c r="O147" s="14">
        <x:v>125</x:v>
      </x:c>
      <x:c r="P147" s="14" t="s">
        <x:v>113</x:v>
      </x:c>
      <x:c r="Q147" s="14" t="s">
        <x:v>103</x:v>
      </x:c>
      <x:c r="R147" s="14" t="s">
        <x:v>111</x:v>
      </x:c>
      <x:c r="S147" s="14" t="s">
        <x:v>105</x:v>
      </x:c>
      <x:c r="T147" s="14" t="str">
        <x:v>Region C</x:v>
      </x:c>
      <x:c r="U147" s="28">
        <x:v>45377</x:v>
      </x:c>
      <x:c r="V147" s="30">
        <x:v>3</x:v>
      </x:c>
      <x:c r="W147" s="14" t="s">
        <x:v>109</x:v>
      </x:c>
      <x:c r="X147" s="14" t="s">
        <x:v>106</x:v>
      </x:c>
      <x:c r="Y147" s="32" t="str">
        <x:v>TRN-0146|20240323</x:v>
      </x:c>
      <x:c r="Z147" s="32" t="str" cm="1">
        <x:f t="array" ref="Z14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Complete</x:v>
      </x:c>
      <x:c r="AA147" s="33" t="n">
        <x:f>--OR(WorkforceData[[#This Row],[Status]]="Active",WorkforceData[[#This Row],[Promoted]]="Yes",WorkforceData[[#This Row],[Total Days Worked]]&gt;=121)</x:f>
        <x:v>1</x:v>
      </x:c>
      <x:c r="AB147" s="33" t="n">
        <x:f>IF(AND(Q147="Terminated",R147="",O147=0),1,0)</x:f>
        <x:v>0</x:v>
      </x:c>
      <x:c r="AC147" s="33" t="n">
        <x:f>--OR(WorkforceData[[#This Row],[Status]]="Resigned",WorkforceData[[#This Row],[Status After Training]]="Withdrew")</x:f>
        <x:v>1</x:v>
      </x:c>
      <x:c r="AD147" s="34" t="n">
        <x:f>EOMONTH(WorkforceData[[#This Row],[Training Date]],0)</x:f>
        <x:v>45382</x:v>
      </x:c>
      <x:c r="AE147" s="32" t="str">
        <x:f>IF(M147&lt;H147,"Existing Employee",IF(U147="","No Assignment",IF(V147=0,"0 Days",IF(V147&lt;=7,"1-7 Days",IF(V147&lt;=14,"8-14 Days",IF(V147&lt;=21,"15-21 Days","21+ Days"))))))</x:f>
        <x:v>1-7 Days</x:v>
      </x:c>
      <x:c r="AF14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47" s="33" t="n">
        <x:f>--(WorkforceData[[#This Row],[Total Days Worked]]&gt;=121)</x:f>
        <x:v>1</x:v>
      </x:c>
    </x:row>
    <x:row r="148">
      <x:c r="A148" s="236" t="str">
        <x:v>TRN-0147</x:v>
      </x:c>
      <x:c r="B148" s="243"/>
      <x:c r="C148" s="243"/>
      <x:c r="D148" s="243"/>
      <x:c r="E148" s="243"/>
      <x:c r="F148" s="14" t="str">
        <x:v>Recruiter C</x:v>
      </x:c>
      <x:c r="G148" s="14" t="str">
        <x:v>Training Center A</x:v>
      </x:c>
      <x:c r="H148" s="28">
        <x:v>45374</x:v>
      </x:c>
      <x:c r="I148" s="14">
        <x:v>2024</x:v>
      </x:c>
      <x:c r="J148" s="14" t="s">
        <x:v>130</x:v>
      </x:c>
      <x:c r="K148" s="14">
        <x:v>16</x:v>
      </x:c>
      <x:c r="L148" s="29" t="s">
        <x:v>119</x:v>
      </x:c>
      <x:c r="M148" s="28">
        <x:v>45374</x:v>
      </x:c>
      <x:c r="N148" s="14"/>
      <x:c r="O148" s="14">
        <x:v>877</x:v>
      </x:c>
      <x:c r="P148" s="14" t="s">
        <x:v>122</x:v>
      </x:c>
      <x:c r="Q148" s="14" t="s">
        <x:v>25</x:v>
      </x:c>
      <x:c r="R148" s="14"/>
      <x:c r="S148" s="14" t="s">
        <x:v>108</x:v>
      </x:c>
      <x:c r="T148" s="14" t="str">
        <x:v>Region C</x:v>
      </x:c>
      <x:c r="U148" s="28">
        <x:v>45400</x:v>
      </x:c>
      <x:c r="V148" s="30">
        <x:v>26</x:v>
      </x:c>
      <x:c r="W148" s="14" t="s">
        <x:v>112</x:v>
      </x:c>
      <x:c r="X148" s="14" t="s">
        <x:v>106</x:v>
      </x:c>
      <x:c r="Y148" s="32" t="str">
        <x:v>TRN-0147|20240323</x:v>
      </x:c>
      <x:c r="Z148" s="32" t="str" cm="1">
        <x:f t="array" ref="Z14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48" s="33" t="n">
        <x:f>--OR(WorkforceData[[#This Row],[Status]]="Active",WorkforceData[[#This Row],[Promoted]]="Yes",WorkforceData[[#This Row],[Total Days Worked]]&gt;=121)</x:f>
        <x:v>1</x:v>
      </x:c>
      <x:c r="AB148" s="33" t="n">
        <x:f>IF(AND(Q148="Terminated",R148="",O148=0),1,0)</x:f>
        <x:v>0</x:v>
      </x:c>
      <x:c r="AC148" s="33" t="n">
        <x:f>--OR(WorkforceData[[#This Row],[Status]]="Resigned",WorkforceData[[#This Row],[Status After Training]]="Withdrew")</x:f>
        <x:v>0</x:v>
      </x:c>
      <x:c r="AD148" s="34" t="n">
        <x:f>EOMONTH(WorkforceData[[#This Row],[Training Date]],0)</x:f>
        <x:v>45382</x:v>
      </x:c>
      <x:c r="AE148" s="32" t="str">
        <x:f>IF(M148&lt;H148,"Existing Employee",IF(U148="","No Assignment",IF(V148=0,"0 Days",IF(V148&lt;=7,"1-7 Days",IF(V148&lt;=14,"8-14 Days",IF(V148&lt;=21,"15-21 Days","21+ Days"))))))</x:f>
        <x:v>21+ Days</x:v>
      </x:c>
      <x:c r="AF14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48" s="33" t="n">
        <x:f>--(WorkforceData[[#This Row],[Total Days Worked]]&gt;=121)</x:f>
        <x:v>1</x:v>
      </x:c>
    </x:row>
    <x:row r="149">
      <x:c r="A149" s="236" t="str">
        <x:v>TRN-0148</x:v>
      </x:c>
      <x:c r="B149" s="243"/>
      <x:c r="C149" s="243"/>
      <x:c r="D149" s="243"/>
      <x:c r="E149" s="243"/>
      <x:c r="F149" s="14" t="str">
        <x:v>Recruiter A</x:v>
      </x:c>
      <x:c r="G149" s="14" t="str">
        <x:v>Training Center A</x:v>
      </x:c>
      <x:c r="H149" s="28">
        <x:v>45374</x:v>
      </x:c>
      <x:c r="I149" s="14">
        <x:v>2024</x:v>
      </x:c>
      <x:c r="J149" s="14" t="s">
        <x:v>130</x:v>
      </x:c>
      <x:c r="K149" s="14">
        <x:v>16</x:v>
      </x:c>
      <x:c r="L149" s="29" t="s">
        <x:v>119</x:v>
      </x:c>
      <x:c r="M149" s="28">
        <x:v>45374</x:v>
      </x:c>
      <x:c r="N149" s="14"/>
      <x:c r="O149" s="14">
        <x:v>877</x:v>
      </x:c>
      <x:c r="P149" s="14" t="s">
        <x:v>122</x:v>
      </x:c>
      <x:c r="Q149" s="14" t="s">
        <x:v>38</x:v>
      </x:c>
      <x:c r="R149" s="14"/>
      <x:c r="S149" s="14" t="s">
        <x:v>108</x:v>
      </x:c>
      <x:c r="T149" s="14" t="str">
        <x:v>Region C</x:v>
      </x:c>
      <x:c r="U149" s="28">
        <x:v>45381</x:v>
      </x:c>
      <x:c r="V149" s="30">
        <x:v>7</x:v>
      </x:c>
      <x:c r="W149" s="14" t="s">
        <x:v>109</x:v>
      </x:c>
      <x:c r="X149" s="14" t="s">
        <x:v>106</x:v>
      </x:c>
      <x:c r="Y149" s="32" t="str">
        <x:v>TRN-0148|20240323</x:v>
      </x:c>
      <x:c r="Z149" s="32" t="str" cm="1">
        <x:f t="array" ref="Z14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49" s="33" t="n">
        <x:f>--OR(WorkforceData[[#This Row],[Status]]="Active",WorkforceData[[#This Row],[Promoted]]="Yes",WorkforceData[[#This Row],[Total Days Worked]]&gt;=121)</x:f>
        <x:v>1</x:v>
      </x:c>
      <x:c r="AB149" s="33" t="n">
        <x:f>IF(AND(Q149="Terminated",R149="",O149=0),1,0)</x:f>
        <x:v>0</x:v>
      </x:c>
      <x:c r="AC149" s="33" t="n">
        <x:f>--OR(WorkforceData[[#This Row],[Status]]="Resigned",WorkforceData[[#This Row],[Status After Training]]="Withdrew")</x:f>
        <x:v>0</x:v>
      </x:c>
      <x:c r="AD149" s="34" t="n">
        <x:f>EOMONTH(WorkforceData[[#This Row],[Training Date]],0)</x:f>
        <x:v>45382</x:v>
      </x:c>
      <x:c r="AE149" s="32" t="str">
        <x:f>IF(M149&lt;H149,"Existing Employee",IF(U149="","No Assignment",IF(V149=0,"0 Days",IF(V149&lt;=7,"1-7 Days",IF(V149&lt;=14,"8-14 Days",IF(V149&lt;=21,"15-21 Days","21+ Days"))))))</x:f>
        <x:v>1-7 Days</x:v>
      </x:c>
      <x:c r="AF14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49" s="33" t="n">
        <x:f>--(WorkforceData[[#This Row],[Total Days Worked]]&gt;=121)</x:f>
        <x:v>1</x:v>
      </x:c>
    </x:row>
    <x:row r="150">
      <x:c r="A150" s="236" t="str">
        <x:v>TRN-0149</x:v>
      </x:c>
      <x:c r="B150" s="243"/>
      <x:c r="C150" s="243"/>
      <x:c r="D150" s="243"/>
      <x:c r="E150" s="243"/>
      <x:c r="F150" s="14" t="str">
        <x:v>Recruiter C</x:v>
      </x:c>
      <x:c r="G150" s="14" t="str">
        <x:v>Training Center A</x:v>
      </x:c>
      <x:c r="H150" s="28">
        <x:v>45374</x:v>
      </x:c>
      <x:c r="I150" s="14">
        <x:v>2024</x:v>
      </x:c>
      <x:c r="J150" s="14" t="s">
        <x:v>130</x:v>
      </x:c>
      <x:c r="K150" s="14">
        <x:v>16</x:v>
      </x:c>
      <x:c r="L150" s="29" t="s">
        <x:v>119</x:v>
      </x:c>
      <x:c r="M150" s="28">
        <x:v>45369</x:v>
      </x:c>
      <x:c r="N150" s="14"/>
      <x:c r="O150" s="14">
        <x:v>882</x:v>
      </x:c>
      <x:c r="P150" s="14" t="s">
        <x:v>122</x:v>
      </x:c>
      <x:c r="Q150" s="14" t="s">
        <x:v>25</x:v>
      </x:c>
      <x:c r="R150" s="14"/>
      <x:c r="S150" s="14" t="s">
        <x:v>108</x:v>
      </x:c>
      <x:c r="T150" s="14" t="str">
        <x:v>Region B</x:v>
      </x:c>
      <x:c r="U150" s="28">
        <x:v>45399</x:v>
      </x:c>
      <x:c r="V150" s="30">
        <x:v>25</x:v>
      </x:c>
      <x:c r="W150" s="14" t="s">
        <x:v>112</x:v>
      </x:c>
      <x:c r="X150" s="14" t="s">
        <x:v>106</x:v>
      </x:c>
      <x:c r="Y150" s="32" t="str">
        <x:v>TRN-0149|20240323</x:v>
      </x:c>
      <x:c r="Z150" s="32" t="str" cm="1">
        <x:f t="array" ref="Z15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50" s="33" t="n">
        <x:f>--OR(WorkforceData[[#This Row],[Status]]="Active",WorkforceData[[#This Row],[Promoted]]="Yes",WorkforceData[[#This Row],[Total Days Worked]]&gt;=121)</x:f>
        <x:v>1</x:v>
      </x:c>
      <x:c r="AB150" s="33" t="n">
        <x:f>IF(AND(Q150="Terminated",R150="",O150=0),1,0)</x:f>
        <x:v>0</x:v>
      </x:c>
      <x:c r="AC150" s="33" t="n">
        <x:f>--OR(WorkforceData[[#This Row],[Status]]="Resigned",WorkforceData[[#This Row],[Status After Training]]="Withdrew")</x:f>
        <x:v>0</x:v>
      </x:c>
      <x:c r="AD150" s="34" t="n">
        <x:f>EOMONTH(WorkforceData[[#This Row],[Training Date]],0)</x:f>
        <x:v>45382</x:v>
      </x:c>
      <x:c r="AE150" s="32" t="str">
        <x:f>IF(M150&lt;H150,"Existing Employee",IF(U150="","No Assignment",IF(V150=0,"0 Days",IF(V150&lt;=7,"1-7 Days",IF(V150&lt;=14,"8-14 Days",IF(V150&lt;=21,"15-21 Days","21+ Days"))))))</x:f>
        <x:v>Existing Employee</x:v>
      </x:c>
      <x:c r="AF15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50" s="33" t="n">
        <x:f>--(WorkforceData[[#This Row],[Total Days Worked]]&gt;=121)</x:f>
        <x:v>1</x:v>
      </x:c>
    </x:row>
    <x:row r="151">
      <x:c r="A151" s="236" t="str">
        <x:v>TRN-0150</x:v>
      </x:c>
      <x:c r="B151" s="243"/>
      <x:c r="C151" s="243"/>
      <x:c r="D151" s="243"/>
      <x:c r="E151" s="243"/>
      <x:c r="F151" s="14" t="str">
        <x:v>Recruiter A</x:v>
      </x:c>
      <x:c r="G151" s="14" t="str">
        <x:v>Training Center A</x:v>
      </x:c>
      <x:c r="H151" s="28">
        <x:v>45374</x:v>
      </x:c>
      <x:c r="I151" s="14">
        <x:v>2024</x:v>
      </x:c>
      <x:c r="J151" s="14" t="s">
        <x:v>130</x:v>
      </x:c>
      <x:c r="K151" s="14">
        <x:v>16</x:v>
      </x:c>
      <x:c r="L151" s="29" t="s">
        <x:v>119</x:v>
      </x:c>
      <x:c r="M151" s="28">
        <x:v>45371</x:v>
      </x:c>
      <x:c r="N151" s="28">
        <x:v>45412</x:v>
      </x:c>
      <x:c r="O151" s="14">
        <x:v>41</x:v>
      </x:c>
      <x:c r="P151" s="14" t="s">
        <x:v>110</x:v>
      </x:c>
      <x:c r="Q151" s="14" t="s">
        <x:v>103</x:v>
      </x:c>
      <x:c r="R151" s="14" t="s">
        <x:v>123</x:v>
      </x:c>
      <x:c r="S151" s="14" t="s">
        <x:v>105</x:v>
      </x:c>
      <x:c r="T151" s="14" t="str">
        <x:v>Region A</x:v>
      </x:c>
      <x:c r="U151" s="28">
        <x:v>45398</x:v>
      </x:c>
      <x:c r="V151" s="30">
        <x:v>24</x:v>
      </x:c>
      <x:c r="W151" s="14" t="s">
        <x:v>112</x:v>
      </x:c>
      <x:c r="X151" s="14" t="s">
        <x:v>106</x:v>
      </x:c>
      <x:c r="Y151" s="32" t="str">
        <x:v>TRN-0150|20240323</x:v>
      </x:c>
      <x:c r="Z151" s="32" t="str" cm="1">
        <x:f t="array" ref="Z15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151" s="33" t="n">
        <x:f>--OR(WorkforceData[[#This Row],[Status]]="Active",WorkforceData[[#This Row],[Promoted]]="Yes",WorkforceData[[#This Row],[Total Days Worked]]&gt;=121)</x:f>
        <x:v>0</x:v>
      </x:c>
      <x:c r="AB151" s="33" t="n">
        <x:f>IF(AND(Q151="Terminated",R151="",O151=0),1,0)</x:f>
        <x:v>0</x:v>
      </x:c>
      <x:c r="AC151" s="33" t="n">
        <x:f>--OR(WorkforceData[[#This Row],[Status]]="Resigned",WorkforceData[[#This Row],[Status After Training]]="Withdrew")</x:f>
        <x:v>1</x:v>
      </x:c>
      <x:c r="AD151" s="34" t="n">
        <x:f>EOMONTH(WorkforceData[[#This Row],[Training Date]],0)</x:f>
        <x:v>45382</x:v>
      </x:c>
      <x:c r="AE151" s="32" t="str">
        <x:f>IF(M151&lt;H151,"Existing Employee",IF(U151="","No Assignment",IF(V151=0,"0 Days",IF(V151&lt;=7,"1-7 Days",IF(V151&lt;=14,"8-14 Days",IF(V151&lt;=21,"15-21 Days","21+ Days"))))))</x:f>
        <x:v>Existing Employee</x:v>
      </x:c>
      <x:c r="AF15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151" s="33" t="n">
        <x:f>--(WorkforceData[[#This Row],[Total Days Worked]]&gt;=121)</x:f>
        <x:v>0</x:v>
      </x:c>
    </x:row>
    <x:row r="152">
      <x:c r="A152" s="236" t="str">
        <x:v>TRN-0151</x:v>
      </x:c>
      <x:c r="B152" s="243"/>
      <x:c r="C152" s="243"/>
      <x:c r="D152" s="243"/>
      <x:c r="E152" s="243"/>
      <x:c r="F152" s="14" t="str">
        <x:v>Recruiter A</x:v>
      </x:c>
      <x:c r="G152" s="14" t="str">
        <x:v>Training Center A</x:v>
      </x:c>
      <x:c r="H152" s="28">
        <x:v>45374</x:v>
      </x:c>
      <x:c r="I152" s="14">
        <x:v>2024</x:v>
      </x:c>
      <x:c r="J152" s="14" t="s">
        <x:v>130</x:v>
      </x:c>
      <x:c r="K152" s="14">
        <x:v>16</x:v>
      </x:c>
      <x:c r="L152" s="29" t="s">
        <x:v>119</x:v>
      </x:c>
      <x:c r="M152" s="28">
        <x:v>45367</x:v>
      </x:c>
      <x:c r="N152" s="28">
        <x:v>45450</x:v>
      </x:c>
      <x:c r="O152" s="14">
        <x:v>83</x:v>
      </x:c>
      <x:c r="P152" s="14" t="s">
        <x:v>110</x:v>
      </x:c>
      <x:c r="Q152" s="14" t="s">
        <x:v>33</x:v>
      </x:c>
      <x:c r="R152" s="14" t="s">
        <x:v>121</x:v>
      </x:c>
      <x:c r="S152" s="14" t="s">
        <x:v>105</x:v>
      </x:c>
      <x:c r="T152" s="14" t="str">
        <x:v>Region B</x:v>
      </x:c>
      <x:c r="U152" s="28">
        <x:v>45380</x:v>
      </x:c>
      <x:c r="V152" s="30">
        <x:v>6</x:v>
      </x:c>
      <x:c r="W152" s="14" t="s">
        <x:v>109</x:v>
      </x:c>
      <x:c r="X152" s="14" t="s">
        <x:v>106</x:v>
      </x:c>
      <x:c r="Y152" s="32" t="str">
        <x:v>TRN-0151|20240323</x:v>
      </x:c>
      <x:c r="Z152" s="32" t="str" cm="1">
        <x:f t="array" ref="Z15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152" s="33" t="n">
        <x:f>--OR(WorkforceData[[#This Row],[Status]]="Active",WorkforceData[[#This Row],[Promoted]]="Yes",WorkforceData[[#This Row],[Total Days Worked]]&gt;=121)</x:f>
        <x:v>0</x:v>
      </x:c>
      <x:c r="AB152" s="33" t="n">
        <x:f>IF(AND(Q152="Terminated",R152="",O152=0),1,0)</x:f>
        <x:v>0</x:v>
      </x:c>
      <x:c r="AC152" s="33" t="n">
        <x:f>--OR(WorkforceData[[#This Row],[Status]]="Resigned",WorkforceData[[#This Row],[Status After Training]]="Withdrew")</x:f>
        <x:v>0</x:v>
      </x:c>
      <x:c r="AD152" s="34" t="n">
        <x:f>EOMONTH(WorkforceData[[#This Row],[Training Date]],0)</x:f>
        <x:v>45382</x:v>
      </x:c>
      <x:c r="AE152" s="32" t="str">
        <x:f>IF(M152&lt;H152,"Existing Employee",IF(U152="","No Assignment",IF(V152=0,"0 Days",IF(V152&lt;=7,"1-7 Days",IF(V152&lt;=14,"8-14 Days",IF(V152&lt;=21,"15-21 Days","21+ Days"))))))</x:f>
        <x:v>Existing Employee</x:v>
      </x:c>
      <x:c r="AF15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61-90 Days</x:v>
      </x:c>
      <x:c r="AG152" s="33" t="n">
        <x:f>--(WorkforceData[[#This Row],[Total Days Worked]]&gt;=121)</x:f>
        <x:v>0</x:v>
      </x:c>
    </x:row>
    <x:row r="153">
      <x:c r="A153" s="236" t="str">
        <x:v>TRN-0152</x:v>
      </x:c>
      <x:c r="B153" s="243"/>
      <x:c r="C153" s="243"/>
      <x:c r="D153" s="243"/>
      <x:c r="E153" s="243"/>
      <x:c r="F153" s="14" t="str">
        <x:v>Recruiter G</x:v>
      </x:c>
      <x:c r="G153" s="14" t="str">
        <x:v>Training Center A</x:v>
      </x:c>
      <x:c r="H153" s="28">
        <x:v>45376</x:v>
      </x:c>
      <x:c r="I153" s="14">
        <x:v>2024</x:v>
      </x:c>
      <x:c r="J153" s="14" t="s">
        <x:v>130</x:v>
      </x:c>
      <x:c r="K153" s="14">
        <x:v>24</x:v>
      </x:c>
      <x:c r="L153" s="29" t="s">
        <x:v>101</x:v>
      </x:c>
      <x:c r="M153" s="28">
        <x:v>45366</x:v>
      </x:c>
      <x:c r="N153" s="14"/>
      <x:c r="O153" s="14">
        <x:v>885</x:v>
      </x:c>
      <x:c r="P153" s="14" t="s">
        <x:v>122</x:v>
      </x:c>
      <x:c r="Q153" s="14" t="s">
        <x:v>38</x:v>
      </x:c>
      <x:c r="R153" s="14"/>
      <x:c r="S153" s="14" t="s">
        <x:v>108</x:v>
      </x:c>
      <x:c r="T153" s="14" t="str">
        <x:v>Region E</x:v>
      </x:c>
      <x:c r="U153" s="28">
        <x:v>45390</x:v>
      </x:c>
      <x:c r="V153" s="30">
        <x:v>14</x:v>
      </x:c>
      <x:c r="W153" s="14" t="s">
        <x:v>45</x:v>
      </x:c>
      <x:c r="X153" s="14" t="s">
        <x:v>106</x:v>
      </x:c>
      <x:c r="Y153" s="32" t="str">
        <x:v>TRN-0152|20240325</x:v>
      </x:c>
      <x:c r="Z153" s="32" t="str" cm="1">
        <x:f t="array" ref="Z15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53" s="33" t="n">
        <x:f>--OR(WorkforceData[[#This Row],[Status]]="Active",WorkforceData[[#This Row],[Promoted]]="Yes",WorkforceData[[#This Row],[Total Days Worked]]&gt;=121)</x:f>
        <x:v>1</x:v>
      </x:c>
      <x:c r="AB153" s="33" t="n">
        <x:f>IF(AND(Q153="Terminated",R153="",O153=0),1,0)</x:f>
        <x:v>0</x:v>
      </x:c>
      <x:c r="AC153" s="33" t="n">
        <x:f>--OR(WorkforceData[[#This Row],[Status]]="Resigned",WorkforceData[[#This Row],[Status After Training]]="Withdrew")</x:f>
        <x:v>0</x:v>
      </x:c>
      <x:c r="AD153" s="34" t="n">
        <x:f>EOMONTH(WorkforceData[[#This Row],[Training Date]],0)</x:f>
        <x:v>45382</x:v>
      </x:c>
      <x:c r="AE153" s="32" t="str">
        <x:f>IF(M153&lt;H153,"Existing Employee",IF(U153="","No Assignment",IF(V153=0,"0 Days",IF(V153&lt;=7,"1-7 Days",IF(V153&lt;=14,"8-14 Days",IF(V153&lt;=21,"15-21 Days","21+ Days"))))))</x:f>
        <x:v>Existing Employee</x:v>
      </x:c>
      <x:c r="AF15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53" s="33" t="n">
        <x:f>--(WorkforceData[[#This Row],[Total Days Worked]]&gt;=121)</x:f>
        <x:v>1</x:v>
      </x:c>
    </x:row>
    <x:row r="154">
      <x:c r="A154" s="236" t="str">
        <x:v>TRN-0153</x:v>
      </x:c>
      <x:c r="B154" s="243"/>
      <x:c r="C154" s="243"/>
      <x:c r="D154" s="243"/>
      <x:c r="E154" s="243"/>
      <x:c r="F154" s="14" t="str">
        <x:v>Recruiter G</x:v>
      </x:c>
      <x:c r="G154" s="14" t="str">
        <x:v>Training Center A</x:v>
      </x:c>
      <x:c r="H154" s="28">
        <x:v>45376</x:v>
      </x:c>
      <x:c r="I154" s="14">
        <x:v>2024</x:v>
      </x:c>
      <x:c r="J154" s="14" t="s">
        <x:v>130</x:v>
      </x:c>
      <x:c r="K154" s="14">
        <x:v>24</x:v>
      </x:c>
      <x:c r="L154" s="29" t="s">
        <x:v>101</x:v>
      </x:c>
      <x:c r="M154" s="28">
        <x:v>45373</x:v>
      </x:c>
      <x:c r="N154" s="14"/>
      <x:c r="O154" s="14">
        <x:v>878</x:v>
      </x:c>
      <x:c r="P154" s="14" t="s">
        <x:v>122</x:v>
      </x:c>
      <x:c r="Q154" s="14" t="s">
        <x:v>25</x:v>
      </x:c>
      <x:c r="R154" s="14"/>
      <x:c r="S154" s="14" t="s">
        <x:v>108</x:v>
      </x:c>
      <x:c r="T154" s="14" t="str">
        <x:v>Region A</x:v>
      </x:c>
      <x:c r="U154" s="28">
        <x:v>45388</x:v>
      </x:c>
      <x:c r="V154" s="30">
        <x:v>12</x:v>
      </x:c>
      <x:c r="W154" s="14" t="s">
        <x:v>45</x:v>
      </x:c>
      <x:c r="X154" s="14" t="s">
        <x:v>106</x:v>
      </x:c>
      <x:c r="Y154" s="32" t="str">
        <x:v>TRN-0153|20240325</x:v>
      </x:c>
      <x:c r="Z154" s="32" t="str" cm="1">
        <x:f t="array" ref="Z15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54" s="33" t="n">
        <x:f>--OR(WorkforceData[[#This Row],[Status]]="Active",WorkforceData[[#This Row],[Promoted]]="Yes",WorkforceData[[#This Row],[Total Days Worked]]&gt;=121)</x:f>
        <x:v>1</x:v>
      </x:c>
      <x:c r="AB154" s="33" t="n">
        <x:f>IF(AND(Q154="Terminated",R154="",O154=0),1,0)</x:f>
        <x:v>0</x:v>
      </x:c>
      <x:c r="AC154" s="33" t="n">
        <x:f>--OR(WorkforceData[[#This Row],[Status]]="Resigned",WorkforceData[[#This Row],[Status After Training]]="Withdrew")</x:f>
        <x:v>0</x:v>
      </x:c>
      <x:c r="AD154" s="34" t="n">
        <x:f>EOMONTH(WorkforceData[[#This Row],[Training Date]],0)</x:f>
        <x:v>45382</x:v>
      </x:c>
      <x:c r="AE154" s="32" t="str">
        <x:f>IF(M154&lt;H154,"Existing Employee",IF(U154="","No Assignment",IF(V154=0,"0 Days",IF(V154&lt;=7,"1-7 Days",IF(V154&lt;=14,"8-14 Days",IF(V154&lt;=21,"15-21 Days","21+ Days"))))))</x:f>
        <x:v>Existing Employee</x:v>
      </x:c>
      <x:c r="AF15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54" s="33" t="n">
        <x:f>--(WorkforceData[[#This Row],[Total Days Worked]]&gt;=121)</x:f>
        <x:v>1</x:v>
      </x:c>
    </x:row>
    <x:row r="155">
      <x:c r="A155" s="236" t="str">
        <x:v>TRN-0154</x:v>
      </x:c>
      <x:c r="B155" s="243"/>
      <x:c r="C155" s="243"/>
      <x:c r="D155" s="243"/>
      <x:c r="E155" s="243"/>
      <x:c r="F155" s="14" t="str">
        <x:v>Recruiter H</x:v>
      </x:c>
      <x:c r="G155" s="14" t="str">
        <x:v>Training Center A</x:v>
      </x:c>
      <x:c r="H155" s="28">
        <x:v>45376</x:v>
      </x:c>
      <x:c r="I155" s="14">
        <x:v>2024</x:v>
      </x:c>
      <x:c r="J155" s="14" t="s">
        <x:v>130</x:v>
      </x:c>
      <x:c r="K155" s="14">
        <x:v>24</x:v>
      </x:c>
      <x:c r="L155" s="29" t="s">
        <x:v>101</x:v>
      </x:c>
      <x:c r="M155" s="28">
        <x:v>45375</x:v>
      </x:c>
      <x:c r="N155" s="14"/>
      <x:c r="O155" s="14">
        <x:v>876</x:v>
      </x:c>
      <x:c r="P155" s="14" t="s">
        <x:v>122</x:v>
      </x:c>
      <x:c r="Q155" s="14" t="s">
        <x:v>25</x:v>
      </x:c>
      <x:c r="R155" s="14"/>
      <x:c r="S155" s="14" t="s">
        <x:v>108</x:v>
      </x:c>
      <x:c r="T155" s="14" t="str">
        <x:v>Region A</x:v>
      </x:c>
      <x:c r="U155" s="28">
        <x:v>45414</x:v>
      </x:c>
      <x:c r="V155" s="30">
        <x:v>38</x:v>
      </x:c>
      <x:c r="W155" s="14" t="s">
        <x:v>63</x:v>
      </x:c>
      <x:c r="X155" s="14" t="s">
        <x:v>117</x:v>
      </x:c>
      <x:c r="Y155" s="32" t="str">
        <x:v>TRN-0154|20240325</x:v>
      </x:c>
      <x:c r="Z155" s="32" t="str" cm="1">
        <x:f t="array" ref="Z15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55" s="33" t="n">
        <x:f>--OR(WorkforceData[[#This Row],[Status]]="Active",WorkforceData[[#This Row],[Promoted]]="Yes",WorkforceData[[#This Row],[Total Days Worked]]&gt;=121)</x:f>
        <x:v>1</x:v>
      </x:c>
      <x:c r="AB155" s="33" t="n">
        <x:f>IF(AND(Q155="Terminated",R155="",O155=0),1,0)</x:f>
        <x:v>0</x:v>
      </x:c>
      <x:c r="AC155" s="33" t="n">
        <x:f>--OR(WorkforceData[[#This Row],[Status]]="Resigned",WorkforceData[[#This Row],[Status After Training]]="Withdrew")</x:f>
        <x:v>0</x:v>
      </x:c>
      <x:c r="AD155" s="34" t="n">
        <x:f>EOMONTH(WorkforceData[[#This Row],[Training Date]],0)</x:f>
        <x:v>45382</x:v>
      </x:c>
      <x:c r="AE155" s="32" t="str">
        <x:f>IF(M155&lt;H155,"Existing Employee",IF(U155="","No Assignment",IF(V155=0,"0 Days",IF(V155&lt;=7,"1-7 Days",IF(V155&lt;=14,"8-14 Days",IF(V155&lt;=21,"15-21 Days","21+ Days"))))))</x:f>
        <x:v>Existing Employee</x:v>
      </x:c>
      <x:c r="AF15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55" s="33" t="n">
        <x:f>--(WorkforceData[[#This Row],[Total Days Worked]]&gt;=121)</x:f>
        <x:v>1</x:v>
      </x:c>
    </x:row>
    <x:row r="156">
      <x:c r="A156" s="236" t="str">
        <x:v>TRN-0155</x:v>
      </x:c>
      <x:c r="B156" s="243"/>
      <x:c r="C156" s="243"/>
      <x:c r="D156" s="243"/>
      <x:c r="E156" s="243"/>
      <x:c r="F156" s="14" t="str">
        <x:v>Recruiter F</x:v>
      </x:c>
      <x:c r="G156" s="14" t="str">
        <x:v>Training Center A</x:v>
      </x:c>
      <x:c r="H156" s="28">
        <x:v>45376</x:v>
      </x:c>
      <x:c r="I156" s="14">
        <x:v>2024</x:v>
      </x:c>
      <x:c r="J156" s="14" t="s">
        <x:v>130</x:v>
      </x:c>
      <x:c r="K156" s="14">
        <x:v>24</x:v>
      </x:c>
      <x:c r="L156" s="29" t="s">
        <x:v>101</x:v>
      </x:c>
      <x:c r="M156" s="28">
        <x:v>45369</x:v>
      </x:c>
      <x:c r="N156" s="28">
        <x:v>46251</x:v>
      </x:c>
      <x:c r="O156" s="14">
        <x:v>882</x:v>
      </x:c>
      <x:c r="P156" s="14" t="s">
        <x:v>122</x:v>
      </x:c>
      <x:c r="Q156" s="14" t="s">
        <x:v>103</x:v>
      </x:c>
      <x:c r="R156" s="14" t="s">
        <x:v>111</x:v>
      </x:c>
      <x:c r="S156" s="14" t="s">
        <x:v>108</x:v>
      </x:c>
      <x:c r="T156" s="14" t="str">
        <x:v>Region B</x:v>
      </x:c>
      <x:c r="U156" s="28">
        <x:v>45394</x:v>
      </x:c>
      <x:c r="V156" s="30">
        <x:v>18</x:v>
      </x:c>
      <x:c r="W156" s="14" t="s">
        <x:v>112</x:v>
      </x:c>
      <x:c r="X156" s="14" t="s">
        <x:v>106</x:v>
      </x:c>
      <x:c r="Y156" s="32" t="str">
        <x:v>TRN-0155|20240325</x:v>
      </x:c>
      <x:c r="Z156" s="32" t="str" cm="1">
        <x:f t="array" ref="Z15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156" s="33" t="n">
        <x:f>--OR(WorkforceData[[#This Row],[Status]]="Active",WorkforceData[[#This Row],[Promoted]]="Yes",WorkforceData[[#This Row],[Total Days Worked]]&gt;=121)</x:f>
        <x:v>1</x:v>
      </x:c>
      <x:c r="AB156" s="33" t="n">
        <x:f>IF(AND(Q156="Terminated",R156="",O156=0),1,0)</x:f>
        <x:v>0</x:v>
      </x:c>
      <x:c r="AC156" s="33" t="n">
        <x:f>--OR(WorkforceData[[#This Row],[Status]]="Resigned",WorkforceData[[#This Row],[Status After Training]]="Withdrew")</x:f>
        <x:v>1</x:v>
      </x:c>
      <x:c r="AD156" s="34" t="n">
        <x:f>EOMONTH(WorkforceData[[#This Row],[Training Date]],0)</x:f>
        <x:v>45382</x:v>
      </x:c>
      <x:c r="AE156" s="32" t="str">
        <x:f>IF(M156&lt;H156,"Existing Employee",IF(U156="","No Assignment",IF(V156=0,"0 Days",IF(V156&lt;=7,"1-7 Days",IF(V156&lt;=14,"8-14 Days",IF(V156&lt;=21,"15-21 Days","21+ Days"))))))</x:f>
        <x:v>Existing Employee</x:v>
      </x:c>
      <x:c r="AF15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56" s="33" t="n">
        <x:f>--(WorkforceData[[#This Row],[Total Days Worked]]&gt;=121)</x:f>
        <x:v>1</x:v>
      </x:c>
    </x:row>
    <x:row r="157">
      <x:c r="A157" s="236" t="str">
        <x:v>TRN-0156</x:v>
      </x:c>
      <x:c r="B157" s="243"/>
      <x:c r="C157" s="243"/>
      <x:c r="D157" s="243"/>
      <x:c r="E157" s="243"/>
      <x:c r="F157" s="14" t="str">
        <x:v>Recruiter E</x:v>
      </x:c>
      <x:c r="G157" s="14" t="str">
        <x:v>Training Center A</x:v>
      </x:c>
      <x:c r="H157" s="28">
        <x:v>45376</x:v>
      </x:c>
      <x:c r="I157" s="14">
        <x:v>2024</x:v>
      </x:c>
      <x:c r="J157" s="14" t="s">
        <x:v>130</x:v>
      </x:c>
      <x:c r="K157" s="14">
        <x:v>24</x:v>
      </x:c>
      <x:c r="L157" s="29" t="s">
        <x:v>101</x:v>
      </x:c>
      <x:c r="M157" s="28">
        <x:v>45376</x:v>
      </x:c>
      <x:c r="N157" s="14"/>
      <x:c r="O157" s="14">
        <x:v>875</x:v>
      </x:c>
      <x:c r="P157" s="14" t="s">
        <x:v>122</x:v>
      </x:c>
      <x:c r="Q157" s="14" t="s">
        <x:v>25</x:v>
      </x:c>
      <x:c r="R157" s="14"/>
      <x:c r="S157" s="14" t="s">
        <x:v>108</x:v>
      </x:c>
      <x:c r="T157" s="14" t="str">
        <x:v>Region E</x:v>
      </x:c>
      <x:c r="U157" s="28">
        <x:v>45427</x:v>
      </x:c>
      <x:c r="V157" s="30">
        <x:v>51</x:v>
      </x:c>
      <x:c r="W157" s="14" t="s">
        <x:v>63</x:v>
      </x:c>
      <x:c r="X157" s="14" t="s">
        <x:v>117</x:v>
      </x:c>
      <x:c r="Y157" s="32" t="str">
        <x:v>TRN-0156|20240325</x:v>
      </x:c>
      <x:c r="Z157" s="32" t="str" cm="1">
        <x:f t="array" ref="Z15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57" s="33" t="n">
        <x:f>--OR(WorkforceData[[#This Row],[Status]]="Active",WorkforceData[[#This Row],[Promoted]]="Yes",WorkforceData[[#This Row],[Total Days Worked]]&gt;=121)</x:f>
        <x:v>1</x:v>
      </x:c>
      <x:c r="AB157" s="33" t="n">
        <x:f>IF(AND(Q157="Terminated",R157="",O157=0),1,0)</x:f>
        <x:v>0</x:v>
      </x:c>
      <x:c r="AC157" s="33" t="n">
        <x:f>--OR(WorkforceData[[#This Row],[Status]]="Resigned",WorkforceData[[#This Row],[Status After Training]]="Withdrew")</x:f>
        <x:v>0</x:v>
      </x:c>
      <x:c r="AD157" s="34" t="n">
        <x:f>EOMONTH(WorkforceData[[#This Row],[Training Date]],0)</x:f>
        <x:v>45382</x:v>
      </x:c>
      <x:c r="AE157" s="32" t="str">
        <x:f>IF(M157&lt;H157,"Existing Employee",IF(U157="","No Assignment",IF(V157=0,"0 Days",IF(V157&lt;=7,"1-7 Days",IF(V157&lt;=14,"8-14 Days",IF(V157&lt;=21,"15-21 Days","21+ Days"))))))</x:f>
        <x:v>21+ Days</x:v>
      </x:c>
      <x:c r="AF15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57" s="33" t="n">
        <x:f>--(WorkforceData[[#This Row],[Total Days Worked]]&gt;=121)</x:f>
        <x:v>1</x:v>
      </x:c>
    </x:row>
    <x:row r="158">
      <x:c r="A158" s="236" t="str">
        <x:v>TRN-0157</x:v>
      </x:c>
      <x:c r="B158" s="243"/>
      <x:c r="C158" s="243"/>
      <x:c r="D158" s="243"/>
      <x:c r="E158" s="243"/>
      <x:c r="F158" s="14" t="str">
        <x:v>Recruiter E</x:v>
      </x:c>
      <x:c r="G158" s="14" t="str">
        <x:v>Training Center A</x:v>
      </x:c>
      <x:c r="H158" s="28">
        <x:v>45376</x:v>
      </x:c>
      <x:c r="I158" s="14">
        <x:v>2024</x:v>
      </x:c>
      <x:c r="J158" s="14" t="s">
        <x:v>130</x:v>
      </x:c>
      <x:c r="K158" s="14">
        <x:v>24</x:v>
      </x:c>
      <x:c r="L158" s="29" t="s">
        <x:v>101</x:v>
      </x:c>
      <x:c r="M158" s="28">
        <x:v>45376</x:v>
      </x:c>
      <x:c r="N158" s="28">
        <x:v>46251</x:v>
      </x:c>
      <x:c r="O158" s="14">
        <x:v>875</x:v>
      </x:c>
      <x:c r="P158" s="14" t="s">
        <x:v>122</x:v>
      </x:c>
      <x:c r="Q158" s="14" t="s">
        <x:v>103</x:v>
      </x:c>
      <x:c r="R158" s="14" t="s">
        <x:v>104</x:v>
      </x:c>
      <x:c r="S158" s="14" t="s">
        <x:v>108</x:v>
      </x:c>
      <x:c r="T158" s="14" t="str">
        <x:v>Region C</x:v>
      </x:c>
      <x:c r="U158" s="28">
        <x:v>45494</x:v>
      </x:c>
      <x:c r="V158" s="30">
        <x:v>118</x:v>
      </x:c>
      <x:c r="W158" s="14" t="s">
        <x:v>114</x:v>
      </x:c>
      <x:c r="X158" s="14" t="s">
        <x:v>117</x:v>
      </x:c>
      <x:c r="Y158" s="32" t="str">
        <x:v>TRN-0157|20240325</x:v>
      </x:c>
      <x:c r="Z158" s="32" t="str" cm="1">
        <x:f t="array" ref="Z15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158" s="33" t="n">
        <x:f>--OR(WorkforceData[[#This Row],[Status]]="Active",WorkforceData[[#This Row],[Promoted]]="Yes",WorkforceData[[#This Row],[Total Days Worked]]&gt;=121)</x:f>
        <x:v>1</x:v>
      </x:c>
      <x:c r="AB158" s="33" t="n">
        <x:f>IF(AND(Q158="Terminated",R158="",O158=0),1,0)</x:f>
        <x:v>0</x:v>
      </x:c>
      <x:c r="AC158" s="33" t="n">
        <x:f>--OR(WorkforceData[[#This Row],[Status]]="Resigned",WorkforceData[[#This Row],[Status After Training]]="Withdrew")</x:f>
        <x:v>1</x:v>
      </x:c>
      <x:c r="AD158" s="34" t="n">
        <x:f>EOMONTH(WorkforceData[[#This Row],[Training Date]],0)</x:f>
        <x:v>45382</x:v>
      </x:c>
      <x:c r="AE158" s="32" t="str">
        <x:f>IF(M158&lt;H158,"Existing Employee",IF(U158="","No Assignment",IF(V158=0,"0 Days",IF(V158&lt;=7,"1-7 Days",IF(V158&lt;=14,"8-14 Days",IF(V158&lt;=21,"15-21 Days","21+ Days"))))))</x:f>
        <x:v>21+ Days</x:v>
      </x:c>
      <x:c r="AF15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58" s="33" t="n">
        <x:f>--(WorkforceData[[#This Row],[Total Days Worked]]&gt;=121)</x:f>
        <x:v>1</x:v>
      </x:c>
    </x:row>
    <x:row r="159">
      <x:c r="A159" s="236" t="str">
        <x:v>TRN-0158</x:v>
      </x:c>
      <x:c r="B159" s="243"/>
      <x:c r="C159" s="243"/>
      <x:c r="D159" s="243"/>
      <x:c r="E159" s="243"/>
      <x:c r="F159" s="14" t="str">
        <x:v>Recruiter A</x:v>
      </x:c>
      <x:c r="G159" s="14" t="str">
        <x:v>Training Center A</x:v>
      </x:c>
      <x:c r="H159" s="28">
        <x:v>45376</x:v>
      </x:c>
      <x:c r="I159" s="14">
        <x:v>2024</x:v>
      </x:c>
      <x:c r="J159" s="14" t="s">
        <x:v>130</x:v>
      </x:c>
      <x:c r="K159" s="14">
        <x:v>24</x:v>
      </x:c>
      <x:c r="L159" s="29" t="s">
        <x:v>101</x:v>
      </x:c>
      <x:c r="M159" s="28">
        <x:v>45366</x:v>
      </x:c>
      <x:c r="N159" s="28">
        <x:v>45457</x:v>
      </x:c>
      <x:c r="O159" s="14">
        <x:v>91</x:v>
      </x:c>
      <x:c r="P159" s="14" t="s">
        <x:v>113</x:v>
      </x:c>
      <x:c r="Q159" s="14" t="s">
        <x:v>103</x:v>
      </x:c>
      <x:c r="R159" s="14" t="s">
        <x:v>123</x:v>
      </x:c>
      <x:c r="S159" s="14" t="s">
        <x:v>105</x:v>
      </x:c>
      <x:c r="T159" s="14" t="str">
        <x:v>Region D</x:v>
      </x:c>
      <x:c r="U159" s="28">
        <x:v>45422</x:v>
      </x:c>
      <x:c r="V159" s="30">
        <x:v>46</x:v>
      </x:c>
      <x:c r="W159" s="14" t="s">
        <x:v>63</x:v>
      </x:c>
      <x:c r="X159" s="14" t="s">
        <x:v>117</x:v>
      </x:c>
      <x:c r="Y159" s="32" t="str">
        <x:v>TRN-0158|20240325</x:v>
      </x:c>
      <x:c r="Z159" s="32" t="str" cm="1">
        <x:f t="array" ref="Z15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159" s="33" t="n">
        <x:f>--OR(WorkforceData[[#This Row],[Status]]="Active",WorkforceData[[#This Row],[Promoted]]="Yes",WorkforceData[[#This Row],[Total Days Worked]]&gt;=121)</x:f>
        <x:v>0</x:v>
      </x:c>
      <x:c r="AB159" s="33" t="n">
        <x:f>IF(AND(Q159="Terminated",R159="",O159=0),1,0)</x:f>
        <x:v>0</x:v>
      </x:c>
      <x:c r="AC159" s="33" t="n">
        <x:f>--OR(WorkforceData[[#This Row],[Status]]="Resigned",WorkforceData[[#This Row],[Status After Training]]="Withdrew")</x:f>
        <x:v>1</x:v>
      </x:c>
      <x:c r="AD159" s="34" t="n">
        <x:f>EOMONTH(WorkforceData[[#This Row],[Training Date]],0)</x:f>
        <x:v>45382</x:v>
      </x:c>
      <x:c r="AE159" s="32" t="str">
        <x:f>IF(M159&lt;H159,"Existing Employee",IF(U159="","No Assignment",IF(V159=0,"0 Days",IF(V159&lt;=7,"1-7 Days",IF(V159&lt;=14,"8-14 Days",IF(V159&lt;=21,"15-21 Days","21+ Days"))))))</x:f>
        <x:v>Existing Employee</x:v>
      </x:c>
      <x:c r="AF15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91-120 Days</x:v>
      </x:c>
      <x:c r="AG159" s="33" t="n">
        <x:f>--(WorkforceData[[#This Row],[Total Days Worked]]&gt;=121)</x:f>
        <x:v>0</x:v>
      </x:c>
    </x:row>
    <x:row r="160">
      <x:c r="A160" s="236" t="str">
        <x:v>TRN-0159</x:v>
      </x:c>
      <x:c r="B160" s="243"/>
      <x:c r="C160" s="243"/>
      <x:c r="D160" s="243"/>
      <x:c r="E160" s="243"/>
      <x:c r="F160" s="14" t="str">
        <x:v>Recruiter D</x:v>
      </x:c>
      <x:c r="G160" s="14" t="str">
        <x:v>Training Center A</x:v>
      </x:c>
      <x:c r="H160" s="28">
        <x:v>45376</x:v>
      </x:c>
      <x:c r="I160" s="14">
        <x:v>2024</x:v>
      </x:c>
      <x:c r="J160" s="14" t="s">
        <x:v>130</x:v>
      </x:c>
      <x:c r="K160" s="14">
        <x:v>24</x:v>
      </x:c>
      <x:c r="L160" s="29" t="s">
        <x:v>101</x:v>
      </x:c>
      <x:c r="M160" s="28">
        <x:v>45366</x:v>
      </x:c>
      <x:c r="N160" s="14"/>
      <x:c r="O160" s="14">
        <x:v>885</x:v>
      </x:c>
      <x:c r="P160" s="14" t="s">
        <x:v>122</x:v>
      </x:c>
      <x:c r="Q160" s="14" t="s">
        <x:v>38</x:v>
      </x:c>
      <x:c r="R160" s="14"/>
      <x:c r="S160" s="14" t="s">
        <x:v>108</x:v>
      </x:c>
      <x:c r="T160" s="14" t="str">
        <x:v>Region B</x:v>
      </x:c>
      <x:c r="U160" s="28">
        <x:v>45404</x:v>
      </x:c>
      <x:c r="V160" s="30">
        <x:v>28</x:v>
      </x:c>
      <x:c r="W160" s="14" t="s">
        <x:v>112</x:v>
      </x:c>
      <x:c r="X160" s="14" t="s">
        <x:v>106</x:v>
      </x:c>
      <x:c r="Y160" s="32" t="str">
        <x:v>TRN-0159|20240325</x:v>
      </x:c>
      <x:c r="Z160" s="32" t="str" cm="1">
        <x:f t="array" ref="Z16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60" s="33" t="n">
        <x:f>--OR(WorkforceData[[#This Row],[Status]]="Active",WorkforceData[[#This Row],[Promoted]]="Yes",WorkforceData[[#This Row],[Total Days Worked]]&gt;=121)</x:f>
        <x:v>1</x:v>
      </x:c>
      <x:c r="AB160" s="33" t="n">
        <x:f>IF(AND(Q160="Terminated",R160="",O160=0),1,0)</x:f>
        <x:v>0</x:v>
      </x:c>
      <x:c r="AC160" s="33" t="n">
        <x:f>--OR(WorkforceData[[#This Row],[Status]]="Resigned",WorkforceData[[#This Row],[Status After Training]]="Withdrew")</x:f>
        <x:v>0</x:v>
      </x:c>
      <x:c r="AD160" s="34" t="n">
        <x:f>EOMONTH(WorkforceData[[#This Row],[Training Date]],0)</x:f>
        <x:v>45382</x:v>
      </x:c>
      <x:c r="AE160" s="32" t="str">
        <x:f>IF(M160&lt;H160,"Existing Employee",IF(U160="","No Assignment",IF(V160=0,"0 Days",IF(V160&lt;=7,"1-7 Days",IF(V160&lt;=14,"8-14 Days",IF(V160&lt;=21,"15-21 Days","21+ Days"))))))</x:f>
        <x:v>Existing Employee</x:v>
      </x:c>
      <x:c r="AF16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60" s="33" t="n">
        <x:f>--(WorkforceData[[#This Row],[Total Days Worked]]&gt;=121)</x:f>
        <x:v>1</x:v>
      </x:c>
    </x:row>
    <x:row r="161">
      <x:c r="A161" s="236" t="str">
        <x:v>TRN-0160</x:v>
      </x:c>
      <x:c r="B161" s="243"/>
      <x:c r="C161" s="243"/>
      <x:c r="D161" s="243"/>
      <x:c r="E161" s="243"/>
      <x:c r="F161" s="14" t="str">
        <x:v>Recruiter H</x:v>
      </x:c>
      <x:c r="G161" s="14" t="str">
        <x:v>Training Center A</x:v>
      </x:c>
      <x:c r="H161" s="28">
        <x:v>45376</x:v>
      </x:c>
      <x:c r="I161" s="14">
        <x:v>2024</x:v>
      </x:c>
      <x:c r="J161" s="14" t="s">
        <x:v>130</x:v>
      </x:c>
      <x:c r="K161" s="14">
        <x:v>24</x:v>
      </x:c>
      <x:c r="L161" s="29" t="s">
        <x:v>101</x:v>
      </x:c>
      <x:c r="M161" s="28">
        <x:v>45376</x:v>
      </x:c>
      <x:c r="N161" s="28">
        <x:v>45617</x:v>
      </x:c>
      <x:c r="O161" s="14">
        <x:v>241</x:v>
      </x:c>
      <x:c r="P161" s="14" t="s">
        <x:v>107</x:v>
      </x:c>
      <x:c r="Q161" s="14" t="s">
        <x:v>103</x:v>
      </x:c>
      <x:c r="R161" s="14" t="s">
        <x:v>111</x:v>
      </x:c>
      <x:c r="S161" s="14" t="s">
        <x:v>108</x:v>
      </x:c>
      <x:c r="T161" s="14" t="str">
        <x:v>Region E</x:v>
      </x:c>
      <x:c r="U161" s="28">
        <x:v>45384</x:v>
      </x:c>
      <x:c r="V161" s="30">
        <x:v>8</x:v>
      </x:c>
      <x:c r="W161" s="14" t="s">
        <x:v>45</x:v>
      </x:c>
      <x:c r="X161" s="14" t="s">
        <x:v>106</x:v>
      </x:c>
      <x:c r="Y161" s="32" t="str">
        <x:v>TRN-0160|20240325</x:v>
      </x:c>
      <x:c r="Z161" s="32" t="str" cm="1">
        <x:f t="array" ref="Z16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161" s="33" t="n">
        <x:f>--OR(WorkforceData[[#This Row],[Status]]="Active",WorkforceData[[#This Row],[Promoted]]="Yes",WorkforceData[[#This Row],[Total Days Worked]]&gt;=121)</x:f>
        <x:v>1</x:v>
      </x:c>
      <x:c r="AB161" s="33" t="n">
        <x:f>IF(AND(Q161="Terminated",R161="",O161=0),1,0)</x:f>
        <x:v>0</x:v>
      </x:c>
      <x:c r="AC161" s="33" t="n">
        <x:f>--OR(WorkforceData[[#This Row],[Status]]="Resigned",WorkforceData[[#This Row],[Status After Training]]="Withdrew")</x:f>
        <x:v>1</x:v>
      </x:c>
      <x:c r="AD161" s="34" t="n">
        <x:f>EOMONTH(WorkforceData[[#This Row],[Training Date]],0)</x:f>
        <x:v>45382</x:v>
      </x:c>
      <x:c r="AE161" s="32" t="str">
        <x:f>IF(M161&lt;H161,"Existing Employee",IF(U161="","No Assignment",IF(V161=0,"0 Days",IF(V161&lt;=7,"1-7 Days",IF(V161&lt;=14,"8-14 Days",IF(V161&lt;=21,"15-21 Days","21+ Days"))))))</x:f>
        <x:v>8-14 Days</x:v>
      </x:c>
      <x:c r="AF16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61" s="33" t="n">
        <x:f>--(WorkforceData[[#This Row],[Total Days Worked]]&gt;=121)</x:f>
        <x:v>1</x:v>
      </x:c>
    </x:row>
    <x:row r="162">
      <x:c r="A162" s="236" t="str">
        <x:v>TRN-0161</x:v>
      </x:c>
      <x:c r="B162" s="243"/>
      <x:c r="C162" s="243"/>
      <x:c r="D162" s="243"/>
      <x:c r="E162" s="243"/>
      <x:c r="F162" s="14" t="str">
        <x:v>Recruiter C</x:v>
      </x:c>
      <x:c r="G162" s="14" t="str">
        <x:v>Training Center A</x:v>
      </x:c>
      <x:c r="H162" s="28">
        <x:v>45376</x:v>
      </x:c>
      <x:c r="I162" s="14">
        <x:v>2024</x:v>
      </x:c>
      <x:c r="J162" s="14" t="s">
        <x:v>130</x:v>
      </x:c>
      <x:c r="K162" s="14">
        <x:v>24</x:v>
      </x:c>
      <x:c r="L162" s="29" t="s">
        <x:v>101</x:v>
      </x:c>
      <x:c r="M162" s="28">
        <x:v>45366</x:v>
      </x:c>
      <x:c r="N162" s="14"/>
      <x:c r="O162" s="14">
        <x:v>885</x:v>
      </x:c>
      <x:c r="P162" s="14" t="s">
        <x:v>122</x:v>
      </x:c>
      <x:c r="Q162" s="14" t="s">
        <x:v>25</x:v>
      </x:c>
      <x:c r="R162" s="14"/>
      <x:c r="S162" s="14" t="s">
        <x:v>108</x:v>
      </x:c>
      <x:c r="T162" s="14" t="str">
        <x:v>Region D</x:v>
      </x:c>
      <x:c r="U162" s="28">
        <x:v>45394</x:v>
      </x:c>
      <x:c r="V162" s="30">
        <x:v>18</x:v>
      </x:c>
      <x:c r="W162" s="14" t="s">
        <x:v>112</x:v>
      </x:c>
      <x:c r="X162" s="14" t="s">
        <x:v>106</x:v>
      </x:c>
      <x:c r="Y162" s="32" t="str">
        <x:v>TRN-0161|20240325</x:v>
      </x:c>
      <x:c r="Z162" s="32" t="str" cm="1">
        <x:f t="array" ref="Z16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62" s="33" t="n">
        <x:f>--OR(WorkforceData[[#This Row],[Status]]="Active",WorkforceData[[#This Row],[Promoted]]="Yes",WorkforceData[[#This Row],[Total Days Worked]]&gt;=121)</x:f>
        <x:v>1</x:v>
      </x:c>
      <x:c r="AB162" s="33" t="n">
        <x:f>IF(AND(Q162="Terminated",R162="",O162=0),1,0)</x:f>
        <x:v>0</x:v>
      </x:c>
      <x:c r="AC162" s="33" t="n">
        <x:f>--OR(WorkforceData[[#This Row],[Status]]="Resigned",WorkforceData[[#This Row],[Status After Training]]="Withdrew")</x:f>
        <x:v>0</x:v>
      </x:c>
      <x:c r="AD162" s="34" t="n">
        <x:f>EOMONTH(WorkforceData[[#This Row],[Training Date]],0)</x:f>
        <x:v>45382</x:v>
      </x:c>
      <x:c r="AE162" s="32" t="str">
        <x:f>IF(M162&lt;H162,"Existing Employee",IF(U162="","No Assignment",IF(V162=0,"0 Days",IF(V162&lt;=7,"1-7 Days",IF(V162&lt;=14,"8-14 Days",IF(V162&lt;=21,"15-21 Days","21+ Days"))))))</x:f>
        <x:v>Existing Employee</x:v>
      </x:c>
      <x:c r="AF16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62" s="33" t="n">
        <x:f>--(WorkforceData[[#This Row],[Total Days Worked]]&gt;=121)</x:f>
        <x:v>1</x:v>
      </x:c>
    </x:row>
    <x:row r="163">
      <x:c r="A163" s="236" t="str">
        <x:v>TRN-0162</x:v>
      </x:c>
      <x:c r="B163" s="243"/>
      <x:c r="C163" s="243"/>
      <x:c r="D163" s="243"/>
      <x:c r="E163" s="243"/>
      <x:c r="F163" s="14" t="str">
        <x:v>Recruiter F</x:v>
      </x:c>
      <x:c r="G163" s="14" t="str">
        <x:v>Training Center A</x:v>
      </x:c>
      <x:c r="H163" s="28">
        <x:v>45376</x:v>
      </x:c>
      <x:c r="I163" s="14">
        <x:v>2024</x:v>
      </x:c>
      <x:c r="J163" s="14" t="s">
        <x:v>130</x:v>
      </x:c>
      <x:c r="K163" s="14">
        <x:v>24</x:v>
      </x:c>
      <x:c r="L163" s="29" t="s">
        <x:v>101</x:v>
      </x:c>
      <x:c r="M163" s="28">
        <x:v>45374</x:v>
      </x:c>
      <x:c r="N163" s="14"/>
      <x:c r="O163" s="14">
        <x:v>877</x:v>
      </x:c>
      <x:c r="P163" s="14" t="s">
        <x:v>122</x:v>
      </x:c>
      <x:c r="Q163" s="14" t="s">
        <x:v>25</x:v>
      </x:c>
      <x:c r="R163" s="14"/>
      <x:c r="S163" s="14" t="s">
        <x:v>108</x:v>
      </x:c>
      <x:c r="T163" s="14" t="str">
        <x:v>Region B</x:v>
      </x:c>
      <x:c r="U163" s="28">
        <x:v>45379</x:v>
      </x:c>
      <x:c r="V163" s="30">
        <x:v>3</x:v>
      </x:c>
      <x:c r="W163" s="14" t="s">
        <x:v>109</x:v>
      </x:c>
      <x:c r="X163" s="14" t="s">
        <x:v>106</x:v>
      </x:c>
      <x:c r="Y163" s="32" t="str">
        <x:v>TRN-0162|20240325</x:v>
      </x:c>
      <x:c r="Z163" s="32" t="str" cm="1">
        <x:f t="array" ref="Z16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63" s="33" t="n">
        <x:f>--OR(WorkforceData[[#This Row],[Status]]="Active",WorkforceData[[#This Row],[Promoted]]="Yes",WorkforceData[[#This Row],[Total Days Worked]]&gt;=121)</x:f>
        <x:v>1</x:v>
      </x:c>
      <x:c r="AB163" s="33" t="n">
        <x:f>IF(AND(Q163="Terminated",R163="",O163=0),1,0)</x:f>
        <x:v>0</x:v>
      </x:c>
      <x:c r="AC163" s="33" t="n">
        <x:f>--OR(WorkforceData[[#This Row],[Status]]="Resigned",WorkforceData[[#This Row],[Status After Training]]="Withdrew")</x:f>
        <x:v>0</x:v>
      </x:c>
      <x:c r="AD163" s="34" t="n">
        <x:f>EOMONTH(WorkforceData[[#This Row],[Training Date]],0)</x:f>
        <x:v>45382</x:v>
      </x:c>
      <x:c r="AE163" s="32" t="str">
        <x:f>IF(M163&lt;H163,"Existing Employee",IF(U163="","No Assignment",IF(V163=0,"0 Days",IF(V163&lt;=7,"1-7 Days",IF(V163&lt;=14,"8-14 Days",IF(V163&lt;=21,"15-21 Days","21+ Days"))))))</x:f>
        <x:v>Existing Employee</x:v>
      </x:c>
      <x:c r="AF16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63" s="33" t="n">
        <x:f>--(WorkforceData[[#This Row],[Total Days Worked]]&gt;=121)</x:f>
        <x:v>1</x:v>
      </x:c>
    </x:row>
    <x:row r="164">
      <x:c r="A164" s="236" t="str">
        <x:v>TRN-0163</x:v>
      </x:c>
      <x:c r="B164" s="243"/>
      <x:c r="C164" s="243"/>
      <x:c r="D164" s="243"/>
      <x:c r="E164" s="243"/>
      <x:c r="F164" s="14" t="str">
        <x:v>Recruiter C</x:v>
      </x:c>
      <x:c r="G164" s="14" t="str">
        <x:v>Training Center A</x:v>
      </x:c>
      <x:c r="H164" s="28">
        <x:v>45376</x:v>
      </x:c>
      <x:c r="I164" s="14">
        <x:v>2024</x:v>
      </x:c>
      <x:c r="J164" s="14" t="s">
        <x:v>130</x:v>
      </x:c>
      <x:c r="K164" s="14">
        <x:v>24</x:v>
      </x:c>
      <x:c r="L164" s="29" t="s">
        <x:v>101</x:v>
      </x:c>
      <x:c r="M164" s="28">
        <x:v>45369</x:v>
      </x:c>
      <x:c r="N164" s="28">
        <x:v>45629</x:v>
      </x:c>
      <x:c r="O164" s="14">
        <x:v>260</x:v>
      </x:c>
      <x:c r="P164" s="14" t="s">
        <x:v>107</x:v>
      </x:c>
      <x:c r="Q164" s="14" t="s">
        <x:v>103</x:v>
      </x:c>
      <x:c r="R164" s="14" t="s">
        <x:v>104</x:v>
      </x:c>
      <x:c r="S164" s="14" t="s">
        <x:v>108</x:v>
      </x:c>
      <x:c r="T164" s="14" t="str">
        <x:v>Region D</x:v>
      </x:c>
      <x:c r="U164" s="28">
        <x:v>45419</x:v>
      </x:c>
      <x:c r="V164" s="30">
        <x:v>43</x:v>
      </x:c>
      <x:c r="W164" s="14" t="s">
        <x:v>63</x:v>
      </x:c>
      <x:c r="X164" s="14" t="s">
        <x:v>117</x:v>
      </x:c>
      <x:c r="Y164" s="32" t="str">
        <x:v>TRN-0163|20240325</x:v>
      </x:c>
      <x:c r="Z164" s="32" t="str" cm="1">
        <x:f t="array" ref="Z16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164" s="33" t="n">
        <x:f>--OR(WorkforceData[[#This Row],[Status]]="Active",WorkforceData[[#This Row],[Promoted]]="Yes",WorkforceData[[#This Row],[Total Days Worked]]&gt;=121)</x:f>
        <x:v>1</x:v>
      </x:c>
      <x:c r="AB164" s="33" t="n">
        <x:f>IF(AND(Q164="Terminated",R164="",O164=0),1,0)</x:f>
        <x:v>0</x:v>
      </x:c>
      <x:c r="AC164" s="33" t="n">
        <x:f>--OR(WorkforceData[[#This Row],[Status]]="Resigned",WorkforceData[[#This Row],[Status After Training]]="Withdrew")</x:f>
        <x:v>1</x:v>
      </x:c>
      <x:c r="AD164" s="34" t="n">
        <x:f>EOMONTH(WorkforceData[[#This Row],[Training Date]],0)</x:f>
        <x:v>45382</x:v>
      </x:c>
      <x:c r="AE164" s="32" t="str">
        <x:f>IF(M164&lt;H164,"Existing Employee",IF(U164="","No Assignment",IF(V164=0,"0 Days",IF(V164&lt;=7,"1-7 Days",IF(V164&lt;=14,"8-14 Days",IF(V164&lt;=21,"15-21 Days","21+ Days"))))))</x:f>
        <x:v>Existing Employee</x:v>
      </x:c>
      <x:c r="AF16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64" s="33" t="n">
        <x:f>--(WorkforceData[[#This Row],[Total Days Worked]]&gt;=121)</x:f>
        <x:v>1</x:v>
      </x:c>
    </x:row>
    <x:row r="165">
      <x:c r="A165" s="236" t="str">
        <x:v>TRN-0164</x:v>
      </x:c>
      <x:c r="B165" s="243"/>
      <x:c r="C165" s="243"/>
      <x:c r="D165" s="243"/>
      <x:c r="E165" s="243"/>
      <x:c r="F165" s="14" t="str">
        <x:v>Recruiter F</x:v>
      </x:c>
      <x:c r="G165" s="14" t="str">
        <x:v>Training Center A</x:v>
      </x:c>
      <x:c r="H165" s="28">
        <x:v>45376</x:v>
      </x:c>
      <x:c r="I165" s="14">
        <x:v>2024</x:v>
      </x:c>
      <x:c r="J165" s="14" t="s">
        <x:v>130</x:v>
      </x:c>
      <x:c r="K165" s="14">
        <x:v>24</x:v>
      </x:c>
      <x:c r="L165" s="29" t="s">
        <x:v>101</x:v>
      </x:c>
      <x:c r="M165" s="28">
        <x:v>45375</x:v>
      </x:c>
      <x:c r="N165" s="14"/>
      <x:c r="O165" s="14">
        <x:v>876</x:v>
      </x:c>
      <x:c r="P165" s="14" t="s">
        <x:v>122</x:v>
      </x:c>
      <x:c r="Q165" s="14" t="s">
        <x:v>25</x:v>
      </x:c>
      <x:c r="R165" s="14"/>
      <x:c r="S165" s="14" t="s">
        <x:v>108</x:v>
      </x:c>
      <x:c r="T165" s="14" t="str">
        <x:v>Region E</x:v>
      </x:c>
      <x:c r="U165" s="28">
        <x:v>45377</x:v>
      </x:c>
      <x:c r="V165" s="30">
        <x:v>1</x:v>
      </x:c>
      <x:c r="W165" s="14" t="s">
        <x:v>109</x:v>
      </x:c>
      <x:c r="X165" s="14" t="s">
        <x:v>106</x:v>
      </x:c>
      <x:c r="Y165" s="32" t="str">
        <x:v>TRN-0164|20240325</x:v>
      </x:c>
      <x:c r="Z165" s="32" t="str" cm="1">
        <x:f t="array" ref="Z16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65" s="33" t="n">
        <x:f>--OR(WorkforceData[[#This Row],[Status]]="Active",WorkforceData[[#This Row],[Promoted]]="Yes",WorkforceData[[#This Row],[Total Days Worked]]&gt;=121)</x:f>
        <x:v>1</x:v>
      </x:c>
      <x:c r="AB165" s="33" t="n">
        <x:f>IF(AND(Q165="Terminated",R165="",O165=0),1,0)</x:f>
        <x:v>0</x:v>
      </x:c>
      <x:c r="AC165" s="33" t="n">
        <x:f>--OR(WorkforceData[[#This Row],[Status]]="Resigned",WorkforceData[[#This Row],[Status After Training]]="Withdrew")</x:f>
        <x:v>0</x:v>
      </x:c>
      <x:c r="AD165" s="34" t="n">
        <x:f>EOMONTH(WorkforceData[[#This Row],[Training Date]],0)</x:f>
        <x:v>45382</x:v>
      </x:c>
      <x:c r="AE165" s="32" t="str">
        <x:f>IF(M165&lt;H165,"Existing Employee",IF(U165="","No Assignment",IF(V165=0,"0 Days",IF(V165&lt;=7,"1-7 Days",IF(V165&lt;=14,"8-14 Days",IF(V165&lt;=21,"15-21 Days","21+ Days"))))))</x:f>
        <x:v>Existing Employee</x:v>
      </x:c>
      <x:c r="AF16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65" s="33" t="n">
        <x:f>--(WorkforceData[[#This Row],[Total Days Worked]]&gt;=121)</x:f>
        <x:v>1</x:v>
      </x:c>
    </x:row>
    <x:row r="166">
      <x:c r="A166" s="236" t="str">
        <x:v>TRN-0165</x:v>
      </x:c>
      <x:c r="B166" s="243"/>
      <x:c r="C166" s="243"/>
      <x:c r="D166" s="243"/>
      <x:c r="E166" s="243"/>
      <x:c r="F166" s="14" t="str">
        <x:v>Recruiter B</x:v>
      </x:c>
      <x:c r="G166" s="14" t="str">
        <x:v>Training Center A</x:v>
      </x:c>
      <x:c r="H166" s="28">
        <x:v>45376</x:v>
      </x:c>
      <x:c r="I166" s="14">
        <x:v>2024</x:v>
      </x:c>
      <x:c r="J166" s="14" t="s">
        <x:v>130</x:v>
      </x:c>
      <x:c r="K166" s="14">
        <x:v>24</x:v>
      </x:c>
      <x:c r="L166" s="29" t="s">
        <x:v>101</x:v>
      </x:c>
      <x:c r="M166" s="28">
        <x:v>45374</x:v>
      </x:c>
      <x:c r="N166" s="28">
        <x:v>45591</x:v>
      </x:c>
      <x:c r="O166" s="14">
        <x:v>217</x:v>
      </x:c>
      <x:c r="P166" s="14" t="s">
        <x:v>107</x:v>
      </x:c>
      <x:c r="Q166" s="14" t="s">
        <x:v>103</x:v>
      </x:c>
      <x:c r="R166" s="14" t="s">
        <x:v>123</x:v>
      </x:c>
      <x:c r="S166" s="14" t="s">
        <x:v>108</x:v>
      </x:c>
      <x:c r="T166" s="14" t="str">
        <x:v>Region E</x:v>
      </x:c>
      <x:c r="U166" s="28">
        <x:v>45379</x:v>
      </x:c>
      <x:c r="V166" s="30">
        <x:v>3</x:v>
      </x:c>
      <x:c r="W166" s="14" t="s">
        <x:v>109</x:v>
      </x:c>
      <x:c r="X166" s="14" t="s">
        <x:v>106</x:v>
      </x:c>
      <x:c r="Y166" s="32" t="str">
        <x:v>TRN-0165|20240325</x:v>
      </x:c>
      <x:c r="Z166" s="32" t="str" cm="1">
        <x:f t="array" ref="Z16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166" s="33" t="n">
        <x:f>--OR(WorkforceData[[#This Row],[Status]]="Active",WorkforceData[[#This Row],[Promoted]]="Yes",WorkforceData[[#This Row],[Total Days Worked]]&gt;=121)</x:f>
        <x:v>1</x:v>
      </x:c>
      <x:c r="AB166" s="33" t="n">
        <x:f>IF(AND(Q166="Terminated",R166="",O166=0),1,0)</x:f>
        <x:v>0</x:v>
      </x:c>
      <x:c r="AC166" s="33" t="n">
        <x:f>--OR(WorkforceData[[#This Row],[Status]]="Resigned",WorkforceData[[#This Row],[Status After Training]]="Withdrew")</x:f>
        <x:v>1</x:v>
      </x:c>
      <x:c r="AD166" s="34" t="n">
        <x:f>EOMONTH(WorkforceData[[#This Row],[Training Date]],0)</x:f>
        <x:v>45382</x:v>
      </x:c>
      <x:c r="AE166" s="32" t="str">
        <x:f>IF(M166&lt;H166,"Existing Employee",IF(U166="","No Assignment",IF(V166=0,"0 Days",IF(V166&lt;=7,"1-7 Days",IF(V166&lt;=14,"8-14 Days",IF(V166&lt;=21,"15-21 Days","21+ Days"))))))</x:f>
        <x:v>Existing Employee</x:v>
      </x:c>
      <x:c r="AF16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66" s="33" t="n">
        <x:f>--(WorkforceData[[#This Row],[Total Days Worked]]&gt;=121)</x:f>
        <x:v>1</x:v>
      </x:c>
    </x:row>
    <x:row r="167">
      <x:c r="A167" s="236" t="str">
        <x:v>TRN-0166</x:v>
      </x:c>
      <x:c r="B167" s="243"/>
      <x:c r="C167" s="243"/>
      <x:c r="D167" s="243"/>
      <x:c r="E167" s="243"/>
      <x:c r="F167" s="14" t="str">
        <x:v>Recruiter D</x:v>
      </x:c>
      <x:c r="G167" s="14" t="str">
        <x:v>Training Center A</x:v>
      </x:c>
      <x:c r="H167" s="28">
        <x:v>45376</x:v>
      </x:c>
      <x:c r="I167" s="14">
        <x:v>2024</x:v>
      </x:c>
      <x:c r="J167" s="14" t="s">
        <x:v>130</x:v>
      </x:c>
      <x:c r="K167" s="14">
        <x:v>24</x:v>
      </x:c>
      <x:c r="L167" s="29" t="s">
        <x:v>101</x:v>
      </x:c>
      <x:c r="M167" s="28">
        <x:v>45376</x:v>
      </x:c>
      <x:c r="N167" s="14"/>
      <x:c r="O167" s="14">
        <x:v>875</x:v>
      </x:c>
      <x:c r="P167" s="14" t="s">
        <x:v>122</x:v>
      </x:c>
      <x:c r="Q167" s="14" t="s">
        <x:v>25</x:v>
      </x:c>
      <x:c r="R167" s="14"/>
      <x:c r="S167" s="14" t="s">
        <x:v>108</x:v>
      </x:c>
      <x:c r="T167" s="14" t="str">
        <x:v>Region C</x:v>
      </x:c>
      <x:c r="U167" s="28">
        <x:v>45381</x:v>
      </x:c>
      <x:c r="V167" s="30">
        <x:v>5</x:v>
      </x:c>
      <x:c r="W167" s="14" t="s">
        <x:v>109</x:v>
      </x:c>
      <x:c r="X167" s="14" t="s">
        <x:v>106</x:v>
      </x:c>
      <x:c r="Y167" s="32" t="str">
        <x:v>TRN-0166|20240325</x:v>
      </x:c>
      <x:c r="Z167" s="32" t="str" cm="1">
        <x:f t="array" ref="Z16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67" s="33" t="n">
        <x:f>--OR(WorkforceData[[#This Row],[Status]]="Active",WorkforceData[[#This Row],[Promoted]]="Yes",WorkforceData[[#This Row],[Total Days Worked]]&gt;=121)</x:f>
        <x:v>1</x:v>
      </x:c>
      <x:c r="AB167" s="33" t="n">
        <x:f>IF(AND(Q167="Terminated",R167="",O167=0),1,0)</x:f>
        <x:v>0</x:v>
      </x:c>
      <x:c r="AC167" s="33" t="n">
        <x:f>--OR(WorkforceData[[#This Row],[Status]]="Resigned",WorkforceData[[#This Row],[Status After Training]]="Withdrew")</x:f>
        <x:v>0</x:v>
      </x:c>
      <x:c r="AD167" s="34" t="n">
        <x:f>EOMONTH(WorkforceData[[#This Row],[Training Date]],0)</x:f>
        <x:v>45382</x:v>
      </x:c>
      <x:c r="AE167" s="32" t="str">
        <x:f>IF(M167&lt;H167,"Existing Employee",IF(U167="","No Assignment",IF(V167=0,"0 Days",IF(V167&lt;=7,"1-7 Days",IF(V167&lt;=14,"8-14 Days",IF(V167&lt;=21,"15-21 Days","21+ Days"))))))</x:f>
        <x:v>1-7 Days</x:v>
      </x:c>
      <x:c r="AF16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67" s="33" t="n">
        <x:f>--(WorkforceData[[#This Row],[Total Days Worked]]&gt;=121)</x:f>
        <x:v>1</x:v>
      </x:c>
    </x:row>
    <x:row r="168">
      <x:c r="A168" s="236" t="str">
        <x:v>TRN-0167</x:v>
      </x:c>
      <x:c r="B168" s="243"/>
      <x:c r="C168" s="243"/>
      <x:c r="D168" s="243"/>
      <x:c r="E168" s="243"/>
      <x:c r="F168" s="14" t="str">
        <x:v>Recruiter C</x:v>
      </x:c>
      <x:c r="G168" s="14" t="str">
        <x:v>Training Center A</x:v>
      </x:c>
      <x:c r="H168" s="28">
        <x:v>45376</x:v>
      </x:c>
      <x:c r="I168" s="14">
        <x:v>2024</x:v>
      </x:c>
      <x:c r="J168" s="14" t="s">
        <x:v>130</x:v>
      </x:c>
      <x:c r="K168" s="14">
        <x:v>24</x:v>
      </x:c>
      <x:c r="L168" s="29" t="s">
        <x:v>101</x:v>
      </x:c>
      <x:c r="M168" s="28">
        <x:v>45373</x:v>
      </x:c>
      <x:c r="N168" s="28">
        <x:v>45914</x:v>
      </x:c>
      <x:c r="O168" s="14">
        <x:v>541</x:v>
      </x:c>
      <x:c r="P168" s="14" t="s">
        <x:v>120</x:v>
      </x:c>
      <x:c r="Q168" s="14" t="s">
        <x:v>33</x:v>
      </x:c>
      <x:c r="R168" s="14" t="s">
        <x:v>121</x:v>
      </x:c>
      <x:c r="S168" s="14" t="s">
        <x:v>108</x:v>
      </x:c>
      <x:c r="T168" s="14" t="str">
        <x:v>Region B</x:v>
      </x:c>
      <x:c r="U168" s="28">
        <x:v>45383</x:v>
      </x:c>
      <x:c r="V168" s="30">
        <x:v>7</x:v>
      </x:c>
      <x:c r="W168" s="14" t="s">
        <x:v>109</x:v>
      </x:c>
      <x:c r="X168" s="14" t="s">
        <x:v>106</x:v>
      </x:c>
      <x:c r="Y168" s="32" t="str">
        <x:v>TRN-0167|20240325</x:v>
      </x:c>
      <x:c r="Z168" s="32" t="str" cm="1">
        <x:f t="array" ref="Z16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168" s="33" t="n">
        <x:f>--OR(WorkforceData[[#This Row],[Status]]="Active",WorkforceData[[#This Row],[Promoted]]="Yes",WorkforceData[[#This Row],[Total Days Worked]]&gt;=121)</x:f>
        <x:v>1</x:v>
      </x:c>
      <x:c r="AB168" s="33" t="n">
        <x:f>IF(AND(Q168="Terminated",R168="",O168=0),1,0)</x:f>
        <x:v>0</x:v>
      </x:c>
      <x:c r="AC168" s="33" t="n">
        <x:f>--OR(WorkforceData[[#This Row],[Status]]="Resigned",WorkforceData[[#This Row],[Status After Training]]="Withdrew")</x:f>
        <x:v>0</x:v>
      </x:c>
      <x:c r="AD168" s="34" t="n">
        <x:f>EOMONTH(WorkforceData[[#This Row],[Training Date]],0)</x:f>
        <x:v>45382</x:v>
      </x:c>
      <x:c r="AE168" s="32" t="str">
        <x:f>IF(M168&lt;H168,"Existing Employee",IF(U168="","No Assignment",IF(V168=0,"0 Days",IF(V168&lt;=7,"1-7 Days",IF(V168&lt;=14,"8-14 Days",IF(V168&lt;=21,"15-21 Days","21+ Days"))))))</x:f>
        <x:v>Existing Employee</x:v>
      </x:c>
      <x:c r="AF16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68" s="33" t="n">
        <x:f>--(WorkforceData[[#This Row],[Total Days Worked]]&gt;=121)</x:f>
        <x:v>1</x:v>
      </x:c>
    </x:row>
    <x:row r="169">
      <x:c r="A169" s="236" t="str">
        <x:v>TRN-0168</x:v>
      </x:c>
      <x:c r="B169" s="243"/>
      <x:c r="C169" s="243"/>
      <x:c r="D169" s="243"/>
      <x:c r="E169" s="243"/>
      <x:c r="F169" s="14" t="str">
        <x:v>Recruiter H</x:v>
      </x:c>
      <x:c r="G169" s="14" t="str">
        <x:v>Training Center A</x:v>
      </x:c>
      <x:c r="H169" s="28">
        <x:v>45376</x:v>
      </x:c>
      <x:c r="I169" s="14">
        <x:v>2024</x:v>
      </x:c>
      <x:c r="J169" s="14" t="s">
        <x:v>130</x:v>
      </x:c>
      <x:c r="K169" s="14">
        <x:v>24</x:v>
      </x:c>
      <x:c r="L169" s="29" t="s">
        <x:v>101</x:v>
      </x:c>
      <x:c r="M169" s="28">
        <x:v>45376</x:v>
      </x:c>
      <x:c r="N169" s="14"/>
      <x:c r="O169" s="14">
        <x:v>875</x:v>
      </x:c>
      <x:c r="P169" s="14" t="s">
        <x:v>122</x:v>
      </x:c>
      <x:c r="Q169" s="14" t="s">
        <x:v>25</x:v>
      </x:c>
      <x:c r="R169" s="14"/>
      <x:c r="S169" s="14" t="s">
        <x:v>108</x:v>
      </x:c>
      <x:c r="T169" s="14" t="str">
        <x:v>Region D</x:v>
      </x:c>
      <x:c r="U169" s="28">
        <x:v>45391</x:v>
      </x:c>
      <x:c r="V169" s="30">
        <x:v>15</x:v>
      </x:c>
      <x:c r="W169" s="14" t="s">
        <x:v>112</x:v>
      </x:c>
      <x:c r="X169" s="14" t="s">
        <x:v>106</x:v>
      </x:c>
      <x:c r="Y169" s="32" t="str">
        <x:v>TRN-0168|20240325</x:v>
      </x:c>
      <x:c r="Z169" s="32" t="str" cm="1">
        <x:f t="array" ref="Z16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69" s="33" t="n">
        <x:f>--OR(WorkforceData[[#This Row],[Status]]="Active",WorkforceData[[#This Row],[Promoted]]="Yes",WorkforceData[[#This Row],[Total Days Worked]]&gt;=121)</x:f>
        <x:v>1</x:v>
      </x:c>
      <x:c r="AB169" s="33" t="n">
        <x:f>IF(AND(Q169="Terminated",R169="",O169=0),1,0)</x:f>
        <x:v>0</x:v>
      </x:c>
      <x:c r="AC169" s="33" t="n">
        <x:f>--OR(WorkforceData[[#This Row],[Status]]="Resigned",WorkforceData[[#This Row],[Status After Training]]="Withdrew")</x:f>
        <x:v>0</x:v>
      </x:c>
      <x:c r="AD169" s="34" t="n">
        <x:f>EOMONTH(WorkforceData[[#This Row],[Training Date]],0)</x:f>
        <x:v>45382</x:v>
      </x:c>
      <x:c r="AE169" s="32" t="str">
        <x:f>IF(M169&lt;H169,"Existing Employee",IF(U169="","No Assignment",IF(V169=0,"0 Days",IF(V169&lt;=7,"1-7 Days",IF(V169&lt;=14,"8-14 Days",IF(V169&lt;=21,"15-21 Days","21+ Days"))))))</x:f>
        <x:v>15-21 Days</x:v>
      </x:c>
      <x:c r="AF16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69" s="33" t="n">
        <x:f>--(WorkforceData[[#This Row],[Total Days Worked]]&gt;=121)</x:f>
        <x:v>1</x:v>
      </x:c>
    </x:row>
    <x:row r="170">
      <x:c r="A170" s="236" t="str">
        <x:v>TRN-0169</x:v>
      </x:c>
      <x:c r="B170" s="243"/>
      <x:c r="C170" s="243"/>
      <x:c r="D170" s="243"/>
      <x:c r="E170" s="243"/>
      <x:c r="F170" s="14" t="str">
        <x:v>Recruiter G</x:v>
      </x:c>
      <x:c r="G170" s="14" t="str">
        <x:v>Training Center A</x:v>
      </x:c>
      <x:c r="H170" s="28">
        <x:v>45376</x:v>
      </x:c>
      <x:c r="I170" s="14">
        <x:v>2024</x:v>
      </x:c>
      <x:c r="J170" s="14" t="s">
        <x:v>130</x:v>
      </x:c>
      <x:c r="K170" s="14">
        <x:v>24</x:v>
      </x:c>
      <x:c r="L170" s="29" t="s">
        <x:v>101</x:v>
      </x:c>
      <x:c r="M170" s="28">
        <x:v>45373</x:v>
      </x:c>
      <x:c r="N170" s="14"/>
      <x:c r="O170" s="14">
        <x:v>878</x:v>
      </x:c>
      <x:c r="P170" s="14" t="s">
        <x:v>122</x:v>
      </x:c>
      <x:c r="Q170" s="14" t="s">
        <x:v>25</x:v>
      </x:c>
      <x:c r="R170" s="14"/>
      <x:c r="S170" s="14" t="s">
        <x:v>108</x:v>
      </x:c>
      <x:c r="T170" s="14" t="str">
        <x:v>Region A</x:v>
      </x:c>
      <x:c r="U170" s="28">
        <x:v>45376</x:v>
      </x:c>
      <x:c r="V170" s="30">
        <x:v>0</x:v>
      </x:c>
      <x:c r="W170" s="14" t="s">
        <x:v>109</x:v>
      </x:c>
      <x:c r="X170" s="14" t="s">
        <x:v>106</x:v>
      </x:c>
      <x:c r="Y170" s="32" t="str">
        <x:v>TRN-0169|20240325</x:v>
      </x:c>
      <x:c r="Z170" s="32" t="str" cm="1">
        <x:f t="array" ref="Z17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70" s="33" t="n">
        <x:f>--OR(WorkforceData[[#This Row],[Status]]="Active",WorkforceData[[#This Row],[Promoted]]="Yes",WorkforceData[[#This Row],[Total Days Worked]]&gt;=121)</x:f>
        <x:v>1</x:v>
      </x:c>
      <x:c r="AB170" s="33" t="n">
        <x:f>IF(AND(Q170="Terminated",R170="",O170=0),1,0)</x:f>
        <x:v>0</x:v>
      </x:c>
      <x:c r="AC170" s="33" t="n">
        <x:f>--OR(WorkforceData[[#This Row],[Status]]="Resigned",WorkforceData[[#This Row],[Status After Training]]="Withdrew")</x:f>
        <x:v>0</x:v>
      </x:c>
      <x:c r="AD170" s="34" t="n">
        <x:f>EOMONTH(WorkforceData[[#This Row],[Training Date]],0)</x:f>
        <x:v>45382</x:v>
      </x:c>
      <x:c r="AE170" s="32" t="str">
        <x:f>IF(M170&lt;H170,"Existing Employee",IF(U170="","No Assignment",IF(V170=0,"0 Days",IF(V170&lt;=7,"1-7 Days",IF(V170&lt;=14,"8-14 Days",IF(V170&lt;=21,"15-21 Days","21+ Days"))))))</x:f>
        <x:v>Existing Employee</x:v>
      </x:c>
      <x:c r="AF17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70" s="33" t="n">
        <x:f>--(WorkforceData[[#This Row],[Total Days Worked]]&gt;=121)</x:f>
        <x:v>1</x:v>
      </x:c>
    </x:row>
    <x:row r="171">
      <x:c r="A171" s="236" t="str">
        <x:v>TRN-0170</x:v>
      </x:c>
      <x:c r="B171" s="243"/>
      <x:c r="C171" s="243"/>
      <x:c r="D171" s="243"/>
      <x:c r="E171" s="243"/>
      <x:c r="F171" s="14" t="str">
        <x:v>Recruiter F</x:v>
      </x:c>
      <x:c r="G171" s="14" t="str">
        <x:v>Training Center A</x:v>
      </x:c>
      <x:c r="H171" s="28">
        <x:v>45376</x:v>
      </x:c>
      <x:c r="I171" s="14">
        <x:v>2024</x:v>
      </x:c>
      <x:c r="J171" s="14" t="s">
        <x:v>130</x:v>
      </x:c>
      <x:c r="K171" s="14">
        <x:v>24</x:v>
      </x:c>
      <x:c r="L171" s="29" t="s">
        <x:v>101</x:v>
      </x:c>
      <x:c r="M171" s="28">
        <x:v>45371</x:v>
      </x:c>
      <x:c r="N171" s="14"/>
      <x:c r="O171" s="14">
        <x:v>880</x:v>
      </x:c>
      <x:c r="P171" s="14" t="s">
        <x:v>122</x:v>
      </x:c>
      <x:c r="Q171" s="14" t="s">
        <x:v>25</x:v>
      </x:c>
      <x:c r="R171" s="14"/>
      <x:c r="S171" s="14" t="s">
        <x:v>108</x:v>
      </x:c>
      <x:c r="T171" s="14" t="str">
        <x:v>Region E</x:v>
      </x:c>
      <x:c r="U171" s="28">
        <x:v>45428</x:v>
      </x:c>
      <x:c r="V171" s="30">
        <x:v>52</x:v>
      </x:c>
      <x:c r="W171" s="14" t="s">
        <x:v>63</x:v>
      </x:c>
      <x:c r="X171" s="14" t="s">
        <x:v>117</x:v>
      </x:c>
      <x:c r="Y171" s="32" t="str">
        <x:v>TRN-0170|20240325</x:v>
      </x:c>
      <x:c r="Z171" s="32" t="str" cm="1">
        <x:f t="array" ref="Z17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71" s="33" t="n">
        <x:f>--OR(WorkforceData[[#This Row],[Status]]="Active",WorkforceData[[#This Row],[Promoted]]="Yes",WorkforceData[[#This Row],[Total Days Worked]]&gt;=121)</x:f>
        <x:v>1</x:v>
      </x:c>
      <x:c r="AB171" s="33" t="n">
        <x:f>IF(AND(Q171="Terminated",R171="",O171=0),1,0)</x:f>
        <x:v>0</x:v>
      </x:c>
      <x:c r="AC171" s="33" t="n">
        <x:f>--OR(WorkforceData[[#This Row],[Status]]="Resigned",WorkforceData[[#This Row],[Status After Training]]="Withdrew")</x:f>
        <x:v>0</x:v>
      </x:c>
      <x:c r="AD171" s="34" t="n">
        <x:f>EOMONTH(WorkforceData[[#This Row],[Training Date]],0)</x:f>
        <x:v>45382</x:v>
      </x:c>
      <x:c r="AE171" s="32" t="str">
        <x:f>IF(M171&lt;H171,"Existing Employee",IF(U171="","No Assignment",IF(V171=0,"0 Days",IF(V171&lt;=7,"1-7 Days",IF(V171&lt;=14,"8-14 Days",IF(V171&lt;=21,"15-21 Days","21+ Days"))))))</x:f>
        <x:v>Existing Employee</x:v>
      </x:c>
      <x:c r="AF17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71" s="33" t="n">
        <x:f>--(WorkforceData[[#This Row],[Total Days Worked]]&gt;=121)</x:f>
        <x:v>1</x:v>
      </x:c>
    </x:row>
    <x:row r="172">
      <x:c r="A172" s="236" t="str">
        <x:v>TRN-0171</x:v>
      </x:c>
      <x:c r="B172" s="243"/>
      <x:c r="C172" s="243"/>
      <x:c r="D172" s="243"/>
      <x:c r="E172" s="243"/>
      <x:c r="F172" s="14" t="str">
        <x:v>Recruiter C</x:v>
      </x:c>
      <x:c r="G172" s="14" t="str">
        <x:v>Training Center A</x:v>
      </x:c>
      <x:c r="H172" s="28">
        <x:v>45376</x:v>
      </x:c>
      <x:c r="I172" s="14">
        <x:v>2024</x:v>
      </x:c>
      <x:c r="J172" s="14" t="s">
        <x:v>130</x:v>
      </x:c>
      <x:c r="K172" s="14">
        <x:v>24</x:v>
      </x:c>
      <x:c r="L172" s="29" t="s">
        <x:v>101</x:v>
      </x:c>
      <x:c r="M172" s="28">
        <x:v>45366</x:v>
      </x:c>
      <x:c r="N172" s="28">
        <x:v>45780</x:v>
      </x:c>
      <x:c r="O172" s="14">
        <x:v>414</x:v>
      </x:c>
      <x:c r="P172" s="14" t="s">
        <x:v>120</x:v>
      </x:c>
      <x:c r="Q172" s="14" t="s">
        <x:v>103</x:v>
      </x:c>
      <x:c r="R172" s="14" t="s">
        <x:v>104</x:v>
      </x:c>
      <x:c r="S172" s="14" t="s">
        <x:v>108</x:v>
      </x:c>
      <x:c r="T172" s="14" t="str">
        <x:v>Region D</x:v>
      </x:c>
      <x:c r="U172" s="28">
        <x:v>45389</x:v>
      </x:c>
      <x:c r="V172" s="30">
        <x:v>13</x:v>
      </x:c>
      <x:c r="W172" s="14" t="s">
        <x:v>45</x:v>
      </x:c>
      <x:c r="X172" s="14" t="s">
        <x:v>106</x:v>
      </x:c>
      <x:c r="Y172" s="32" t="str">
        <x:v>TRN-0171|20240325</x:v>
      </x:c>
      <x:c r="Z172" s="32" t="str" cm="1">
        <x:f t="array" ref="Z17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172" s="33" t="n">
        <x:f>--OR(WorkforceData[[#This Row],[Status]]="Active",WorkforceData[[#This Row],[Promoted]]="Yes",WorkforceData[[#This Row],[Total Days Worked]]&gt;=121)</x:f>
        <x:v>1</x:v>
      </x:c>
      <x:c r="AB172" s="33" t="n">
        <x:f>IF(AND(Q172="Terminated",R172="",O172=0),1,0)</x:f>
        <x:v>0</x:v>
      </x:c>
      <x:c r="AC172" s="33" t="n">
        <x:f>--OR(WorkforceData[[#This Row],[Status]]="Resigned",WorkforceData[[#This Row],[Status After Training]]="Withdrew")</x:f>
        <x:v>1</x:v>
      </x:c>
      <x:c r="AD172" s="34" t="n">
        <x:f>EOMONTH(WorkforceData[[#This Row],[Training Date]],0)</x:f>
        <x:v>45382</x:v>
      </x:c>
      <x:c r="AE172" s="32" t="str">
        <x:f>IF(M172&lt;H172,"Existing Employee",IF(U172="","No Assignment",IF(V172=0,"0 Days",IF(V172&lt;=7,"1-7 Days",IF(V172&lt;=14,"8-14 Days",IF(V172&lt;=21,"15-21 Days","21+ Days"))))))</x:f>
        <x:v>Existing Employee</x:v>
      </x:c>
      <x:c r="AF17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72" s="33" t="n">
        <x:f>--(WorkforceData[[#This Row],[Total Days Worked]]&gt;=121)</x:f>
        <x:v>1</x:v>
      </x:c>
    </x:row>
    <x:row r="173">
      <x:c r="A173" s="236" t="str">
        <x:v>TRN-0172</x:v>
      </x:c>
      <x:c r="B173" s="243"/>
      <x:c r="C173" s="243"/>
      <x:c r="D173" s="243"/>
      <x:c r="E173" s="243"/>
      <x:c r="F173" s="14" t="str">
        <x:v>Recruiter D</x:v>
      </x:c>
      <x:c r="G173" s="14" t="str">
        <x:v>Training Center A</x:v>
      </x:c>
      <x:c r="H173" s="28">
        <x:v>45376</x:v>
      </x:c>
      <x:c r="I173" s="14">
        <x:v>2024</x:v>
      </x:c>
      <x:c r="J173" s="14" t="s">
        <x:v>130</x:v>
      </x:c>
      <x:c r="K173" s="14">
        <x:v>24</x:v>
      </x:c>
      <x:c r="L173" s="29" t="s">
        <x:v>101</x:v>
      </x:c>
      <x:c r="M173" s="28">
        <x:v>45375</x:v>
      </x:c>
      <x:c r="N173" s="14"/>
      <x:c r="O173" s="14">
        <x:v>876</x:v>
      </x:c>
      <x:c r="P173" s="14" t="s">
        <x:v>122</x:v>
      </x:c>
      <x:c r="Q173" s="14" t="s">
        <x:v>25</x:v>
      </x:c>
      <x:c r="R173" s="14"/>
      <x:c r="S173" s="14" t="s">
        <x:v>108</x:v>
      </x:c>
      <x:c r="T173" s="14" t="str">
        <x:v>Region A</x:v>
      </x:c>
      <x:c r="U173" s="28">
        <x:v>45397</x:v>
      </x:c>
      <x:c r="V173" s="30">
        <x:v>21</x:v>
      </x:c>
      <x:c r="W173" s="14" t="s">
        <x:v>112</x:v>
      </x:c>
      <x:c r="X173" s="14" t="s">
        <x:v>106</x:v>
      </x:c>
      <x:c r="Y173" s="32" t="str">
        <x:v>TRN-0172|20240325</x:v>
      </x:c>
      <x:c r="Z173" s="32" t="str" cm="1">
        <x:f t="array" ref="Z17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73" s="33" t="n">
        <x:f>--OR(WorkforceData[[#This Row],[Status]]="Active",WorkforceData[[#This Row],[Promoted]]="Yes",WorkforceData[[#This Row],[Total Days Worked]]&gt;=121)</x:f>
        <x:v>1</x:v>
      </x:c>
      <x:c r="AB173" s="33" t="n">
        <x:f>IF(AND(Q173="Terminated",R173="",O173=0),1,0)</x:f>
        <x:v>0</x:v>
      </x:c>
      <x:c r="AC173" s="33" t="n">
        <x:f>--OR(WorkforceData[[#This Row],[Status]]="Resigned",WorkforceData[[#This Row],[Status After Training]]="Withdrew")</x:f>
        <x:v>0</x:v>
      </x:c>
      <x:c r="AD173" s="34" t="n">
        <x:f>EOMONTH(WorkforceData[[#This Row],[Training Date]],0)</x:f>
        <x:v>45382</x:v>
      </x:c>
      <x:c r="AE173" s="32" t="str">
        <x:f>IF(M173&lt;H173,"Existing Employee",IF(U173="","No Assignment",IF(V173=0,"0 Days",IF(V173&lt;=7,"1-7 Days",IF(V173&lt;=14,"8-14 Days",IF(V173&lt;=21,"15-21 Days","21+ Days"))))))</x:f>
        <x:v>Existing Employee</x:v>
      </x:c>
      <x:c r="AF17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73" s="33" t="n">
        <x:f>--(WorkforceData[[#This Row],[Total Days Worked]]&gt;=121)</x:f>
        <x:v>1</x:v>
      </x:c>
    </x:row>
    <x:row r="174">
      <x:c r="A174" s="236" t="str">
        <x:v>TRN-0173</x:v>
      </x:c>
      <x:c r="B174" s="243"/>
      <x:c r="C174" s="243"/>
      <x:c r="D174" s="243"/>
      <x:c r="E174" s="243"/>
      <x:c r="F174" s="14" t="str">
        <x:v>Recruiter A</x:v>
      </x:c>
      <x:c r="G174" s="14" t="str">
        <x:v>Training Center A</x:v>
      </x:c>
      <x:c r="H174" s="28">
        <x:v>45376</x:v>
      </x:c>
      <x:c r="I174" s="14">
        <x:v>2024</x:v>
      </x:c>
      <x:c r="J174" s="14" t="s">
        <x:v>130</x:v>
      </x:c>
      <x:c r="K174" s="14">
        <x:v>24</x:v>
      </x:c>
      <x:c r="L174" s="29" t="s">
        <x:v>101</x:v>
      </x:c>
      <x:c r="M174" s="28">
        <x:v>45375</x:v>
      </x:c>
      <x:c r="N174" s="28">
        <x:v>45493</x:v>
      </x:c>
      <x:c r="O174" s="14">
        <x:v>118</x:v>
      </x:c>
      <x:c r="P174" s="14" t="s">
        <x:v>113</x:v>
      </x:c>
      <x:c r="Q174" s="14" t="s">
        <x:v>33</x:v>
      </x:c>
      <x:c r="R174" s="14" t="s">
        <x:v>116</x:v>
      </x:c>
      <x:c r="S174" s="14" t="s">
        <x:v>105</x:v>
      </x:c>
      <x:c r="T174" s="14" t="str">
        <x:v>Region A</x:v>
      </x:c>
      <x:c r="U174" s="28">
        <x:v>45377</x:v>
      </x:c>
      <x:c r="V174" s="30">
        <x:v>1</x:v>
      </x:c>
      <x:c r="W174" s="14" t="s">
        <x:v>109</x:v>
      </x:c>
      <x:c r="X174" s="14" t="s">
        <x:v>106</x:v>
      </x:c>
      <x:c r="Y174" s="32" t="str">
        <x:v>TRN-0173|20240325</x:v>
      </x:c>
      <x:c r="Z174" s="32" t="str" cm="1">
        <x:f t="array" ref="Z17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174" s="33" t="n">
        <x:f>--OR(WorkforceData[[#This Row],[Status]]="Active",WorkforceData[[#This Row],[Promoted]]="Yes",WorkforceData[[#This Row],[Total Days Worked]]&gt;=121)</x:f>
        <x:v>0</x:v>
      </x:c>
      <x:c r="AB174" s="33" t="n">
        <x:f>IF(AND(Q174="Terminated",R174="",O174=0),1,0)</x:f>
        <x:v>0</x:v>
      </x:c>
      <x:c r="AC174" s="33" t="n">
        <x:f>--OR(WorkforceData[[#This Row],[Status]]="Resigned",WorkforceData[[#This Row],[Status After Training]]="Withdrew")</x:f>
        <x:v>0</x:v>
      </x:c>
      <x:c r="AD174" s="34" t="n">
        <x:f>EOMONTH(WorkforceData[[#This Row],[Training Date]],0)</x:f>
        <x:v>45382</x:v>
      </x:c>
      <x:c r="AE174" s="32" t="str">
        <x:f>IF(M174&lt;H174,"Existing Employee",IF(U174="","No Assignment",IF(V174=0,"0 Days",IF(V174&lt;=7,"1-7 Days",IF(V174&lt;=14,"8-14 Days",IF(V174&lt;=21,"15-21 Days","21+ Days"))))))</x:f>
        <x:v>Existing Employee</x:v>
      </x:c>
      <x:c r="AF17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91-120 Days</x:v>
      </x:c>
      <x:c r="AG174" s="33" t="n">
        <x:f>--(WorkforceData[[#This Row],[Total Days Worked]]&gt;=121)</x:f>
        <x:v>0</x:v>
      </x:c>
    </x:row>
    <x:row r="175">
      <x:c r="A175" s="236" t="str">
        <x:v>TRN-0174</x:v>
      </x:c>
      <x:c r="B175" s="243"/>
      <x:c r="C175" s="243"/>
      <x:c r="D175" s="243"/>
      <x:c r="E175" s="243"/>
      <x:c r="F175" s="14" t="str">
        <x:v>Recruiter A</x:v>
      </x:c>
      <x:c r="G175" s="14" t="str">
        <x:v>Training Center A</x:v>
      </x:c>
      <x:c r="H175" s="28">
        <x:v>45376</x:v>
      </x:c>
      <x:c r="I175" s="14">
        <x:v>2024</x:v>
      </x:c>
      <x:c r="J175" s="14" t="s">
        <x:v>130</x:v>
      </x:c>
      <x:c r="K175" s="14">
        <x:v>24</x:v>
      </x:c>
      <x:c r="L175" s="29" t="s">
        <x:v>101</x:v>
      </x:c>
      <x:c r="M175" s="28">
        <x:v>45376</x:v>
      </x:c>
      <x:c r="N175" s="28">
        <x:v>45420</x:v>
      </x:c>
      <x:c r="O175" s="14">
        <x:v>44</x:v>
      </x:c>
      <x:c r="P175" s="14" t="s">
        <x:v>110</x:v>
      </x:c>
      <x:c r="Q175" s="14" t="s">
        <x:v>103</x:v>
      </x:c>
      <x:c r="R175" s="14" t="s">
        <x:v>123</x:v>
      </x:c>
      <x:c r="S175" s="14" t="s">
        <x:v>105</x:v>
      </x:c>
      <x:c r="T175" s="14" t="str">
        <x:v>Region B</x:v>
      </x:c>
      <x:c r="U175" s="28">
        <x:v>45380</x:v>
      </x:c>
      <x:c r="V175" s="30">
        <x:v>4</x:v>
      </x:c>
      <x:c r="W175" s="14" t="s">
        <x:v>109</x:v>
      </x:c>
      <x:c r="X175" s="14" t="s">
        <x:v>106</x:v>
      </x:c>
      <x:c r="Y175" s="32" t="str">
        <x:v>TRN-0174|20240325</x:v>
      </x:c>
      <x:c r="Z175" s="32" t="str" cm="1">
        <x:f t="array" ref="Z17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175" s="33" t="n">
        <x:f>--OR(WorkforceData[[#This Row],[Status]]="Active",WorkforceData[[#This Row],[Promoted]]="Yes",WorkforceData[[#This Row],[Total Days Worked]]&gt;=121)</x:f>
        <x:v>0</x:v>
      </x:c>
      <x:c r="AB175" s="33" t="n">
        <x:f>IF(AND(Q175="Terminated",R175="",O175=0),1,0)</x:f>
        <x:v>0</x:v>
      </x:c>
      <x:c r="AC175" s="33" t="n">
        <x:f>--OR(WorkforceData[[#This Row],[Status]]="Resigned",WorkforceData[[#This Row],[Status After Training]]="Withdrew")</x:f>
        <x:v>1</x:v>
      </x:c>
      <x:c r="AD175" s="34" t="n">
        <x:f>EOMONTH(WorkforceData[[#This Row],[Training Date]],0)</x:f>
        <x:v>45382</x:v>
      </x:c>
      <x:c r="AE175" s="32" t="str">
        <x:f>IF(M175&lt;H175,"Existing Employee",IF(U175="","No Assignment",IF(V175=0,"0 Days",IF(V175&lt;=7,"1-7 Days",IF(V175&lt;=14,"8-14 Days",IF(V175&lt;=21,"15-21 Days","21+ Days"))))))</x:f>
        <x:v>1-7 Days</x:v>
      </x:c>
      <x:c r="AF17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175" s="33" t="n">
        <x:f>--(WorkforceData[[#This Row],[Total Days Worked]]&gt;=121)</x:f>
        <x:v>0</x:v>
      </x:c>
    </x:row>
    <x:row r="176">
      <x:c r="A176" s="236" t="str">
        <x:v>TRN-0175</x:v>
      </x:c>
      <x:c r="B176" s="243"/>
      <x:c r="C176" s="243"/>
      <x:c r="D176" s="243"/>
      <x:c r="E176" s="243"/>
      <x:c r="F176" s="14" t="str">
        <x:v>Recruiter G</x:v>
      </x:c>
      <x:c r="G176" s="14" t="str">
        <x:v>Training Center A</x:v>
      </x:c>
      <x:c r="H176" s="28">
        <x:v>45376</x:v>
      </x:c>
      <x:c r="I176" s="14">
        <x:v>2024</x:v>
      </x:c>
      <x:c r="J176" s="14" t="s">
        <x:v>130</x:v>
      </x:c>
      <x:c r="K176" s="14">
        <x:v>24</x:v>
      </x:c>
      <x:c r="L176" s="29" t="s">
        <x:v>101</x:v>
      </x:c>
      <x:c r="M176" s="28">
        <x:v>45374</x:v>
      </x:c>
      <x:c r="N176" s="14"/>
      <x:c r="O176" s="14">
        <x:v>877</x:v>
      </x:c>
      <x:c r="P176" s="14" t="s">
        <x:v>122</x:v>
      </x:c>
      <x:c r="Q176" s="14" t="s">
        <x:v>25</x:v>
      </x:c>
      <x:c r="R176" s="14"/>
      <x:c r="S176" s="14" t="s">
        <x:v>108</x:v>
      </x:c>
      <x:c r="T176" s="14" t="str">
        <x:v>Region A</x:v>
      </x:c>
      <x:c r="U176" s="28">
        <x:v>45378</x:v>
      </x:c>
      <x:c r="V176" s="30">
        <x:v>2</x:v>
      </x:c>
      <x:c r="W176" s="14" t="s">
        <x:v>109</x:v>
      </x:c>
      <x:c r="X176" s="14" t="s">
        <x:v>106</x:v>
      </x:c>
      <x:c r="Y176" s="32" t="str">
        <x:v>TRN-0175|20240325</x:v>
      </x:c>
      <x:c r="Z176" s="32" t="str" cm="1">
        <x:f t="array" ref="Z17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76" s="33" t="n">
        <x:f>--OR(WorkforceData[[#This Row],[Status]]="Active",WorkforceData[[#This Row],[Promoted]]="Yes",WorkforceData[[#This Row],[Total Days Worked]]&gt;=121)</x:f>
        <x:v>1</x:v>
      </x:c>
      <x:c r="AB176" s="33" t="n">
        <x:f>IF(AND(Q176="Terminated",R176="",O176=0),1,0)</x:f>
        <x:v>0</x:v>
      </x:c>
      <x:c r="AC176" s="33" t="n">
        <x:f>--OR(WorkforceData[[#This Row],[Status]]="Resigned",WorkforceData[[#This Row],[Status After Training]]="Withdrew")</x:f>
        <x:v>0</x:v>
      </x:c>
      <x:c r="AD176" s="34" t="n">
        <x:f>EOMONTH(WorkforceData[[#This Row],[Training Date]],0)</x:f>
        <x:v>45382</x:v>
      </x:c>
      <x:c r="AE176" s="32" t="str">
        <x:f>IF(M176&lt;H176,"Existing Employee",IF(U176="","No Assignment",IF(V176=0,"0 Days",IF(V176&lt;=7,"1-7 Days",IF(V176&lt;=14,"8-14 Days",IF(V176&lt;=21,"15-21 Days","21+ Days"))))))</x:f>
        <x:v>Existing Employee</x:v>
      </x:c>
      <x:c r="AF17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76" s="33" t="n">
        <x:f>--(WorkforceData[[#This Row],[Total Days Worked]]&gt;=121)</x:f>
        <x:v>1</x:v>
      </x:c>
    </x:row>
    <x:row r="177">
      <x:c r="A177" s="236" t="str">
        <x:v>TRN-0176</x:v>
      </x:c>
      <x:c r="B177" s="243"/>
      <x:c r="C177" s="243"/>
      <x:c r="D177" s="243"/>
      <x:c r="E177" s="243"/>
      <x:c r="F177" s="14" t="str">
        <x:v>Recruiter F</x:v>
      </x:c>
      <x:c r="G177" s="14" t="str">
        <x:v>Training Center B</x:v>
      </x:c>
      <x:c r="H177" s="28">
        <x:v>45627</x:v>
      </x:c>
      <x:c r="I177" s="14">
        <x:v>2024</x:v>
      </x:c>
      <x:c r="J177" s="14" t="s">
        <x:v>131</x:v>
      </x:c>
      <x:c r="K177" s="14">
        <x:v>21</x:v>
      </x:c>
      <x:c r="L177" s="29" t="s">
        <x:v>101</x:v>
      </x:c>
      <x:c r="M177" s="28">
        <x:v>45622</x:v>
      </x:c>
      <x:c r="N177" s="28">
        <x:v>45801</x:v>
      </x:c>
      <x:c r="O177" s="14">
        <x:v>179</x:v>
      </x:c>
      <x:c r="P177" s="14" t="s">
        <x:v>113</x:v>
      </x:c>
      <x:c r="Q177" s="14" t="s">
        <x:v>103</x:v>
      </x:c>
      <x:c r="R177" s="14" t="s">
        <x:v>111</x:v>
      </x:c>
      <x:c r="S177" s="14" t="s">
        <x:v>105</x:v>
      </x:c>
      <x:c r="T177" s="14" t="str">
        <x:v>Region B</x:v>
      </x:c>
      <x:c r="U177" s="28">
        <x:v>45682</x:v>
      </x:c>
      <x:c r="V177" s="30">
        <x:v>55</x:v>
      </x:c>
      <x:c r="W177" s="14" t="s">
        <x:v>63</x:v>
      </x:c>
      <x:c r="X177" s="14" t="s">
        <x:v>117</x:v>
      </x:c>
      <x:c r="Y177" s="32" t="str">
        <x:v>TRN-0176|20241201</x:v>
      </x:c>
      <x:c r="Z177" s="32" t="str" cm="1">
        <x:f t="array" ref="Z17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Complete</x:v>
      </x:c>
      <x:c r="AA177" s="33" t="n">
        <x:f>--OR(WorkforceData[[#This Row],[Status]]="Active",WorkforceData[[#This Row],[Promoted]]="Yes",WorkforceData[[#This Row],[Total Days Worked]]&gt;=121)</x:f>
        <x:v>1</x:v>
      </x:c>
      <x:c r="AB177" s="33" t="n">
        <x:f>IF(AND(Q177="Terminated",R177="",O177=0),1,0)</x:f>
        <x:v>0</x:v>
      </x:c>
      <x:c r="AC177" s="33" t="n">
        <x:f>--OR(WorkforceData[[#This Row],[Status]]="Resigned",WorkforceData[[#This Row],[Status After Training]]="Withdrew")</x:f>
        <x:v>1</x:v>
      </x:c>
      <x:c r="AD177" s="34" t="n">
        <x:f>EOMONTH(WorkforceData[[#This Row],[Training Date]],0)</x:f>
        <x:v>45657</x:v>
      </x:c>
      <x:c r="AE177" s="32" t="str">
        <x:f>IF(M177&lt;H177,"Existing Employee",IF(U177="","No Assignment",IF(V177=0,"0 Days",IF(V177&lt;=7,"1-7 Days",IF(V177&lt;=14,"8-14 Days",IF(V177&lt;=21,"15-21 Days","21+ Days"))))))</x:f>
        <x:v>Existing Employee</x:v>
      </x:c>
      <x:c r="AF17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77" s="33" t="n">
        <x:f>--(WorkforceData[[#This Row],[Total Days Worked]]&gt;=121)</x:f>
        <x:v>1</x:v>
      </x:c>
    </x:row>
    <x:row r="178">
      <x:c r="A178" s="236" t="str">
        <x:v>TRN-0177</x:v>
      </x:c>
      <x:c r="B178" s="243"/>
      <x:c r="C178" s="243"/>
      <x:c r="D178" s="243"/>
      <x:c r="E178" s="243"/>
      <x:c r="F178" s="14" t="str">
        <x:v>Recruiter G</x:v>
      </x:c>
      <x:c r="G178" s="14" t="str">
        <x:v>Training Center B</x:v>
      </x:c>
      <x:c r="H178" s="28">
        <x:v>45627</x:v>
      </x:c>
      <x:c r="I178" s="14">
        <x:v>2024</x:v>
      </x:c>
      <x:c r="J178" s="14" t="s">
        <x:v>131</x:v>
      </x:c>
      <x:c r="K178" s="14">
        <x:v>21</x:v>
      </x:c>
      <x:c r="L178" s="29" t="s">
        <x:v>101</x:v>
      </x:c>
      <x:c r="M178" s="28">
        <x:v>45622</x:v>
      </x:c>
      <x:c r="N178" s="28">
        <x:v>45822</x:v>
      </x:c>
      <x:c r="O178" s="14">
        <x:v>200</x:v>
      </x:c>
      <x:c r="P178" s="14" t="s">
        <x:v>107</x:v>
      </x:c>
      <x:c r="Q178" s="14" t="s">
        <x:v>33</x:v>
      </x:c>
      <x:c r="R178" s="14" t="s">
        <x:v>124</x:v>
      </x:c>
      <x:c r="S178" s="14" t="s">
        <x:v>108</x:v>
      </x:c>
      <x:c r="T178" s="14" t="str">
        <x:v>Region B</x:v>
      </x:c>
      <x:c r="U178" s="28">
        <x:v>45629</x:v>
      </x:c>
      <x:c r="V178" s="30">
        <x:v>2</x:v>
      </x:c>
      <x:c r="W178" s="14" t="s">
        <x:v>109</x:v>
      </x:c>
      <x:c r="X178" s="14" t="s">
        <x:v>106</x:v>
      </x:c>
      <x:c r="Y178" s="32" t="str">
        <x:v>TRN-0177|20241201</x:v>
      </x:c>
      <x:c r="Z178" s="32" t="str" cm="1">
        <x:f t="array" ref="Z17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178" s="33" t="n">
        <x:f>--OR(WorkforceData[[#This Row],[Status]]="Active",WorkforceData[[#This Row],[Promoted]]="Yes",WorkforceData[[#This Row],[Total Days Worked]]&gt;=121)</x:f>
        <x:v>1</x:v>
      </x:c>
      <x:c r="AB178" s="33" t="n">
        <x:f>IF(AND(Q178="Terminated",R178="",O178=0),1,0)</x:f>
        <x:v>0</x:v>
      </x:c>
      <x:c r="AC178" s="33" t="n">
        <x:f>--OR(WorkforceData[[#This Row],[Status]]="Resigned",WorkforceData[[#This Row],[Status After Training]]="Withdrew")</x:f>
        <x:v>0</x:v>
      </x:c>
      <x:c r="AD178" s="34" t="n">
        <x:f>EOMONTH(WorkforceData[[#This Row],[Training Date]],0)</x:f>
        <x:v>45657</x:v>
      </x:c>
      <x:c r="AE178" s="32" t="str">
        <x:f>IF(M178&lt;H178,"Existing Employee",IF(U178="","No Assignment",IF(V178=0,"0 Days",IF(V178&lt;=7,"1-7 Days",IF(V178&lt;=14,"8-14 Days",IF(V178&lt;=21,"15-21 Days","21+ Days"))))))</x:f>
        <x:v>Existing Employee</x:v>
      </x:c>
      <x:c r="AF17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78" s="33" t="n">
        <x:f>--(WorkforceData[[#This Row],[Total Days Worked]]&gt;=121)</x:f>
        <x:v>1</x:v>
      </x:c>
    </x:row>
    <x:row r="179">
      <x:c r="A179" s="236" t="str">
        <x:v>TRN-0178</x:v>
      </x:c>
      <x:c r="B179" s="243"/>
      <x:c r="C179" s="243"/>
      <x:c r="D179" s="243"/>
      <x:c r="E179" s="243"/>
      <x:c r="F179" s="14" t="str">
        <x:v>Recruiter A</x:v>
      </x:c>
      <x:c r="G179" s="14" t="str">
        <x:v>Training Center B</x:v>
      </x:c>
      <x:c r="H179" s="28">
        <x:v>45627</x:v>
      </x:c>
      <x:c r="I179" s="14">
        <x:v>2024</x:v>
      </x:c>
      <x:c r="J179" s="14" t="s">
        <x:v>131</x:v>
      </x:c>
      <x:c r="K179" s="14">
        <x:v>21</x:v>
      </x:c>
      <x:c r="L179" s="29" t="s">
        <x:v>101</x:v>
      </x:c>
      <x:c r="M179" s="28">
        <x:v>45625</x:v>
      </x:c>
      <x:c r="N179" s="14"/>
      <x:c r="O179" s="14">
        <x:v>626</x:v>
      </x:c>
      <x:c r="P179" s="14" t="s">
        <x:v>120</x:v>
      </x:c>
      <x:c r="Q179" s="14" t="s">
        <x:v>25</x:v>
      </x:c>
      <x:c r="R179" s="14"/>
      <x:c r="S179" s="14" t="s">
        <x:v>108</x:v>
      </x:c>
      <x:c r="T179" s="14" t="str">
        <x:v>Region B</x:v>
      </x:c>
      <x:c r="U179" s="28">
        <x:v>45627</x:v>
      </x:c>
      <x:c r="V179" s="30">
        <x:v>0</x:v>
      </x:c>
      <x:c r="W179" s="14" t="s">
        <x:v>109</x:v>
      </x:c>
      <x:c r="X179" s="14" t="s">
        <x:v>106</x:v>
      </x:c>
      <x:c r="Y179" s="32" t="str">
        <x:v>TRN-0178|20241201</x:v>
      </x:c>
      <x:c r="Z179" s="32" t="str" cm="1">
        <x:f t="array" ref="Z17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79" s="33" t="n">
        <x:f>--OR(WorkforceData[[#This Row],[Status]]="Active",WorkforceData[[#This Row],[Promoted]]="Yes",WorkforceData[[#This Row],[Total Days Worked]]&gt;=121)</x:f>
        <x:v>1</x:v>
      </x:c>
      <x:c r="AB179" s="33" t="n">
        <x:f>IF(AND(Q179="Terminated",R179="",O179=0),1,0)</x:f>
        <x:v>0</x:v>
      </x:c>
      <x:c r="AC179" s="33" t="n">
        <x:f>--OR(WorkforceData[[#This Row],[Status]]="Resigned",WorkforceData[[#This Row],[Status After Training]]="Withdrew")</x:f>
        <x:v>0</x:v>
      </x:c>
      <x:c r="AD179" s="34" t="n">
        <x:f>EOMONTH(WorkforceData[[#This Row],[Training Date]],0)</x:f>
        <x:v>45657</x:v>
      </x:c>
      <x:c r="AE179" s="32" t="str">
        <x:f>IF(M179&lt;H179,"Existing Employee",IF(U179="","No Assignment",IF(V179=0,"0 Days",IF(V179&lt;=7,"1-7 Days",IF(V179&lt;=14,"8-14 Days",IF(V179&lt;=21,"15-21 Days","21+ Days"))))))</x:f>
        <x:v>Existing Employee</x:v>
      </x:c>
      <x:c r="AF17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79" s="33" t="n">
        <x:f>--(WorkforceData[[#This Row],[Total Days Worked]]&gt;=121)</x:f>
        <x:v>1</x:v>
      </x:c>
    </x:row>
    <x:row r="180">
      <x:c r="A180" s="236" t="str">
        <x:v>TRN-0179</x:v>
      </x:c>
      <x:c r="B180" s="243"/>
      <x:c r="C180" s="243"/>
      <x:c r="D180" s="243"/>
      <x:c r="E180" s="243"/>
      <x:c r="F180" s="14" t="str">
        <x:v>Recruiter D</x:v>
      </x:c>
      <x:c r="G180" s="14" t="str">
        <x:v>Training Center B</x:v>
      </x:c>
      <x:c r="H180" s="28">
        <x:v>45627</x:v>
      </x:c>
      <x:c r="I180" s="14">
        <x:v>2024</x:v>
      </x:c>
      <x:c r="J180" s="14" t="s">
        <x:v>131</x:v>
      </x:c>
      <x:c r="K180" s="14">
        <x:v>21</x:v>
      </x:c>
      <x:c r="L180" s="29" t="s">
        <x:v>101</x:v>
      </x:c>
      <x:c r="M180" s="28">
        <x:v>45624</x:v>
      </x:c>
      <x:c r="N180" s="14"/>
      <x:c r="O180" s="14">
        <x:v>627</x:v>
      </x:c>
      <x:c r="P180" s="14" t="s">
        <x:v>120</x:v>
      </x:c>
      <x:c r="Q180" s="14" t="s">
        <x:v>38</x:v>
      </x:c>
      <x:c r="R180" s="14"/>
      <x:c r="S180" s="14" t="s">
        <x:v>108</x:v>
      </x:c>
      <x:c r="T180" s="14" t="str">
        <x:v>Region A</x:v>
      </x:c>
      <x:c r="U180" s="28">
        <x:v>45627</x:v>
      </x:c>
      <x:c r="V180" s="30">
        <x:v>0</x:v>
      </x:c>
      <x:c r="W180" s="14" t="s">
        <x:v>109</x:v>
      </x:c>
      <x:c r="X180" s="14" t="s">
        <x:v>106</x:v>
      </x:c>
      <x:c r="Y180" s="32" t="str">
        <x:v>TRN-0179|20241201</x:v>
      </x:c>
      <x:c r="Z180" s="32" t="str" cm="1">
        <x:f t="array" ref="Z18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80" s="33" t="n">
        <x:f>--OR(WorkforceData[[#This Row],[Status]]="Active",WorkforceData[[#This Row],[Promoted]]="Yes",WorkforceData[[#This Row],[Total Days Worked]]&gt;=121)</x:f>
        <x:v>1</x:v>
      </x:c>
      <x:c r="AB180" s="33" t="n">
        <x:f>IF(AND(Q180="Terminated",R180="",O180=0),1,0)</x:f>
        <x:v>0</x:v>
      </x:c>
      <x:c r="AC180" s="33" t="n">
        <x:f>--OR(WorkforceData[[#This Row],[Status]]="Resigned",WorkforceData[[#This Row],[Status After Training]]="Withdrew")</x:f>
        <x:v>0</x:v>
      </x:c>
      <x:c r="AD180" s="34" t="n">
        <x:f>EOMONTH(WorkforceData[[#This Row],[Training Date]],0)</x:f>
        <x:v>45657</x:v>
      </x:c>
      <x:c r="AE180" s="32" t="str">
        <x:f>IF(M180&lt;H180,"Existing Employee",IF(U180="","No Assignment",IF(V180=0,"0 Days",IF(V180&lt;=7,"1-7 Days",IF(V180&lt;=14,"8-14 Days",IF(V180&lt;=21,"15-21 Days","21+ Days"))))))</x:f>
        <x:v>Existing Employee</x:v>
      </x:c>
      <x:c r="AF18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80" s="33" t="n">
        <x:f>--(WorkforceData[[#This Row],[Total Days Worked]]&gt;=121)</x:f>
        <x:v>1</x:v>
      </x:c>
    </x:row>
    <x:row r="181">
      <x:c r="A181" s="236" t="str">
        <x:v>TRN-0180</x:v>
      </x:c>
      <x:c r="B181" s="243"/>
      <x:c r="C181" s="243"/>
      <x:c r="D181" s="243"/>
      <x:c r="E181" s="243"/>
      <x:c r="F181" s="14" t="str">
        <x:v>Recruiter G</x:v>
      </x:c>
      <x:c r="G181" s="14" t="str">
        <x:v>Training Center B</x:v>
      </x:c>
      <x:c r="H181" s="28">
        <x:v>45627</x:v>
      </x:c>
      <x:c r="I181" s="14">
        <x:v>2024</x:v>
      </x:c>
      <x:c r="J181" s="14" t="s">
        <x:v>131</x:v>
      </x:c>
      <x:c r="K181" s="14">
        <x:v>21</x:v>
      </x:c>
      <x:c r="L181" s="29" t="s">
        <x:v>101</x:v>
      </x:c>
      <x:c r="M181" s="28">
        <x:v>45626</x:v>
      </x:c>
      <x:c r="N181" s="14"/>
      <x:c r="O181" s="14">
        <x:v>625</x:v>
      </x:c>
      <x:c r="P181" s="14" t="s">
        <x:v>120</x:v>
      </x:c>
      <x:c r="Q181" s="14" t="s">
        <x:v>25</x:v>
      </x:c>
      <x:c r="R181" s="14"/>
      <x:c r="S181" s="14" t="s">
        <x:v>108</x:v>
      </x:c>
      <x:c r="T181" s="14" t="str">
        <x:v>Region B</x:v>
      </x:c>
      <x:c r="U181" s="28">
        <x:v>45631</x:v>
      </x:c>
      <x:c r="V181" s="30">
        <x:v>4</x:v>
      </x:c>
      <x:c r="W181" s="14" t="s">
        <x:v>109</x:v>
      </x:c>
      <x:c r="X181" s="14" t="s">
        <x:v>106</x:v>
      </x:c>
      <x:c r="Y181" s="32" t="str">
        <x:v>TRN-0180|20241201</x:v>
      </x:c>
      <x:c r="Z181" s="32" t="str" cm="1">
        <x:f t="array" ref="Z18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81" s="33" t="n">
        <x:f>--OR(WorkforceData[[#This Row],[Status]]="Active",WorkforceData[[#This Row],[Promoted]]="Yes",WorkforceData[[#This Row],[Total Days Worked]]&gt;=121)</x:f>
        <x:v>1</x:v>
      </x:c>
      <x:c r="AB181" s="33" t="n">
        <x:f>IF(AND(Q181="Terminated",R181="",O181=0),1,0)</x:f>
        <x:v>0</x:v>
      </x:c>
      <x:c r="AC181" s="33" t="n">
        <x:f>--OR(WorkforceData[[#This Row],[Status]]="Resigned",WorkforceData[[#This Row],[Status After Training]]="Withdrew")</x:f>
        <x:v>0</x:v>
      </x:c>
      <x:c r="AD181" s="34" t="n">
        <x:f>EOMONTH(WorkforceData[[#This Row],[Training Date]],0)</x:f>
        <x:v>45657</x:v>
      </x:c>
      <x:c r="AE181" s="32" t="str">
        <x:f>IF(M181&lt;H181,"Existing Employee",IF(U181="","No Assignment",IF(V181=0,"0 Days",IF(V181&lt;=7,"1-7 Days",IF(V181&lt;=14,"8-14 Days",IF(V181&lt;=21,"15-21 Days","21+ Days"))))))</x:f>
        <x:v>Existing Employee</x:v>
      </x:c>
      <x:c r="AF18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81" s="33" t="n">
        <x:f>--(WorkforceData[[#This Row],[Total Days Worked]]&gt;=121)</x:f>
        <x:v>1</x:v>
      </x:c>
    </x:row>
    <x:row r="182">
      <x:c r="A182" s="236" t="str">
        <x:v>TRN-0181</x:v>
      </x:c>
      <x:c r="B182" s="243"/>
      <x:c r="C182" s="243"/>
      <x:c r="D182" s="243"/>
      <x:c r="E182" s="243"/>
      <x:c r="F182" s="14" t="str">
        <x:v>Recruiter H</x:v>
      </x:c>
      <x:c r="G182" s="14" t="str">
        <x:v>Training Center B</x:v>
      </x:c>
      <x:c r="H182" s="28">
        <x:v>45627</x:v>
      </x:c>
      <x:c r="I182" s="14">
        <x:v>2024</x:v>
      </x:c>
      <x:c r="J182" s="14" t="s">
        <x:v>131</x:v>
      </x:c>
      <x:c r="K182" s="14">
        <x:v>21</x:v>
      </x:c>
      <x:c r="L182" s="29" t="s">
        <x:v>101</x:v>
      </x:c>
      <x:c r="M182" s="28">
        <x:v>45627</x:v>
      </x:c>
      <x:c r="N182" s="14"/>
      <x:c r="O182" s="14">
        <x:v>624</x:v>
      </x:c>
      <x:c r="P182" s="14" t="s">
        <x:v>120</x:v>
      </x:c>
      <x:c r="Q182" s="14" t="s">
        <x:v>25</x:v>
      </x:c>
      <x:c r="R182" s="14"/>
      <x:c r="S182" s="14" t="s">
        <x:v>108</x:v>
      </x:c>
      <x:c r="T182" s="14" t="str">
        <x:v>Region C</x:v>
      </x:c>
      <x:c r="U182" s="28">
        <x:v>45634</x:v>
      </x:c>
      <x:c r="V182" s="30">
        <x:v>7</x:v>
      </x:c>
      <x:c r="W182" s="14" t="s">
        <x:v>109</x:v>
      </x:c>
      <x:c r="X182" s="14" t="s">
        <x:v>106</x:v>
      </x:c>
      <x:c r="Y182" s="32" t="str">
        <x:v>TRN-0181|20241201</x:v>
      </x:c>
      <x:c r="Z182" s="32" t="str" cm="1">
        <x:f t="array" ref="Z18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82" s="33" t="n">
        <x:f>--OR(WorkforceData[[#This Row],[Status]]="Active",WorkforceData[[#This Row],[Promoted]]="Yes",WorkforceData[[#This Row],[Total Days Worked]]&gt;=121)</x:f>
        <x:v>1</x:v>
      </x:c>
      <x:c r="AB182" s="33" t="n">
        <x:f>IF(AND(Q182="Terminated",R182="",O182=0),1,0)</x:f>
        <x:v>0</x:v>
      </x:c>
      <x:c r="AC182" s="33" t="n">
        <x:f>--OR(WorkforceData[[#This Row],[Status]]="Resigned",WorkforceData[[#This Row],[Status After Training]]="Withdrew")</x:f>
        <x:v>0</x:v>
      </x:c>
      <x:c r="AD182" s="34" t="n">
        <x:f>EOMONTH(WorkforceData[[#This Row],[Training Date]],0)</x:f>
        <x:v>45657</x:v>
      </x:c>
      <x:c r="AE182" s="32" t="str">
        <x:f>IF(M182&lt;H182,"Existing Employee",IF(U182="","No Assignment",IF(V182=0,"0 Days",IF(V182&lt;=7,"1-7 Days",IF(V182&lt;=14,"8-14 Days",IF(V182&lt;=21,"15-21 Days","21+ Days"))))))</x:f>
        <x:v>1-7 Days</x:v>
      </x:c>
      <x:c r="AF18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82" s="33" t="n">
        <x:f>--(WorkforceData[[#This Row],[Total Days Worked]]&gt;=121)</x:f>
        <x:v>1</x:v>
      </x:c>
    </x:row>
    <x:row r="183">
      <x:c r="A183" s="236" t="str">
        <x:v>TRN-0182</x:v>
      </x:c>
      <x:c r="B183" s="243"/>
      <x:c r="C183" s="243"/>
      <x:c r="D183" s="243"/>
      <x:c r="E183" s="243"/>
      <x:c r="F183" s="14" t="str">
        <x:v>Recruiter C</x:v>
      </x:c>
      <x:c r="G183" s="14" t="str">
        <x:v>Training Center B</x:v>
      </x:c>
      <x:c r="H183" s="28">
        <x:v>45627</x:v>
      </x:c>
      <x:c r="I183" s="14">
        <x:v>2024</x:v>
      </x:c>
      <x:c r="J183" s="14" t="s">
        <x:v>131</x:v>
      </x:c>
      <x:c r="K183" s="14">
        <x:v>21</x:v>
      </x:c>
      <x:c r="L183" s="29" t="s">
        <x:v>101</x:v>
      </x:c>
      <x:c r="M183" s="28">
        <x:v>45627</x:v>
      </x:c>
      <x:c r="N183" s="28">
        <x:v>45882</x:v>
      </x:c>
      <x:c r="O183" s="14">
        <x:v>255</x:v>
      </x:c>
      <x:c r="P183" s="14" t="s">
        <x:v>107</x:v>
      </x:c>
      <x:c r="Q183" s="14" t="s">
        <x:v>103</x:v>
      </x:c>
      <x:c r="R183" s="14" t="s">
        <x:v>123</x:v>
      </x:c>
      <x:c r="S183" s="14" t="s">
        <x:v>108</x:v>
      </x:c>
      <x:c r="T183" s="14" t="str">
        <x:v>Region D</x:v>
      </x:c>
      <x:c r="U183" s="28">
        <x:v>45646</x:v>
      </x:c>
      <x:c r="V183" s="30">
        <x:v>19</x:v>
      </x:c>
      <x:c r="W183" s="14" t="s">
        <x:v>112</x:v>
      </x:c>
      <x:c r="X183" s="14" t="s">
        <x:v>106</x:v>
      </x:c>
      <x:c r="Y183" s="32" t="str">
        <x:v>TRN-0182|20241201</x:v>
      </x:c>
      <x:c r="Z183" s="32" t="str" cm="1">
        <x:f t="array" ref="Z18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183" s="33" t="n">
        <x:f>--OR(WorkforceData[[#This Row],[Status]]="Active",WorkforceData[[#This Row],[Promoted]]="Yes",WorkforceData[[#This Row],[Total Days Worked]]&gt;=121)</x:f>
        <x:v>1</x:v>
      </x:c>
      <x:c r="AB183" s="33" t="n">
        <x:f>IF(AND(Q183="Terminated",R183="",O183=0),1,0)</x:f>
        <x:v>0</x:v>
      </x:c>
      <x:c r="AC183" s="33" t="n">
        <x:f>--OR(WorkforceData[[#This Row],[Status]]="Resigned",WorkforceData[[#This Row],[Status After Training]]="Withdrew")</x:f>
        <x:v>1</x:v>
      </x:c>
      <x:c r="AD183" s="34" t="n">
        <x:f>EOMONTH(WorkforceData[[#This Row],[Training Date]],0)</x:f>
        <x:v>45657</x:v>
      </x:c>
      <x:c r="AE183" s="32" t="str">
        <x:f>IF(M183&lt;H183,"Existing Employee",IF(U183="","No Assignment",IF(V183=0,"0 Days",IF(V183&lt;=7,"1-7 Days",IF(V183&lt;=14,"8-14 Days",IF(V183&lt;=21,"15-21 Days","21+ Days"))))))</x:f>
        <x:v>15-21 Days</x:v>
      </x:c>
      <x:c r="AF18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83" s="33" t="n">
        <x:f>--(WorkforceData[[#This Row],[Total Days Worked]]&gt;=121)</x:f>
        <x:v>1</x:v>
      </x:c>
    </x:row>
    <x:row r="184">
      <x:c r="A184" s="236" t="str">
        <x:v>TRN-0183</x:v>
      </x:c>
      <x:c r="B184" s="243"/>
      <x:c r="C184" s="243"/>
      <x:c r="D184" s="243"/>
      <x:c r="E184" s="243"/>
      <x:c r="F184" s="14" t="str">
        <x:v>Recruiter E</x:v>
      </x:c>
      <x:c r="G184" s="14" t="str">
        <x:v>Training Center B</x:v>
      </x:c>
      <x:c r="H184" s="28">
        <x:v>45627</x:v>
      </x:c>
      <x:c r="I184" s="14">
        <x:v>2024</x:v>
      </x:c>
      <x:c r="J184" s="14" t="s">
        <x:v>131</x:v>
      </x:c>
      <x:c r="K184" s="14">
        <x:v>21</x:v>
      </x:c>
      <x:c r="L184" s="29" t="s">
        <x:v>101</x:v>
      </x:c>
      <x:c r="M184" s="28">
        <x:v>45620</x:v>
      </x:c>
      <x:c r="N184" s="14"/>
      <x:c r="O184" s="14">
        <x:v>631</x:v>
      </x:c>
      <x:c r="P184" s="14" t="s">
        <x:v>120</x:v>
      </x:c>
      <x:c r="Q184" s="14" t="s">
        <x:v>25</x:v>
      </x:c>
      <x:c r="R184" s="14"/>
      <x:c r="S184" s="14" t="s">
        <x:v>108</x:v>
      </x:c>
      <x:c r="T184" s="14" t="str">
        <x:v>Region A</x:v>
      </x:c>
      <x:c r="U184" s="28">
        <x:v>45638</x:v>
      </x:c>
      <x:c r="V184" s="30">
        <x:v>11</x:v>
      </x:c>
      <x:c r="W184" s="14" t="s">
        <x:v>45</x:v>
      </x:c>
      <x:c r="X184" s="14" t="s">
        <x:v>106</x:v>
      </x:c>
      <x:c r="Y184" s="32" t="str">
        <x:v>TRN-0183|20241201</x:v>
      </x:c>
      <x:c r="Z184" s="32" t="str" cm="1">
        <x:f t="array" ref="Z18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84" s="33" t="n">
        <x:f>--OR(WorkforceData[[#This Row],[Status]]="Active",WorkforceData[[#This Row],[Promoted]]="Yes",WorkforceData[[#This Row],[Total Days Worked]]&gt;=121)</x:f>
        <x:v>1</x:v>
      </x:c>
      <x:c r="AB184" s="33" t="n">
        <x:f>IF(AND(Q184="Terminated",R184="",O184=0),1,0)</x:f>
        <x:v>0</x:v>
      </x:c>
      <x:c r="AC184" s="33" t="n">
        <x:f>--OR(WorkforceData[[#This Row],[Status]]="Resigned",WorkforceData[[#This Row],[Status After Training]]="Withdrew")</x:f>
        <x:v>0</x:v>
      </x:c>
      <x:c r="AD184" s="34" t="n">
        <x:f>EOMONTH(WorkforceData[[#This Row],[Training Date]],0)</x:f>
        <x:v>45657</x:v>
      </x:c>
      <x:c r="AE184" s="32" t="str">
        <x:f>IF(M184&lt;H184,"Existing Employee",IF(U184="","No Assignment",IF(V184=0,"0 Days",IF(V184&lt;=7,"1-7 Days",IF(V184&lt;=14,"8-14 Days",IF(V184&lt;=21,"15-21 Days","21+ Days"))))))</x:f>
        <x:v>Existing Employee</x:v>
      </x:c>
      <x:c r="AF18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84" s="33" t="n">
        <x:f>--(WorkforceData[[#This Row],[Total Days Worked]]&gt;=121)</x:f>
        <x:v>1</x:v>
      </x:c>
    </x:row>
    <x:row r="185">
      <x:c r="A185" s="236" t="str">
        <x:v>TRN-0184</x:v>
      </x:c>
      <x:c r="B185" s="243"/>
      <x:c r="C185" s="243"/>
      <x:c r="D185" s="243"/>
      <x:c r="E185" s="243"/>
      <x:c r="F185" s="14" t="str">
        <x:v>Recruiter A</x:v>
      </x:c>
      <x:c r="G185" s="14" t="str">
        <x:v>Training Center B</x:v>
      </x:c>
      <x:c r="H185" s="28">
        <x:v>45627</x:v>
      </x:c>
      <x:c r="I185" s="14">
        <x:v>2024</x:v>
      </x:c>
      <x:c r="J185" s="14" t="s">
        <x:v>131</x:v>
      </x:c>
      <x:c r="K185" s="14">
        <x:v>21</x:v>
      </x:c>
      <x:c r="L185" s="29" t="s">
        <x:v>101</x:v>
      </x:c>
      <x:c r="M185" s="28">
        <x:v>45617</x:v>
      </x:c>
      <x:c r="N185" s="14"/>
      <x:c r="O185" s="14">
        <x:v>634</x:v>
      </x:c>
      <x:c r="P185" s="14" t="s">
        <x:v>120</x:v>
      </x:c>
      <x:c r="Q185" s="14" t="s">
        <x:v>38</x:v>
      </x:c>
      <x:c r="R185" s="14"/>
      <x:c r="S185" s="14" t="s">
        <x:v>105</x:v>
      </x:c>
      <x:c r="T185" s="14"/>
      <x:c r="U185" s="28"/>
      <x:c r="V185" s="30"/>
      <x:c r="W185" s="14"/>
      <x:c r="X185" s="14" t="s">
        <x:v>71</x:v>
      </x:c>
      <x:c r="Y185" s="32" t="str">
        <x:v>TRN-0184|20241201</x:v>
      </x:c>
      <x:c r="Z185" s="32" t="str" cm="1">
        <x:f t="array" ref="Z18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85" s="33" t="n">
        <x:f>--OR(WorkforceData[[#This Row],[Status]]="Active",WorkforceData[[#This Row],[Promoted]]="Yes",WorkforceData[[#This Row],[Total Days Worked]]&gt;=121)</x:f>
        <x:v>1</x:v>
      </x:c>
      <x:c r="AB185" s="33" t="n">
        <x:f>IF(AND(Q185="Terminated",R185="",O185=0),1,0)</x:f>
        <x:v>0</x:v>
      </x:c>
      <x:c r="AC185" s="33" t="n">
        <x:f>--OR(WorkforceData[[#This Row],[Status]]="Resigned",WorkforceData[[#This Row],[Status After Training]]="Withdrew")</x:f>
        <x:v>0</x:v>
      </x:c>
      <x:c r="AD185" s="34" t="n">
        <x:f>EOMONTH(WorkforceData[[#This Row],[Training Date]],0)</x:f>
        <x:v>45657</x:v>
      </x:c>
      <x:c r="AE185" s="32" t="str">
        <x:f>IF(M185&lt;H185,"Existing Employee",IF(U185="","No Assignment",IF(V185=0,"0 Days",IF(V185&lt;=7,"1-7 Days",IF(V185&lt;=14,"8-14 Days",IF(V185&lt;=21,"15-21 Days","21+ Days"))))))</x:f>
        <x:v>Existing Employee</x:v>
      </x:c>
      <x:c r="AF18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85" s="33" t="n">
        <x:f>--(WorkforceData[[#This Row],[Total Days Worked]]&gt;=121)</x:f>
        <x:v>1</x:v>
      </x:c>
    </x:row>
    <x:row r="186">
      <x:c r="A186" s="236" t="str">
        <x:v>TRN-0185</x:v>
      </x:c>
      <x:c r="B186" s="243"/>
      <x:c r="C186" s="243"/>
      <x:c r="D186" s="243"/>
      <x:c r="E186" s="243"/>
      <x:c r="F186" s="14" t="str">
        <x:v>Recruiter A</x:v>
      </x:c>
      <x:c r="G186" s="14" t="str">
        <x:v>Training Center B</x:v>
      </x:c>
      <x:c r="H186" s="28">
        <x:v>45627</x:v>
      </x:c>
      <x:c r="I186" s="14">
        <x:v>2024</x:v>
      </x:c>
      <x:c r="J186" s="14" t="s">
        <x:v>131</x:v>
      </x:c>
      <x:c r="K186" s="14">
        <x:v>21</x:v>
      </x:c>
      <x:c r="L186" s="29" t="s">
        <x:v>101</x:v>
      </x:c>
      <x:c r="M186" s="28">
        <x:v>45622</x:v>
      </x:c>
      <x:c r="N186" s="14"/>
      <x:c r="O186" s="14">
        <x:v>629</x:v>
      </x:c>
      <x:c r="P186" s="14" t="s">
        <x:v>120</x:v>
      </x:c>
      <x:c r="Q186" s="14" t="s">
        <x:v>25</x:v>
      </x:c>
      <x:c r="R186" s="14"/>
      <x:c r="S186" s="14" t="s">
        <x:v>108</x:v>
      </x:c>
      <x:c r="T186" s="14" t="str">
        <x:v>Region B</x:v>
      </x:c>
      <x:c r="U186" s="28">
        <x:v>45635</x:v>
      </x:c>
      <x:c r="V186" s="30">
        <x:v>8</x:v>
      </x:c>
      <x:c r="W186" s="14" t="s">
        <x:v>45</x:v>
      </x:c>
      <x:c r="X186" s="14" t="s">
        <x:v>106</x:v>
      </x:c>
      <x:c r="Y186" s="32" t="str">
        <x:v>TRN-0185|20241201</x:v>
      </x:c>
      <x:c r="Z186" s="32" t="str" cm="1">
        <x:f t="array" ref="Z18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86" s="33" t="n">
        <x:f>--OR(WorkforceData[[#This Row],[Status]]="Active",WorkforceData[[#This Row],[Promoted]]="Yes",WorkforceData[[#This Row],[Total Days Worked]]&gt;=121)</x:f>
        <x:v>1</x:v>
      </x:c>
      <x:c r="AB186" s="33" t="n">
        <x:f>IF(AND(Q186="Terminated",R186="",O186=0),1,0)</x:f>
        <x:v>0</x:v>
      </x:c>
      <x:c r="AC186" s="33" t="n">
        <x:f>--OR(WorkforceData[[#This Row],[Status]]="Resigned",WorkforceData[[#This Row],[Status After Training]]="Withdrew")</x:f>
        <x:v>0</x:v>
      </x:c>
      <x:c r="AD186" s="34" t="n">
        <x:f>EOMONTH(WorkforceData[[#This Row],[Training Date]],0)</x:f>
        <x:v>45657</x:v>
      </x:c>
      <x:c r="AE186" s="32" t="str">
        <x:f>IF(M186&lt;H186,"Existing Employee",IF(U186="","No Assignment",IF(V186=0,"0 Days",IF(V186&lt;=7,"1-7 Days",IF(V186&lt;=14,"8-14 Days",IF(V186&lt;=21,"15-21 Days","21+ Days"))))))</x:f>
        <x:v>Existing Employee</x:v>
      </x:c>
      <x:c r="AF18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86" s="33" t="n">
        <x:f>--(WorkforceData[[#This Row],[Total Days Worked]]&gt;=121)</x:f>
        <x:v>1</x:v>
      </x:c>
    </x:row>
    <x:row r="187">
      <x:c r="A187" s="236" t="str">
        <x:v>TRN-0186</x:v>
      </x:c>
      <x:c r="B187" s="243"/>
      <x:c r="C187" s="243"/>
      <x:c r="D187" s="243"/>
      <x:c r="E187" s="243"/>
      <x:c r="F187" s="14" t="str">
        <x:v>Recruiter H</x:v>
      </x:c>
      <x:c r="G187" s="14" t="str">
        <x:v>Training Center B</x:v>
      </x:c>
      <x:c r="H187" s="28">
        <x:v>45627</x:v>
      </x:c>
      <x:c r="I187" s="14">
        <x:v>2024</x:v>
      </x:c>
      <x:c r="J187" s="14" t="s">
        <x:v>131</x:v>
      </x:c>
      <x:c r="K187" s="14">
        <x:v>21</x:v>
      </x:c>
      <x:c r="L187" s="29" t="s">
        <x:v>101</x:v>
      </x:c>
      <x:c r="M187" s="28">
        <x:v>45627</x:v>
      </x:c>
      <x:c r="N187" s="28">
        <x:v>45712</x:v>
      </x:c>
      <x:c r="O187" s="14">
        <x:v>85</x:v>
      </x:c>
      <x:c r="P187" s="14" t="s">
        <x:v>110</x:v>
      </x:c>
      <x:c r="Q187" s="14" t="s">
        <x:v>103</x:v>
      </x:c>
      <x:c r="R187" s="14" t="s">
        <x:v>104</x:v>
      </x:c>
      <x:c r="S187" s="14" t="s">
        <x:v>105</x:v>
      </x:c>
      <x:c r="T187" s="14"/>
      <x:c r="U187" s="28"/>
      <x:c r="V187" s="30"/>
      <x:c r="W187" s="14"/>
      <x:c r="X187" s="14" t="s">
        <x:v>71</x:v>
      </x:c>
      <x:c r="Y187" s="32" t="str">
        <x:v>TRN-0186|20241201</x:v>
      </x:c>
      <x:c r="Z187" s="32" t="str" cm="1">
        <x:f t="array" ref="Z18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187" s="33" t="n">
        <x:f>--OR(WorkforceData[[#This Row],[Status]]="Active",WorkforceData[[#This Row],[Promoted]]="Yes",WorkforceData[[#This Row],[Total Days Worked]]&gt;=121)</x:f>
        <x:v>0</x:v>
      </x:c>
      <x:c r="AB187" s="33" t="n">
        <x:f>IF(AND(Q187="Terminated",R187="",O187=0),1,0)</x:f>
        <x:v>0</x:v>
      </x:c>
      <x:c r="AC187" s="33" t="n">
        <x:f>--OR(WorkforceData[[#This Row],[Status]]="Resigned",WorkforceData[[#This Row],[Status After Training]]="Withdrew")</x:f>
        <x:v>1</x:v>
      </x:c>
      <x:c r="AD187" s="34" t="n">
        <x:f>EOMONTH(WorkforceData[[#This Row],[Training Date]],0)</x:f>
        <x:v>45657</x:v>
      </x:c>
      <x:c r="AE187" s="32" t="str">
        <x:f>IF(M187&lt;H187,"Existing Employee",IF(U187="","No Assignment",IF(V187=0,"0 Days",IF(V187&lt;=7,"1-7 Days",IF(V187&lt;=14,"8-14 Days",IF(V187&lt;=21,"15-21 Days","21+ Days"))))))</x:f>
        <x:v>No Assignment</x:v>
      </x:c>
      <x:c r="AF18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61-90 Days</x:v>
      </x:c>
      <x:c r="AG187" s="33" t="n">
        <x:f>--(WorkforceData[[#This Row],[Total Days Worked]]&gt;=121)</x:f>
        <x:v>0</x:v>
      </x:c>
    </x:row>
    <x:row r="188">
      <x:c r="A188" s="236" t="str">
        <x:v>TRN-0187</x:v>
      </x:c>
      <x:c r="B188" s="243"/>
      <x:c r="C188" s="243"/>
      <x:c r="D188" s="243"/>
      <x:c r="E188" s="243"/>
      <x:c r="F188" s="14" t="str">
        <x:v>Recruiter A</x:v>
      </x:c>
      <x:c r="G188" s="14" t="str">
        <x:v>Training Center B</x:v>
      </x:c>
      <x:c r="H188" s="28">
        <x:v>45627</x:v>
      </x:c>
      <x:c r="I188" s="14">
        <x:v>2024</x:v>
      </x:c>
      <x:c r="J188" s="14" t="s">
        <x:v>131</x:v>
      </x:c>
      <x:c r="K188" s="14">
        <x:v>21</x:v>
      </x:c>
      <x:c r="L188" s="29" t="s">
        <x:v>101</x:v>
      </x:c>
      <x:c r="M188" s="28">
        <x:v>45617</x:v>
      </x:c>
      <x:c r="N188" s="28">
        <x:v>45653</x:v>
      </x:c>
      <x:c r="O188" s="14">
        <x:v>36</x:v>
      </x:c>
      <x:c r="P188" s="14" t="s">
        <x:v>110</x:v>
      </x:c>
      <x:c r="Q188" s="14" t="s">
        <x:v>103</x:v>
      </x:c>
      <x:c r="R188" s="14" t="s">
        <x:v>111</x:v>
      </x:c>
      <x:c r="S188" s="14" t="s">
        <x:v>105</x:v>
      </x:c>
      <x:c r="T188" s="14" t="str">
        <x:v>Region A</x:v>
      </x:c>
      <x:c r="U188" s="28">
        <x:v>45633</x:v>
      </x:c>
      <x:c r="V188" s="30">
        <x:v>6</x:v>
      </x:c>
      <x:c r="W188" s="14" t="s">
        <x:v>109</x:v>
      </x:c>
      <x:c r="X188" s="14" t="s">
        <x:v>106</x:v>
      </x:c>
      <x:c r="Y188" s="32" t="str">
        <x:v>TRN-0187|20241201</x:v>
      </x:c>
      <x:c r="Z188" s="32" t="str" cm="1">
        <x:f t="array" ref="Z18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188" s="33" t="n">
        <x:f>--OR(WorkforceData[[#This Row],[Status]]="Active",WorkforceData[[#This Row],[Promoted]]="Yes",WorkforceData[[#This Row],[Total Days Worked]]&gt;=121)</x:f>
        <x:v>0</x:v>
      </x:c>
      <x:c r="AB188" s="33" t="n">
        <x:f>IF(AND(Q188="Terminated",R188="",O188=0),1,0)</x:f>
        <x:v>0</x:v>
      </x:c>
      <x:c r="AC188" s="33" t="n">
        <x:f>--OR(WorkforceData[[#This Row],[Status]]="Resigned",WorkforceData[[#This Row],[Status After Training]]="Withdrew")</x:f>
        <x:v>1</x:v>
      </x:c>
      <x:c r="AD188" s="34" t="n">
        <x:f>EOMONTH(WorkforceData[[#This Row],[Training Date]],0)</x:f>
        <x:v>45657</x:v>
      </x:c>
      <x:c r="AE188" s="32" t="str">
        <x:f>IF(M188&lt;H188,"Existing Employee",IF(U188="","No Assignment",IF(V188=0,"0 Days",IF(V188&lt;=7,"1-7 Days",IF(V188&lt;=14,"8-14 Days",IF(V188&lt;=21,"15-21 Days","21+ Days"))))))</x:f>
        <x:v>Existing Employee</x:v>
      </x:c>
      <x:c r="AF18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188" s="33" t="n">
        <x:f>--(WorkforceData[[#This Row],[Total Days Worked]]&gt;=121)</x:f>
        <x:v>0</x:v>
      </x:c>
    </x:row>
    <x:row r="189">
      <x:c r="A189" s="236" t="str">
        <x:v>TRN-0188</x:v>
      </x:c>
      <x:c r="B189" s="243"/>
      <x:c r="C189" s="243"/>
      <x:c r="D189" s="243"/>
      <x:c r="E189" s="243"/>
      <x:c r="F189" s="14" t="str">
        <x:v>Recruiter G</x:v>
      </x:c>
      <x:c r="G189" s="14" t="str">
        <x:v>Training Center B</x:v>
      </x:c>
      <x:c r="H189" s="28">
        <x:v>45627</x:v>
      </x:c>
      <x:c r="I189" s="14">
        <x:v>2024</x:v>
      </x:c>
      <x:c r="J189" s="14" t="s">
        <x:v>131</x:v>
      </x:c>
      <x:c r="K189" s="14">
        <x:v>21</x:v>
      </x:c>
      <x:c r="L189" s="29" t="s">
        <x:v>101</x:v>
      </x:c>
      <x:c r="M189" s="28">
        <x:v>45627</x:v>
      </x:c>
      <x:c r="N189" s="28">
        <x:v>45707</x:v>
      </x:c>
      <x:c r="O189" s="14">
        <x:v>80</x:v>
      </x:c>
      <x:c r="P189" s="14" t="s">
        <x:v>110</x:v>
      </x:c>
      <x:c r="Q189" s="14" t="s">
        <x:v>103</x:v>
      </x:c>
      <x:c r="R189" s="14" t="s">
        <x:v>111</x:v>
      </x:c>
      <x:c r="S189" s="14" t="s">
        <x:v>105</x:v>
      </x:c>
      <x:c r="T189" s="14" t="str">
        <x:v>Region B</x:v>
      </x:c>
      <x:c r="U189" s="28">
        <x:v>45633</x:v>
      </x:c>
      <x:c r="V189" s="30">
        <x:v>6</x:v>
      </x:c>
      <x:c r="W189" s="14" t="s">
        <x:v>109</x:v>
      </x:c>
      <x:c r="X189" s="14" t="s">
        <x:v>106</x:v>
      </x:c>
      <x:c r="Y189" s="32" t="str">
        <x:v>TRN-0188|20241201</x:v>
      </x:c>
      <x:c r="Z189" s="32" t="str" cm="1">
        <x:f t="array" ref="Z18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189" s="33" t="n">
        <x:f>--OR(WorkforceData[[#This Row],[Status]]="Active",WorkforceData[[#This Row],[Promoted]]="Yes",WorkforceData[[#This Row],[Total Days Worked]]&gt;=121)</x:f>
        <x:v>0</x:v>
      </x:c>
      <x:c r="AB189" s="33" t="n">
        <x:f>IF(AND(Q189="Terminated",R189="",O189=0),1,0)</x:f>
        <x:v>0</x:v>
      </x:c>
      <x:c r="AC189" s="33" t="n">
        <x:f>--OR(WorkforceData[[#This Row],[Status]]="Resigned",WorkforceData[[#This Row],[Status After Training]]="Withdrew")</x:f>
        <x:v>1</x:v>
      </x:c>
      <x:c r="AD189" s="34" t="n">
        <x:f>EOMONTH(WorkforceData[[#This Row],[Training Date]],0)</x:f>
        <x:v>45657</x:v>
      </x:c>
      <x:c r="AE189" s="32" t="str">
        <x:f>IF(M189&lt;H189,"Existing Employee",IF(U189="","No Assignment",IF(V189=0,"0 Days",IF(V189&lt;=7,"1-7 Days",IF(V189&lt;=14,"8-14 Days",IF(V189&lt;=21,"15-21 Days","21+ Days"))))))</x:f>
        <x:v>1-7 Days</x:v>
      </x:c>
      <x:c r="AF18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61-90 Days</x:v>
      </x:c>
      <x:c r="AG189" s="33" t="n">
        <x:f>--(WorkforceData[[#This Row],[Total Days Worked]]&gt;=121)</x:f>
        <x:v>0</x:v>
      </x:c>
    </x:row>
    <x:row r="190">
      <x:c r="A190" s="236" t="str">
        <x:v>TRN-0189</x:v>
      </x:c>
      <x:c r="B190" s="243"/>
      <x:c r="C190" s="243"/>
      <x:c r="D190" s="243"/>
      <x:c r="E190" s="243"/>
      <x:c r="F190" s="14" t="str">
        <x:v>Recruiter B</x:v>
      </x:c>
      <x:c r="G190" s="14" t="str">
        <x:v>Training Center B</x:v>
      </x:c>
      <x:c r="H190" s="28">
        <x:v>45627</x:v>
      </x:c>
      <x:c r="I190" s="14">
        <x:v>2024</x:v>
      </x:c>
      <x:c r="J190" s="14" t="s">
        <x:v>131</x:v>
      </x:c>
      <x:c r="K190" s="14">
        <x:v>21</x:v>
      </x:c>
      <x:c r="L190" s="29" t="s">
        <x:v>101</x:v>
      </x:c>
      <x:c r="M190" s="28">
        <x:v>45622</x:v>
      </x:c>
      <x:c r="N190" s="14"/>
      <x:c r="O190" s="14">
        <x:v>629</x:v>
      </x:c>
      <x:c r="P190" s="14" t="s">
        <x:v>120</x:v>
      </x:c>
      <x:c r="Q190" s="14" t="s">
        <x:v>25</x:v>
      </x:c>
      <x:c r="R190" s="14"/>
      <x:c r="S190" s="14" t="s">
        <x:v>108</x:v>
      </x:c>
      <x:c r="T190" s="14" t="str">
        <x:v>Region A</x:v>
      </x:c>
      <x:c r="U190" s="28">
        <x:v>45635</x:v>
      </x:c>
      <x:c r="V190" s="30">
        <x:v>8</x:v>
      </x:c>
      <x:c r="W190" s="14" t="s">
        <x:v>45</x:v>
      </x:c>
      <x:c r="X190" s="14" t="s">
        <x:v>106</x:v>
      </x:c>
      <x:c r="Y190" s="32" t="str">
        <x:v>TRN-0189|20241201</x:v>
      </x:c>
      <x:c r="Z190" s="32" t="str" cm="1">
        <x:f t="array" ref="Z19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90" s="33" t="n">
        <x:f>--OR(WorkforceData[[#This Row],[Status]]="Active",WorkforceData[[#This Row],[Promoted]]="Yes",WorkforceData[[#This Row],[Total Days Worked]]&gt;=121)</x:f>
        <x:v>1</x:v>
      </x:c>
      <x:c r="AB190" s="33" t="n">
        <x:f>IF(AND(Q190="Terminated",R190="",O190=0),1,0)</x:f>
        <x:v>0</x:v>
      </x:c>
      <x:c r="AC190" s="33" t="n">
        <x:f>--OR(WorkforceData[[#This Row],[Status]]="Resigned",WorkforceData[[#This Row],[Status After Training]]="Withdrew")</x:f>
        <x:v>0</x:v>
      </x:c>
      <x:c r="AD190" s="34" t="n">
        <x:f>EOMONTH(WorkforceData[[#This Row],[Training Date]],0)</x:f>
        <x:v>45657</x:v>
      </x:c>
      <x:c r="AE190" s="32" t="str">
        <x:f>IF(M190&lt;H190,"Existing Employee",IF(U190="","No Assignment",IF(V190=0,"0 Days",IF(V190&lt;=7,"1-7 Days",IF(V190&lt;=14,"8-14 Days",IF(V190&lt;=21,"15-21 Days","21+ Days"))))))</x:f>
        <x:v>Existing Employee</x:v>
      </x:c>
      <x:c r="AF19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90" s="33" t="n">
        <x:f>--(WorkforceData[[#This Row],[Total Days Worked]]&gt;=121)</x:f>
        <x:v>1</x:v>
      </x:c>
    </x:row>
    <x:row r="191">
      <x:c r="A191" s="236" t="str">
        <x:v>TRN-0190</x:v>
      </x:c>
      <x:c r="B191" s="243"/>
      <x:c r="C191" s="243"/>
      <x:c r="D191" s="243"/>
      <x:c r="E191" s="243"/>
      <x:c r="F191" s="14" t="str">
        <x:v>Recruiter B</x:v>
      </x:c>
      <x:c r="G191" s="14" t="str">
        <x:v>Training Center B</x:v>
      </x:c>
      <x:c r="H191" s="28">
        <x:v>45627</x:v>
      </x:c>
      <x:c r="I191" s="14">
        <x:v>2024</x:v>
      </x:c>
      <x:c r="J191" s="14" t="s">
        <x:v>131</x:v>
      </x:c>
      <x:c r="K191" s="14">
        <x:v>21</x:v>
      </x:c>
      <x:c r="L191" s="29" t="s">
        <x:v>101</x:v>
      </x:c>
      <x:c r="M191" s="28">
        <x:v>45617</x:v>
      </x:c>
      <x:c r="N191" s="28">
        <x:v>45729</x:v>
      </x:c>
      <x:c r="O191" s="14">
        <x:v>112</x:v>
      </x:c>
      <x:c r="P191" s="14" t="s">
        <x:v>113</x:v>
      </x:c>
      <x:c r="Q191" s="14" t="s">
        <x:v>103</x:v>
      </x:c>
      <x:c r="R191" s="14" t="s">
        <x:v>111</x:v>
      </x:c>
      <x:c r="S191" s="14" t="s">
        <x:v>105</x:v>
      </x:c>
      <x:c r="T191" s="14" t="str">
        <x:v>Region D</x:v>
      </x:c>
      <x:c r="U191" s="28">
        <x:v>45630</x:v>
      </x:c>
      <x:c r="V191" s="30">
        <x:v>3</x:v>
      </x:c>
      <x:c r="W191" s="14" t="s">
        <x:v>109</x:v>
      </x:c>
      <x:c r="X191" s="14" t="s">
        <x:v>106</x:v>
      </x:c>
      <x:c r="Y191" s="32" t="str">
        <x:v>TRN-0190|20241201</x:v>
      </x:c>
      <x:c r="Z191" s="32" t="str" cm="1">
        <x:f t="array" ref="Z19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191" s="33" t="n">
        <x:f>--OR(WorkforceData[[#This Row],[Status]]="Active",WorkforceData[[#This Row],[Promoted]]="Yes",WorkforceData[[#This Row],[Total Days Worked]]&gt;=121)</x:f>
        <x:v>0</x:v>
      </x:c>
      <x:c r="AB191" s="33" t="n">
        <x:f>IF(AND(Q191="Terminated",R191="",O191=0),1,0)</x:f>
        <x:v>0</x:v>
      </x:c>
      <x:c r="AC191" s="33" t="n">
        <x:f>--OR(WorkforceData[[#This Row],[Status]]="Resigned",WorkforceData[[#This Row],[Status After Training]]="Withdrew")</x:f>
        <x:v>1</x:v>
      </x:c>
      <x:c r="AD191" s="34" t="n">
        <x:f>EOMONTH(WorkforceData[[#This Row],[Training Date]],0)</x:f>
        <x:v>45657</x:v>
      </x:c>
      <x:c r="AE191" s="32" t="str">
        <x:f>IF(M191&lt;H191,"Existing Employee",IF(U191="","No Assignment",IF(V191=0,"0 Days",IF(V191&lt;=7,"1-7 Days",IF(V191&lt;=14,"8-14 Days",IF(V191&lt;=21,"15-21 Days","21+ Days"))))))</x:f>
        <x:v>Existing Employee</x:v>
      </x:c>
      <x:c r="AF19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91-120 Days</x:v>
      </x:c>
      <x:c r="AG191" s="33" t="n">
        <x:f>--(WorkforceData[[#This Row],[Total Days Worked]]&gt;=121)</x:f>
        <x:v>0</x:v>
      </x:c>
    </x:row>
    <x:row r="192">
      <x:c r="A192" s="236" t="str">
        <x:v>TRN-0191</x:v>
      </x:c>
      <x:c r="B192" s="243"/>
      <x:c r="C192" s="243"/>
      <x:c r="D192" s="243"/>
      <x:c r="E192" s="243"/>
      <x:c r="F192" s="14" t="str">
        <x:v>Recruiter F</x:v>
      </x:c>
      <x:c r="G192" s="14" t="str">
        <x:v>Training Center B</x:v>
      </x:c>
      <x:c r="H192" s="28">
        <x:v>45627</x:v>
      </x:c>
      <x:c r="I192" s="14">
        <x:v>2024</x:v>
      </x:c>
      <x:c r="J192" s="14" t="s">
        <x:v>131</x:v>
      </x:c>
      <x:c r="K192" s="14">
        <x:v>21</x:v>
      </x:c>
      <x:c r="L192" s="29" t="s">
        <x:v>101</x:v>
      </x:c>
      <x:c r="M192" s="28">
        <x:v>45627</x:v>
      </x:c>
      <x:c r="N192" s="14"/>
      <x:c r="O192" s="14">
        <x:v>624</x:v>
      </x:c>
      <x:c r="P192" s="14" t="s">
        <x:v>120</x:v>
      </x:c>
      <x:c r="Q192" s="14" t="s">
        <x:v>25</x:v>
      </x:c>
      <x:c r="R192" s="14"/>
      <x:c r="S192" s="14" t="s">
        <x:v>108</x:v>
      </x:c>
      <x:c r="T192" s="14" t="str">
        <x:v>Region A</x:v>
      </x:c>
      <x:c r="U192" s="28">
        <x:v>45629</x:v>
      </x:c>
      <x:c r="V192" s="30">
        <x:v>2</x:v>
      </x:c>
      <x:c r="W192" s="14" t="s">
        <x:v>109</x:v>
      </x:c>
      <x:c r="X192" s="14" t="s">
        <x:v>106</x:v>
      </x:c>
      <x:c r="Y192" s="32" t="str">
        <x:v>TRN-0191|20241201</x:v>
      </x:c>
      <x:c r="Z192" s="32" t="str" cm="1">
        <x:f t="array" ref="Z19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92" s="33" t="n">
        <x:f>--OR(WorkforceData[[#This Row],[Status]]="Active",WorkforceData[[#This Row],[Promoted]]="Yes",WorkforceData[[#This Row],[Total Days Worked]]&gt;=121)</x:f>
        <x:v>1</x:v>
      </x:c>
      <x:c r="AB192" s="33" t="n">
        <x:f>IF(AND(Q192="Terminated",R192="",O192=0),1,0)</x:f>
        <x:v>0</x:v>
      </x:c>
      <x:c r="AC192" s="33" t="n">
        <x:f>--OR(WorkforceData[[#This Row],[Status]]="Resigned",WorkforceData[[#This Row],[Status After Training]]="Withdrew")</x:f>
        <x:v>0</x:v>
      </x:c>
      <x:c r="AD192" s="34" t="n">
        <x:f>EOMONTH(WorkforceData[[#This Row],[Training Date]],0)</x:f>
        <x:v>45657</x:v>
      </x:c>
      <x:c r="AE192" s="32" t="str">
        <x:f>IF(M192&lt;H192,"Existing Employee",IF(U192="","No Assignment",IF(V192=0,"0 Days",IF(V192&lt;=7,"1-7 Days",IF(V192&lt;=14,"8-14 Days",IF(V192&lt;=21,"15-21 Days","21+ Days"))))))</x:f>
        <x:v>1-7 Days</x:v>
      </x:c>
      <x:c r="AF19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92" s="33" t="n">
        <x:f>--(WorkforceData[[#This Row],[Total Days Worked]]&gt;=121)</x:f>
        <x:v>1</x:v>
      </x:c>
    </x:row>
    <x:row r="193">
      <x:c r="A193" s="236" t="str">
        <x:v>TRN-0192</x:v>
      </x:c>
      <x:c r="B193" s="243"/>
      <x:c r="C193" s="243"/>
      <x:c r="D193" s="243"/>
      <x:c r="E193" s="243"/>
      <x:c r="F193" s="14" t="str">
        <x:v>Recruiter F</x:v>
      </x:c>
      <x:c r="G193" s="14" t="str">
        <x:v>Training Center B</x:v>
      </x:c>
      <x:c r="H193" s="28">
        <x:v>45627</x:v>
      </x:c>
      <x:c r="I193" s="14">
        <x:v>2024</x:v>
      </x:c>
      <x:c r="J193" s="14" t="s">
        <x:v>131</x:v>
      </x:c>
      <x:c r="K193" s="14">
        <x:v>21</x:v>
      </x:c>
      <x:c r="L193" s="29" t="s">
        <x:v>101</x:v>
      </x:c>
      <x:c r="M193" s="28">
        <x:v>45622</x:v>
      </x:c>
      <x:c r="N193" s="28">
        <x:v>46178</x:v>
      </x:c>
      <x:c r="O193" s="14">
        <x:v>556</x:v>
      </x:c>
      <x:c r="P193" s="14" t="s">
        <x:v>120</x:v>
      </x:c>
      <x:c r="Q193" s="14" t="s">
        <x:v>103</x:v>
      </x:c>
      <x:c r="R193" s="14" t="s">
        <x:v>104</x:v>
      </x:c>
      <x:c r="S193" s="14" t="s">
        <x:v>108</x:v>
      </x:c>
      <x:c r="T193" s="14" t="str">
        <x:v>Region D</x:v>
      </x:c>
      <x:c r="U193" s="28">
        <x:v>45629</x:v>
      </x:c>
      <x:c r="V193" s="30">
        <x:v>2</x:v>
      </x:c>
      <x:c r="W193" s="14" t="s">
        <x:v>109</x:v>
      </x:c>
      <x:c r="X193" s="14" t="s">
        <x:v>106</x:v>
      </x:c>
      <x:c r="Y193" s="32" t="str">
        <x:v>TRN-0192|20241201</x:v>
      </x:c>
      <x:c r="Z193" s="32" t="str" cm="1">
        <x:f t="array" ref="Z19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193" s="33" t="n">
        <x:f>--OR(WorkforceData[[#This Row],[Status]]="Active",WorkforceData[[#This Row],[Promoted]]="Yes",WorkforceData[[#This Row],[Total Days Worked]]&gt;=121)</x:f>
        <x:v>1</x:v>
      </x:c>
      <x:c r="AB193" s="33" t="n">
        <x:f>IF(AND(Q193="Terminated",R193="",O193=0),1,0)</x:f>
        <x:v>0</x:v>
      </x:c>
      <x:c r="AC193" s="33" t="n">
        <x:f>--OR(WorkforceData[[#This Row],[Status]]="Resigned",WorkforceData[[#This Row],[Status After Training]]="Withdrew")</x:f>
        <x:v>1</x:v>
      </x:c>
      <x:c r="AD193" s="34" t="n">
        <x:f>EOMONTH(WorkforceData[[#This Row],[Training Date]],0)</x:f>
        <x:v>45657</x:v>
      </x:c>
      <x:c r="AE193" s="32" t="str">
        <x:f>IF(M193&lt;H193,"Existing Employee",IF(U193="","No Assignment",IF(V193=0,"0 Days",IF(V193&lt;=7,"1-7 Days",IF(V193&lt;=14,"8-14 Days",IF(V193&lt;=21,"15-21 Days","21+ Days"))))))</x:f>
        <x:v>Existing Employee</x:v>
      </x:c>
      <x:c r="AF19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93" s="33" t="n">
        <x:f>--(WorkforceData[[#This Row],[Total Days Worked]]&gt;=121)</x:f>
        <x:v>1</x:v>
      </x:c>
    </x:row>
    <x:row r="194">
      <x:c r="A194" s="236" t="str">
        <x:v>TRN-0193</x:v>
      </x:c>
      <x:c r="B194" s="243"/>
      <x:c r="C194" s="243"/>
      <x:c r="D194" s="243"/>
      <x:c r="E194" s="243"/>
      <x:c r="F194" s="14" t="str">
        <x:v>Recruiter F</x:v>
      </x:c>
      <x:c r="G194" s="14" t="str">
        <x:v>Training Center B</x:v>
      </x:c>
      <x:c r="H194" s="28">
        <x:v>45627</x:v>
      </x:c>
      <x:c r="I194" s="14">
        <x:v>2024</x:v>
      </x:c>
      <x:c r="J194" s="14" t="s">
        <x:v>131</x:v>
      </x:c>
      <x:c r="K194" s="14">
        <x:v>21</x:v>
      </x:c>
      <x:c r="L194" s="29" t="s">
        <x:v>101</x:v>
      </x:c>
      <x:c r="M194" s="28">
        <x:v>45627</x:v>
      </x:c>
      <x:c r="N194" s="14"/>
      <x:c r="O194" s="14">
        <x:v>624</x:v>
      </x:c>
      <x:c r="P194" s="14" t="s">
        <x:v>120</x:v>
      </x:c>
      <x:c r="Q194" s="14" t="s">
        <x:v>25</x:v>
      </x:c>
      <x:c r="R194" s="14"/>
      <x:c r="S194" s="14" t="s">
        <x:v>108</x:v>
      </x:c>
      <x:c r="T194" s="14" t="str">
        <x:v>Region D</x:v>
      </x:c>
      <x:c r="U194" s="28">
        <x:v>45638</x:v>
      </x:c>
      <x:c r="V194" s="30">
        <x:v>11</x:v>
      </x:c>
      <x:c r="W194" s="14" t="s">
        <x:v>45</x:v>
      </x:c>
      <x:c r="X194" s="14" t="s">
        <x:v>106</x:v>
      </x:c>
      <x:c r="Y194" s="32" t="str">
        <x:v>TRN-0193|20241201</x:v>
      </x:c>
      <x:c r="Z194" s="32" t="str" cm="1">
        <x:f t="array" ref="Z19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94" s="33" t="n">
        <x:f>--OR(WorkforceData[[#This Row],[Status]]="Active",WorkforceData[[#This Row],[Promoted]]="Yes",WorkforceData[[#This Row],[Total Days Worked]]&gt;=121)</x:f>
        <x:v>1</x:v>
      </x:c>
      <x:c r="AB194" s="33" t="n">
        <x:f>IF(AND(Q194="Terminated",R194="",O194=0),1,0)</x:f>
        <x:v>0</x:v>
      </x:c>
      <x:c r="AC194" s="33" t="n">
        <x:f>--OR(WorkforceData[[#This Row],[Status]]="Resigned",WorkforceData[[#This Row],[Status After Training]]="Withdrew")</x:f>
        <x:v>0</x:v>
      </x:c>
      <x:c r="AD194" s="34" t="n">
        <x:f>EOMONTH(WorkforceData[[#This Row],[Training Date]],0)</x:f>
        <x:v>45657</x:v>
      </x:c>
      <x:c r="AE194" s="32" t="str">
        <x:f>IF(M194&lt;H194,"Existing Employee",IF(U194="","No Assignment",IF(V194=0,"0 Days",IF(V194&lt;=7,"1-7 Days",IF(V194&lt;=14,"8-14 Days",IF(V194&lt;=21,"15-21 Days","21+ Days"))))))</x:f>
        <x:v>8-14 Days</x:v>
      </x:c>
      <x:c r="AF19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94" s="33" t="n">
        <x:f>--(WorkforceData[[#This Row],[Total Days Worked]]&gt;=121)</x:f>
        <x:v>1</x:v>
      </x:c>
    </x:row>
    <x:row r="195">
      <x:c r="A195" s="236" t="str">
        <x:v>TRN-0194</x:v>
      </x:c>
      <x:c r="B195" s="243"/>
      <x:c r="C195" s="243"/>
      <x:c r="D195" s="243"/>
      <x:c r="E195" s="243"/>
      <x:c r="F195" s="14" t="str">
        <x:v>Recruiter B</x:v>
      </x:c>
      <x:c r="G195" s="14" t="str">
        <x:v>Training Center B</x:v>
      </x:c>
      <x:c r="H195" s="28">
        <x:v>45627</x:v>
      </x:c>
      <x:c r="I195" s="14">
        <x:v>2024</x:v>
      </x:c>
      <x:c r="J195" s="14" t="s">
        <x:v>131</x:v>
      </x:c>
      <x:c r="K195" s="14">
        <x:v>21</x:v>
      </x:c>
      <x:c r="L195" s="29" t="s">
        <x:v>101</x:v>
      </x:c>
      <x:c r="M195" s="28">
        <x:v>45625</x:v>
      </x:c>
      <x:c r="N195" s="14"/>
      <x:c r="O195" s="14">
        <x:v>626</x:v>
      </x:c>
      <x:c r="P195" s="14" t="s">
        <x:v>120</x:v>
      </x:c>
      <x:c r="Q195" s="14" t="s">
        <x:v>25</x:v>
      </x:c>
      <x:c r="R195" s="14"/>
      <x:c r="S195" s="14" t="s">
        <x:v>108</x:v>
      </x:c>
      <x:c r="T195" s="14" t="str">
        <x:v>Region B</x:v>
      </x:c>
      <x:c r="U195" s="28">
        <x:v>45650</x:v>
      </x:c>
      <x:c r="V195" s="30">
        <x:v>23</x:v>
      </x:c>
      <x:c r="W195" s="14" t="s">
        <x:v>112</x:v>
      </x:c>
      <x:c r="X195" s="14" t="s">
        <x:v>106</x:v>
      </x:c>
      <x:c r="Y195" s="32" t="str">
        <x:v>TRN-0194|20241201</x:v>
      </x:c>
      <x:c r="Z195" s="32" t="str" cm="1">
        <x:f t="array" ref="Z19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95" s="33" t="n">
        <x:f>--OR(WorkforceData[[#This Row],[Status]]="Active",WorkforceData[[#This Row],[Promoted]]="Yes",WorkforceData[[#This Row],[Total Days Worked]]&gt;=121)</x:f>
        <x:v>1</x:v>
      </x:c>
      <x:c r="AB195" s="33" t="n">
        <x:f>IF(AND(Q195="Terminated",R195="",O195=0),1,0)</x:f>
        <x:v>0</x:v>
      </x:c>
      <x:c r="AC195" s="33" t="n">
        <x:f>--OR(WorkforceData[[#This Row],[Status]]="Resigned",WorkforceData[[#This Row],[Status After Training]]="Withdrew")</x:f>
        <x:v>0</x:v>
      </x:c>
      <x:c r="AD195" s="34" t="n">
        <x:f>EOMONTH(WorkforceData[[#This Row],[Training Date]],0)</x:f>
        <x:v>45657</x:v>
      </x:c>
      <x:c r="AE195" s="32" t="str">
        <x:f>IF(M195&lt;H195,"Existing Employee",IF(U195="","No Assignment",IF(V195=0,"0 Days",IF(V195&lt;=7,"1-7 Days",IF(V195&lt;=14,"8-14 Days",IF(V195&lt;=21,"15-21 Days","21+ Days"))))))</x:f>
        <x:v>Existing Employee</x:v>
      </x:c>
      <x:c r="AF19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95" s="33" t="n">
        <x:f>--(WorkforceData[[#This Row],[Total Days Worked]]&gt;=121)</x:f>
        <x:v>1</x:v>
      </x:c>
    </x:row>
    <x:row r="196">
      <x:c r="A196" s="236" t="str">
        <x:v>TRN-0195</x:v>
      </x:c>
      <x:c r="B196" s="243"/>
      <x:c r="C196" s="243"/>
      <x:c r="D196" s="243"/>
      <x:c r="E196" s="243"/>
      <x:c r="F196" s="14" t="str">
        <x:v>Recruiter F</x:v>
      </x:c>
      <x:c r="G196" s="14" t="str">
        <x:v>Training Center B</x:v>
      </x:c>
      <x:c r="H196" s="28">
        <x:v>45627</x:v>
      </x:c>
      <x:c r="I196" s="14">
        <x:v>2024</x:v>
      </x:c>
      <x:c r="J196" s="14" t="s">
        <x:v>131</x:v>
      </x:c>
      <x:c r="K196" s="14">
        <x:v>21</x:v>
      </x:c>
      <x:c r="L196" s="29" t="s">
        <x:v>101</x:v>
      </x:c>
      <x:c r="M196" s="28">
        <x:v>45627</x:v>
      </x:c>
      <x:c r="N196" s="28">
        <x:v>46251</x:v>
      </x:c>
      <x:c r="O196" s="14">
        <x:v>624</x:v>
      </x:c>
      <x:c r="P196" s="14" t="s">
        <x:v>120</x:v>
      </x:c>
      <x:c r="Q196" s="14" t="s">
        <x:v>103</x:v>
      </x:c>
      <x:c r="R196" s="14" t="s">
        <x:v>104</x:v>
      </x:c>
      <x:c r="S196" s="14" t="s">
        <x:v>108</x:v>
      </x:c>
      <x:c r="T196" s="14" t="str">
        <x:v>Region B</x:v>
      </x:c>
      <x:c r="U196" s="28">
        <x:v>45638</x:v>
      </x:c>
      <x:c r="V196" s="30">
        <x:v>11</x:v>
      </x:c>
      <x:c r="W196" s="14" t="s">
        <x:v>45</x:v>
      </x:c>
      <x:c r="X196" s="14" t="s">
        <x:v>106</x:v>
      </x:c>
      <x:c r="Y196" s="32" t="str">
        <x:v>TRN-0195|20241201</x:v>
      </x:c>
      <x:c r="Z196" s="32" t="str" cm="1">
        <x:f t="array" ref="Z19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196" s="33" t="n">
        <x:f>--OR(WorkforceData[[#This Row],[Status]]="Active",WorkforceData[[#This Row],[Promoted]]="Yes",WorkforceData[[#This Row],[Total Days Worked]]&gt;=121)</x:f>
        <x:v>1</x:v>
      </x:c>
      <x:c r="AB196" s="33" t="n">
        <x:f>IF(AND(Q196="Terminated",R196="",O196=0),1,0)</x:f>
        <x:v>0</x:v>
      </x:c>
      <x:c r="AC196" s="33" t="n">
        <x:f>--OR(WorkforceData[[#This Row],[Status]]="Resigned",WorkforceData[[#This Row],[Status After Training]]="Withdrew")</x:f>
        <x:v>1</x:v>
      </x:c>
      <x:c r="AD196" s="34" t="n">
        <x:f>EOMONTH(WorkforceData[[#This Row],[Training Date]],0)</x:f>
        <x:v>45657</x:v>
      </x:c>
      <x:c r="AE196" s="32" t="str">
        <x:f>IF(M196&lt;H196,"Existing Employee",IF(U196="","No Assignment",IF(V196=0,"0 Days",IF(V196&lt;=7,"1-7 Days",IF(V196&lt;=14,"8-14 Days",IF(V196&lt;=21,"15-21 Days","21+ Days"))))))</x:f>
        <x:v>8-14 Days</x:v>
      </x:c>
      <x:c r="AF19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96" s="33" t="n">
        <x:f>--(WorkforceData[[#This Row],[Total Days Worked]]&gt;=121)</x:f>
        <x:v>1</x:v>
      </x:c>
    </x:row>
    <x:row r="197">
      <x:c r="A197" s="236" t="str">
        <x:v>TRN-0196</x:v>
      </x:c>
      <x:c r="B197" s="243"/>
      <x:c r="C197" s="243"/>
      <x:c r="D197" s="243"/>
      <x:c r="E197" s="243"/>
      <x:c r="F197" s="14" t="str">
        <x:v>Recruiter A</x:v>
      </x:c>
      <x:c r="G197" s="14" t="str">
        <x:v>Training Center B</x:v>
      </x:c>
      <x:c r="H197" s="28">
        <x:v>45627</x:v>
      </x:c>
      <x:c r="I197" s="14">
        <x:v>2024</x:v>
      </x:c>
      <x:c r="J197" s="14" t="s">
        <x:v>131</x:v>
      </x:c>
      <x:c r="K197" s="14">
        <x:v>21</x:v>
      </x:c>
      <x:c r="L197" s="29" t="s">
        <x:v>101</x:v>
      </x:c>
      <x:c r="M197" s="28">
        <x:v>45627</x:v>
      </x:c>
      <x:c r="N197" s="14"/>
      <x:c r="O197" s="14">
        <x:v>624</x:v>
      </x:c>
      <x:c r="P197" s="14" t="s">
        <x:v>120</x:v>
      </x:c>
      <x:c r="Q197" s="14" t="s">
        <x:v>25</x:v>
      </x:c>
      <x:c r="R197" s="14"/>
      <x:c r="S197" s="14" t="s">
        <x:v>108</x:v>
      </x:c>
      <x:c r="T197" s="14" t="str">
        <x:v>Region B</x:v>
      </x:c>
      <x:c r="U197" s="28">
        <x:v>45628</x:v>
      </x:c>
      <x:c r="V197" s="30">
        <x:v>1</x:v>
      </x:c>
      <x:c r="W197" s="14" t="s">
        <x:v>109</x:v>
      </x:c>
      <x:c r="X197" s="14" t="s">
        <x:v>125</x:v>
      </x:c>
      <x:c r="Y197" s="32" t="str">
        <x:v>TRN-0196|20241201</x:v>
      </x:c>
      <x:c r="Z197" s="32" t="str" cm="1">
        <x:f t="array" ref="Z19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97" s="33" t="n">
        <x:f>--OR(WorkforceData[[#This Row],[Status]]="Active",WorkforceData[[#This Row],[Promoted]]="Yes",WorkforceData[[#This Row],[Total Days Worked]]&gt;=121)</x:f>
        <x:v>1</x:v>
      </x:c>
      <x:c r="AB197" s="33" t="n">
        <x:f>IF(AND(Q197="Terminated",R197="",O197=0),1,0)</x:f>
        <x:v>0</x:v>
      </x:c>
      <x:c r="AC197" s="33" t="n">
        <x:f>--OR(WorkforceData[[#This Row],[Status]]="Resigned",WorkforceData[[#This Row],[Status After Training]]="Withdrew")</x:f>
        <x:v>0</x:v>
      </x:c>
      <x:c r="AD197" s="34" t="n">
        <x:f>EOMONTH(WorkforceData[[#This Row],[Training Date]],0)</x:f>
        <x:v>45657</x:v>
      </x:c>
      <x:c r="AE197" s="32" t="str">
        <x:f>IF(M197&lt;H197,"Existing Employee",IF(U197="","No Assignment",IF(V197=0,"0 Days",IF(V197&lt;=7,"1-7 Days",IF(V197&lt;=14,"8-14 Days",IF(V197&lt;=21,"15-21 Days","21+ Days"))))))</x:f>
        <x:v>1-7 Days</x:v>
      </x:c>
      <x:c r="AF19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97" s="33" t="n">
        <x:f>--(WorkforceData[[#This Row],[Total Days Worked]]&gt;=121)</x:f>
        <x:v>1</x:v>
      </x:c>
    </x:row>
    <x:row r="198">
      <x:c r="A198" s="236" t="str">
        <x:v>TRN-0197</x:v>
      </x:c>
      <x:c r="B198" s="243"/>
      <x:c r="C198" s="243"/>
      <x:c r="D198" s="243"/>
      <x:c r="E198" s="243"/>
      <x:c r="F198" s="14" t="str">
        <x:v>Recruiter C</x:v>
      </x:c>
      <x:c r="G198" s="14" t="str">
        <x:v>Training Center A</x:v>
      </x:c>
      <x:c r="H198" s="28">
        <x:v>45460</x:v>
      </x:c>
      <x:c r="I198" s="14">
        <x:v>2024</x:v>
      </x:c>
      <x:c r="J198" s="14" t="s">
        <x:v>129</x:v>
      </x:c>
      <x:c r="K198" s="14">
        <x:v>5</x:v>
      </x:c>
      <x:c r="L198" s="29" t="s">
        <x:v>132</x:v>
      </x:c>
      <x:c r="M198" s="28">
        <x:v>45455</x:v>
      </x:c>
      <x:c r="N198" s="28">
        <x:v>45980</x:v>
      </x:c>
      <x:c r="O198" s="14">
        <x:v>525</x:v>
      </x:c>
      <x:c r="P198" s="14" t="s">
        <x:v>120</x:v>
      </x:c>
      <x:c r="Q198" s="14" t="s">
        <x:v>103</x:v>
      </x:c>
      <x:c r="R198" s="14" t="s">
        <x:v>104</x:v>
      </x:c>
      <x:c r="S198" s="14" t="s">
        <x:v>108</x:v>
      </x:c>
      <x:c r="T198" s="14" t="str">
        <x:v>Region D</x:v>
      </x:c>
      <x:c r="U198" s="28">
        <x:v>45483</x:v>
      </x:c>
      <x:c r="V198" s="30">
        <x:v>23</x:v>
      </x:c>
      <x:c r="W198" s="14" t="s">
        <x:v>112</x:v>
      </x:c>
      <x:c r="X198" s="14" t="s">
        <x:v>106</x:v>
      </x:c>
      <x:c r="Y198" s="32" t="str">
        <x:v>TRN-0197|20240617</x:v>
      </x:c>
      <x:c r="Z198" s="32" t="str" cm="1">
        <x:f t="array" ref="Z19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198" s="33" t="n">
        <x:f>--OR(WorkforceData[[#This Row],[Status]]="Active",WorkforceData[[#This Row],[Promoted]]="Yes",WorkforceData[[#This Row],[Total Days Worked]]&gt;=121)</x:f>
        <x:v>1</x:v>
      </x:c>
      <x:c r="AB198" s="33" t="n">
        <x:f>IF(AND(Q198="Terminated",R198="",O198=0),1,0)</x:f>
        <x:v>0</x:v>
      </x:c>
      <x:c r="AC198" s="33" t="n">
        <x:f>--OR(WorkforceData[[#This Row],[Status]]="Resigned",WorkforceData[[#This Row],[Status After Training]]="Withdrew")</x:f>
        <x:v>1</x:v>
      </x:c>
      <x:c r="AD198" s="34" t="n">
        <x:f>EOMONTH(WorkforceData[[#This Row],[Training Date]],0)</x:f>
        <x:v>45473</x:v>
      </x:c>
      <x:c r="AE198" s="32" t="str">
        <x:f>IF(M198&lt;H198,"Existing Employee",IF(U198="","No Assignment",IF(V198=0,"0 Days",IF(V198&lt;=7,"1-7 Days",IF(V198&lt;=14,"8-14 Days",IF(V198&lt;=21,"15-21 Days","21+ Days"))))))</x:f>
        <x:v>Existing Employee</x:v>
      </x:c>
      <x:c r="AF19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98" s="33" t="n">
        <x:f>--(WorkforceData[[#This Row],[Total Days Worked]]&gt;=121)</x:f>
        <x:v>1</x:v>
      </x:c>
    </x:row>
    <x:row r="199">
      <x:c r="A199" s="236" t="str">
        <x:v>TRN-0198</x:v>
      </x:c>
      <x:c r="B199" s="243"/>
      <x:c r="C199" s="243"/>
      <x:c r="D199" s="243"/>
      <x:c r="E199" s="243"/>
      <x:c r="F199" s="14" t="str">
        <x:v>Recruiter D</x:v>
      </x:c>
      <x:c r="G199" s="14" t="str">
        <x:v>Training Center A</x:v>
      </x:c>
      <x:c r="H199" s="28">
        <x:v>45460</x:v>
      </x:c>
      <x:c r="I199" s="14">
        <x:v>2024</x:v>
      </x:c>
      <x:c r="J199" s="14" t="s">
        <x:v>129</x:v>
      </x:c>
      <x:c r="K199" s="14">
        <x:v>5</x:v>
      </x:c>
      <x:c r="L199" s="29" t="s">
        <x:v>132</x:v>
      </x:c>
      <x:c r="M199" s="28">
        <x:v>45453</x:v>
      </x:c>
      <x:c r="N199" s="14"/>
      <x:c r="O199" s="14">
        <x:v>798</x:v>
      </x:c>
      <x:c r="P199" s="14" t="s">
        <x:v>122</x:v>
      </x:c>
      <x:c r="Q199" s="14" t="s">
        <x:v>25</x:v>
      </x:c>
      <x:c r="R199" s="14"/>
      <x:c r="S199" s="14" t="s">
        <x:v>108</x:v>
      </x:c>
      <x:c r="T199" s="14" t="str">
        <x:v>Region A</x:v>
      </x:c>
      <x:c r="U199" s="28">
        <x:v>45478</x:v>
      </x:c>
      <x:c r="V199" s="30">
        <x:v>18</x:v>
      </x:c>
      <x:c r="W199" s="14" t="s">
        <x:v>112</x:v>
      </x:c>
      <x:c r="X199" s="14" t="s">
        <x:v>125</x:v>
      </x:c>
      <x:c r="Y199" s="32" t="str">
        <x:v>TRN-0198|20240617</x:v>
      </x:c>
      <x:c r="Z199" s="32" t="str" cm="1">
        <x:f t="array" ref="Z19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99" s="33" t="n">
        <x:f>--OR(WorkforceData[[#This Row],[Status]]="Active",WorkforceData[[#This Row],[Promoted]]="Yes",WorkforceData[[#This Row],[Total Days Worked]]&gt;=121)</x:f>
        <x:v>1</x:v>
      </x:c>
      <x:c r="AB199" s="33" t="n">
        <x:f>IF(AND(Q199="Terminated",R199="",O199=0),1,0)</x:f>
        <x:v>0</x:v>
      </x:c>
      <x:c r="AC199" s="33" t="n">
        <x:f>--OR(WorkforceData[[#This Row],[Status]]="Resigned",WorkforceData[[#This Row],[Status After Training]]="Withdrew")</x:f>
        <x:v>0</x:v>
      </x:c>
      <x:c r="AD199" s="34" t="n">
        <x:f>EOMONTH(WorkforceData[[#This Row],[Training Date]],0)</x:f>
        <x:v>45473</x:v>
      </x:c>
      <x:c r="AE199" s="32" t="str">
        <x:f>IF(M199&lt;H199,"Existing Employee",IF(U199="","No Assignment",IF(V199=0,"0 Days",IF(V199&lt;=7,"1-7 Days",IF(V199&lt;=14,"8-14 Days",IF(V199&lt;=21,"15-21 Days","21+ Days"))))))</x:f>
        <x:v>Existing Employee</x:v>
      </x:c>
      <x:c r="AF19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99" s="33" t="n">
        <x:f>--(WorkforceData[[#This Row],[Total Days Worked]]&gt;=121)</x:f>
        <x:v>1</x:v>
      </x:c>
    </x:row>
    <x:row r="200">
      <x:c r="A200" s="236" t="str">
        <x:v>TRN-0199</x:v>
      </x:c>
      <x:c r="B200" s="243"/>
      <x:c r="C200" s="243"/>
      <x:c r="D200" s="243"/>
      <x:c r="E200" s="243"/>
      <x:c r="F200" s="14" t="str">
        <x:v>Recruiter F</x:v>
      </x:c>
      <x:c r="G200" s="14" t="str">
        <x:v>Training Center A</x:v>
      </x:c>
      <x:c r="H200" s="28">
        <x:v>45460</x:v>
      </x:c>
      <x:c r="I200" s="14">
        <x:v>2024</x:v>
      </x:c>
      <x:c r="J200" s="14" t="s">
        <x:v>129</x:v>
      </x:c>
      <x:c r="K200" s="14">
        <x:v>5</x:v>
      </x:c>
      <x:c r="L200" s="29" t="s">
        <x:v>132</x:v>
      </x:c>
      <x:c r="M200" s="28">
        <x:v>45453</x:v>
      </x:c>
      <x:c r="N200" s="14"/>
      <x:c r="O200" s="14">
        <x:v>798</x:v>
      </x:c>
      <x:c r="P200" s="14" t="s">
        <x:v>122</x:v>
      </x:c>
      <x:c r="Q200" s="14" t="s">
        <x:v>38</x:v>
      </x:c>
      <x:c r="R200" s="14"/>
      <x:c r="S200" s="14" t="s">
        <x:v>108</x:v>
      </x:c>
      <x:c r="T200" s="14" t="str">
        <x:v>Region B</x:v>
      </x:c>
      <x:c r="U200" s="28">
        <x:v>45462</x:v>
      </x:c>
      <x:c r="V200" s="30">
        <x:v>2</x:v>
      </x:c>
      <x:c r="W200" s="14" t="s">
        <x:v>109</x:v>
      </x:c>
      <x:c r="X200" s="14" t="s">
        <x:v>106</x:v>
      </x:c>
      <x:c r="Y200" s="32" t="str">
        <x:v>TRN-0199|20240617</x:v>
      </x:c>
      <x:c r="Z200" s="32" t="str" cm="1">
        <x:f t="array" ref="Z20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200" s="33" t="n">
        <x:f>--OR(WorkforceData[[#This Row],[Status]]="Active",WorkforceData[[#This Row],[Promoted]]="Yes",WorkforceData[[#This Row],[Total Days Worked]]&gt;=121)</x:f>
        <x:v>1</x:v>
      </x:c>
      <x:c r="AB200" s="33" t="n">
        <x:f>IF(AND(Q200="Terminated",R200="",O200=0),1,0)</x:f>
        <x:v>0</x:v>
      </x:c>
      <x:c r="AC200" s="33" t="n">
        <x:f>--OR(WorkforceData[[#This Row],[Status]]="Resigned",WorkforceData[[#This Row],[Status After Training]]="Withdrew")</x:f>
        <x:v>0</x:v>
      </x:c>
      <x:c r="AD200" s="34" t="n">
        <x:f>EOMONTH(WorkforceData[[#This Row],[Training Date]],0)</x:f>
        <x:v>45473</x:v>
      </x:c>
      <x:c r="AE200" s="32" t="str">
        <x:f>IF(M200&lt;H200,"Existing Employee",IF(U200="","No Assignment",IF(V200=0,"0 Days",IF(V200&lt;=7,"1-7 Days",IF(V200&lt;=14,"8-14 Days",IF(V200&lt;=21,"15-21 Days","21+ Days"))))))</x:f>
        <x:v>Existing Employee</x:v>
      </x:c>
      <x:c r="AF20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00" s="33" t="n">
        <x:f>--(WorkforceData[[#This Row],[Total Days Worked]]&gt;=121)</x:f>
        <x:v>1</x:v>
      </x:c>
    </x:row>
    <x:row r="201">
      <x:c r="A201" s="236" t="str">
        <x:v>TRN-0200</x:v>
      </x:c>
      <x:c r="B201" s="243"/>
      <x:c r="C201" s="243"/>
      <x:c r="D201" s="243"/>
      <x:c r="E201" s="243"/>
      <x:c r="F201" s="14" t="str">
        <x:v>Recruiter E</x:v>
      </x:c>
      <x:c r="G201" s="14" t="str">
        <x:v>Training Center A</x:v>
      </x:c>
      <x:c r="H201" s="28">
        <x:v>45460</x:v>
      </x:c>
      <x:c r="I201" s="14">
        <x:v>2024</x:v>
      </x:c>
      <x:c r="J201" s="14" t="s">
        <x:v>129</x:v>
      </x:c>
      <x:c r="K201" s="14">
        <x:v>5</x:v>
      </x:c>
      <x:c r="L201" s="29" t="s">
        <x:v>132</x:v>
      </x:c>
      <x:c r="M201" s="28">
        <x:v>45453</x:v>
      </x:c>
      <x:c r="N201" s="28">
        <x:v>45460</x:v>
      </x:c>
      <x:c r="O201" s="14">
        <x:v>7</x:v>
      </x:c>
      <x:c r="P201" s="14" t="s">
        <x:v>102</x:v>
      </x:c>
      <x:c r="Q201" s="14" t="s">
        <x:v>103</x:v>
      </x:c>
      <x:c r="R201" s="14" t="s">
        <x:v>104</x:v>
      </x:c>
      <x:c r="S201" s="14" t="s">
        <x:v>105</x:v>
      </x:c>
      <x:c r="T201" s="14" t="str">
        <x:v>Region D</x:v>
      </x:c>
      <x:c r="U201" s="28">
        <x:v>45460</x:v>
      </x:c>
      <x:c r="V201" s="30">
        <x:v>0</x:v>
      </x:c>
      <x:c r="W201" s="14" t="s">
        <x:v>109</x:v>
      </x:c>
      <x:c r="X201" s="14" t="s">
        <x:v>115</x:v>
      </x:c>
      <x:c r="Y201" s="32" t="str">
        <x:v>TRN-0200|20240617</x:v>
      </x:c>
      <x:c r="Z201" s="32" t="str" cm="1">
        <x:f t="array" ref="Z20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201" s="33" t="n">
        <x:f>--OR(WorkforceData[[#This Row],[Status]]="Active",WorkforceData[[#This Row],[Promoted]]="Yes",WorkforceData[[#This Row],[Total Days Worked]]&gt;=121)</x:f>
        <x:v>0</x:v>
      </x:c>
      <x:c r="AB201" s="33" t="n">
        <x:f>IF(AND(Q201="Terminated",R201="",O201=0),1,0)</x:f>
        <x:v>0</x:v>
      </x:c>
      <x:c r="AC201" s="33" t="n">
        <x:f>--OR(WorkforceData[[#This Row],[Status]]="Resigned",WorkforceData[[#This Row],[Status After Training]]="Withdrew")</x:f>
        <x:v>1</x:v>
      </x:c>
      <x:c r="AD201" s="34" t="n">
        <x:f>EOMONTH(WorkforceData[[#This Row],[Training Date]],0)</x:f>
        <x:v>45473</x:v>
      </x:c>
      <x:c r="AE201" s="32" t="str">
        <x:f>IF(M201&lt;H201,"Existing Employee",IF(U201="","No Assignment",IF(V201=0,"0 Days",IF(V201&lt;=7,"1-7 Days",IF(V201&lt;=14,"8-14 Days",IF(V201&lt;=21,"15-21 Days","21+ Days"))))))</x:f>
        <x:v>Existing Employee</x:v>
      </x:c>
      <x:c r="AF20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1-7 Days</x:v>
      </x:c>
      <x:c r="AG201" s="33" t="n">
        <x:f>--(WorkforceData[[#This Row],[Total Days Worked]]&gt;=121)</x:f>
        <x:v>0</x:v>
      </x:c>
    </x:row>
    <x:row r="202">
      <x:c r="A202" s="236" t="str">
        <x:v>TRN-0201</x:v>
      </x:c>
      <x:c r="B202" s="243"/>
      <x:c r="C202" s="243"/>
      <x:c r="D202" s="243"/>
      <x:c r="E202" s="243"/>
      <x:c r="F202" s="14" t="str">
        <x:v>Recruiter H</x:v>
      </x:c>
      <x:c r="G202" s="14" t="str">
        <x:v>Training Center A</x:v>
      </x:c>
      <x:c r="H202" s="28">
        <x:v>45460</x:v>
      </x:c>
      <x:c r="I202" s="14">
        <x:v>2024</x:v>
      </x:c>
      <x:c r="J202" s="14" t="s">
        <x:v>129</x:v>
      </x:c>
      <x:c r="K202" s="14">
        <x:v>5</x:v>
      </x:c>
      <x:c r="L202" s="29" t="s">
        <x:v>132</x:v>
      </x:c>
      <x:c r="M202" s="28">
        <x:v>45459</x:v>
      </x:c>
      <x:c r="N202" s="14"/>
      <x:c r="O202" s="14">
        <x:v>792</x:v>
      </x:c>
      <x:c r="P202" s="14" t="s">
        <x:v>122</x:v>
      </x:c>
      <x:c r="Q202" s="14" t="s">
        <x:v>25</x:v>
      </x:c>
      <x:c r="R202" s="14"/>
      <x:c r="S202" s="14" t="s">
        <x:v>108</x:v>
      </x:c>
      <x:c r="T202" s="14" t="str">
        <x:v>Region C</x:v>
      </x:c>
      <x:c r="U202" s="28">
        <x:v>45477</x:v>
      </x:c>
      <x:c r="V202" s="30">
        <x:v>17</x:v>
      </x:c>
      <x:c r="W202" s="14" t="s">
        <x:v>112</x:v>
      </x:c>
      <x:c r="X202" s="14" t="s">
        <x:v>106</x:v>
      </x:c>
      <x:c r="Y202" s="32" t="str">
        <x:v>TRN-0201|20240617</x:v>
      </x:c>
      <x:c r="Z202" s="32" t="str" cm="1">
        <x:f t="array" ref="Z20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202" s="33" t="n">
        <x:f>--OR(WorkforceData[[#This Row],[Status]]="Active",WorkforceData[[#This Row],[Promoted]]="Yes",WorkforceData[[#This Row],[Total Days Worked]]&gt;=121)</x:f>
        <x:v>1</x:v>
      </x:c>
      <x:c r="AB202" s="33" t="n">
        <x:f>IF(AND(Q202="Terminated",R202="",O202=0),1,0)</x:f>
        <x:v>0</x:v>
      </x:c>
      <x:c r="AC202" s="33" t="n">
        <x:f>--OR(WorkforceData[[#This Row],[Status]]="Resigned",WorkforceData[[#This Row],[Status After Training]]="Withdrew")</x:f>
        <x:v>0</x:v>
      </x:c>
      <x:c r="AD202" s="34" t="n">
        <x:f>EOMONTH(WorkforceData[[#This Row],[Training Date]],0)</x:f>
        <x:v>45473</x:v>
      </x:c>
      <x:c r="AE202" s="32" t="str">
        <x:f>IF(M202&lt;H202,"Existing Employee",IF(U202="","No Assignment",IF(V202=0,"0 Days",IF(V202&lt;=7,"1-7 Days",IF(V202&lt;=14,"8-14 Days",IF(V202&lt;=21,"15-21 Days","21+ Days"))))))</x:f>
        <x:v>Existing Employee</x:v>
      </x:c>
      <x:c r="AF20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02" s="33" t="n">
        <x:f>--(WorkforceData[[#This Row],[Total Days Worked]]&gt;=121)</x:f>
        <x:v>1</x:v>
      </x:c>
    </x:row>
    <x:row r="203">
      <x:c r="A203" s="236" t="str">
        <x:v>TRN-0202</x:v>
      </x:c>
      <x:c r="B203" s="243"/>
      <x:c r="C203" s="243"/>
      <x:c r="D203" s="243"/>
      <x:c r="E203" s="243"/>
      <x:c r="F203" s="14" t="str">
        <x:v>Recruiter D</x:v>
      </x:c>
      <x:c r="G203" s="14" t="str">
        <x:v>Training Center A</x:v>
      </x:c>
      <x:c r="H203" s="28">
        <x:v>45461</x:v>
      </x:c>
      <x:c r="I203" s="14">
        <x:v>2024</x:v>
      </x:c>
      <x:c r="J203" s="14" t="s">
        <x:v>129</x:v>
      </x:c>
      <x:c r="K203" s="14">
        <x:v>11</x:v>
      </x:c>
      <x:c r="L203" s="29" t="s">
        <x:v>119</x:v>
      </x:c>
      <x:c r="M203" s="28">
        <x:v>45459</x:v>
      </x:c>
      <x:c r="N203" s="28">
        <x:v>45659</x:v>
      </x:c>
      <x:c r="O203" s="14">
        <x:v>200</x:v>
      </x:c>
      <x:c r="P203" s="14" t="s">
        <x:v>107</x:v>
      </x:c>
      <x:c r="Q203" s="14" t="s">
        <x:v>103</x:v>
      </x:c>
      <x:c r="R203" s="14" t="s">
        <x:v>123</x:v>
      </x:c>
      <x:c r="S203" s="14" t="s">
        <x:v>108</x:v>
      </x:c>
      <x:c r="T203" s="14" t="str">
        <x:v>Region B</x:v>
      </x:c>
      <x:c r="U203" s="28">
        <x:v>45488</x:v>
      </x:c>
      <x:c r="V203" s="30">
        <x:v>27</x:v>
      </x:c>
      <x:c r="W203" s="14" t="s">
        <x:v>112</x:v>
      </x:c>
      <x:c r="X203" s="14" t="s">
        <x:v>106</x:v>
      </x:c>
      <x:c r="Y203" s="32" t="str">
        <x:v>TRN-0202|20240618</x:v>
      </x:c>
      <x:c r="Z203" s="32" t="str" cm="1">
        <x:f t="array" ref="Z20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203" s="33" t="n">
        <x:f>--OR(WorkforceData[[#This Row],[Status]]="Active",WorkforceData[[#This Row],[Promoted]]="Yes",WorkforceData[[#This Row],[Total Days Worked]]&gt;=121)</x:f>
        <x:v>1</x:v>
      </x:c>
      <x:c r="AB203" s="33" t="n">
        <x:f>IF(AND(Q203="Terminated",R203="",O203=0),1,0)</x:f>
        <x:v>0</x:v>
      </x:c>
      <x:c r="AC203" s="33" t="n">
        <x:f>--OR(WorkforceData[[#This Row],[Status]]="Resigned",WorkforceData[[#This Row],[Status After Training]]="Withdrew")</x:f>
        <x:v>1</x:v>
      </x:c>
      <x:c r="AD203" s="34" t="n">
        <x:f>EOMONTH(WorkforceData[[#This Row],[Training Date]],0)</x:f>
        <x:v>45473</x:v>
      </x:c>
      <x:c r="AE203" s="32" t="str">
        <x:f>IF(M203&lt;H203,"Existing Employee",IF(U203="","No Assignment",IF(V203=0,"0 Days",IF(V203&lt;=7,"1-7 Days",IF(V203&lt;=14,"8-14 Days",IF(V203&lt;=21,"15-21 Days","21+ Days"))))))</x:f>
        <x:v>Existing Employee</x:v>
      </x:c>
      <x:c r="AF20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03" s="33" t="n">
        <x:f>--(WorkforceData[[#This Row],[Total Days Worked]]&gt;=121)</x:f>
        <x:v>1</x:v>
      </x:c>
    </x:row>
    <x:row r="204">
      <x:c r="A204" s="236" t="str">
        <x:v>TRN-0203</x:v>
      </x:c>
      <x:c r="B204" s="243"/>
      <x:c r="C204" s="243"/>
      <x:c r="D204" s="243"/>
      <x:c r="E204" s="243"/>
      <x:c r="F204" s="14" t="str">
        <x:v>Recruiter A</x:v>
      </x:c>
      <x:c r="G204" s="14" t="str">
        <x:v>Training Center A</x:v>
      </x:c>
      <x:c r="H204" s="28">
        <x:v>45461</x:v>
      </x:c>
      <x:c r="I204" s="14">
        <x:v>2024</x:v>
      </x:c>
      <x:c r="J204" s="14" t="s">
        <x:v>129</x:v>
      </x:c>
      <x:c r="K204" s="14">
        <x:v>11</x:v>
      </x:c>
      <x:c r="L204" s="29" t="s">
        <x:v>119</x:v>
      </x:c>
      <x:c r="M204" s="28">
        <x:v>45458</x:v>
      </x:c>
      <x:c r="N204" s="28">
        <x:v>45548</x:v>
      </x:c>
      <x:c r="O204" s="14">
        <x:v>90</x:v>
      </x:c>
      <x:c r="P204" s="14" t="s">
        <x:v>110</x:v>
      </x:c>
      <x:c r="Q204" s="14" t="s">
        <x:v>103</x:v>
      </x:c>
      <x:c r="R204" s="14" t="s">
        <x:v>111</x:v>
      </x:c>
      <x:c r="S204" s="14" t="s">
        <x:v>105</x:v>
      </x:c>
      <x:c r="T204" s="14" t="str">
        <x:v>Region A</x:v>
      </x:c>
      <x:c r="U204" s="28">
        <x:v>45462</x:v>
      </x:c>
      <x:c r="V204" s="30">
        <x:v>1</x:v>
      </x:c>
      <x:c r="W204" s="14" t="s">
        <x:v>109</x:v>
      </x:c>
      <x:c r="X204" s="14" t="s">
        <x:v>106</x:v>
      </x:c>
      <x:c r="Y204" s="32" t="str">
        <x:v>TRN-0203|20240618</x:v>
      </x:c>
      <x:c r="Z204" s="32" t="str" cm="1">
        <x:f t="array" ref="Z20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204" s="33" t="n">
        <x:f>--OR(WorkforceData[[#This Row],[Status]]="Active",WorkforceData[[#This Row],[Promoted]]="Yes",WorkforceData[[#This Row],[Total Days Worked]]&gt;=121)</x:f>
        <x:v>0</x:v>
      </x:c>
      <x:c r="AB204" s="33" t="n">
        <x:f>IF(AND(Q204="Terminated",R204="",O204=0),1,0)</x:f>
        <x:v>0</x:v>
      </x:c>
      <x:c r="AC204" s="33" t="n">
        <x:f>--OR(WorkforceData[[#This Row],[Status]]="Resigned",WorkforceData[[#This Row],[Status After Training]]="Withdrew")</x:f>
        <x:v>1</x:v>
      </x:c>
      <x:c r="AD204" s="34" t="n">
        <x:f>EOMONTH(WorkforceData[[#This Row],[Training Date]],0)</x:f>
        <x:v>45473</x:v>
      </x:c>
      <x:c r="AE204" s="32" t="str">
        <x:f>IF(M204&lt;H204,"Existing Employee",IF(U204="","No Assignment",IF(V204=0,"0 Days",IF(V204&lt;=7,"1-7 Days",IF(V204&lt;=14,"8-14 Days",IF(V204&lt;=21,"15-21 Days","21+ Days"))))))</x:f>
        <x:v>Existing Employee</x:v>
      </x:c>
      <x:c r="AF20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61-90 Days</x:v>
      </x:c>
      <x:c r="AG204" s="33" t="n">
        <x:f>--(WorkforceData[[#This Row],[Total Days Worked]]&gt;=121)</x:f>
        <x:v>0</x:v>
      </x:c>
    </x:row>
    <x:row r="205">
      <x:c r="A205" s="236" t="str">
        <x:v>TRN-0204</x:v>
      </x:c>
      <x:c r="B205" s="243"/>
      <x:c r="C205" s="243"/>
      <x:c r="D205" s="243"/>
      <x:c r="E205" s="243"/>
      <x:c r="F205" s="14" t="str">
        <x:v>Recruiter F</x:v>
      </x:c>
      <x:c r="G205" s="14" t="str">
        <x:v>Training Center A</x:v>
      </x:c>
      <x:c r="H205" s="28">
        <x:v>45461</x:v>
      </x:c>
      <x:c r="I205" s="14">
        <x:v>2024</x:v>
      </x:c>
      <x:c r="J205" s="14" t="s">
        <x:v>129</x:v>
      </x:c>
      <x:c r="K205" s="14">
        <x:v>11</x:v>
      </x:c>
      <x:c r="L205" s="29" t="s">
        <x:v>119</x:v>
      </x:c>
      <x:c r="M205" s="28">
        <x:v>45456</x:v>
      </x:c>
      <x:c r="N205" s="14"/>
      <x:c r="O205" s="14">
        <x:v>795</x:v>
      </x:c>
      <x:c r="P205" s="14" t="s">
        <x:v>122</x:v>
      </x:c>
      <x:c r="Q205" s="14" t="s">
        <x:v>25</x:v>
      </x:c>
      <x:c r="R205" s="14"/>
      <x:c r="S205" s="14" t="s">
        <x:v>108</x:v>
      </x:c>
      <x:c r="T205" s="14" t="str">
        <x:v>Region B</x:v>
      </x:c>
      <x:c r="U205" s="28">
        <x:v>45508</x:v>
      </x:c>
      <x:c r="V205" s="30">
        <x:v>47</x:v>
      </x:c>
      <x:c r="W205" s="14" t="s">
        <x:v>63</x:v>
      </x:c>
      <x:c r="X205" s="14" t="s">
        <x:v>117</x:v>
      </x:c>
      <x:c r="Y205" s="32" t="str">
        <x:v>TRN-0204|20240618</x:v>
      </x:c>
      <x:c r="Z205" s="32" t="str" cm="1">
        <x:f t="array" ref="Z20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205" s="33" t="n">
        <x:f>--OR(WorkforceData[[#This Row],[Status]]="Active",WorkforceData[[#This Row],[Promoted]]="Yes",WorkforceData[[#This Row],[Total Days Worked]]&gt;=121)</x:f>
        <x:v>1</x:v>
      </x:c>
      <x:c r="AB205" s="33" t="n">
        <x:f>IF(AND(Q205="Terminated",R205="",O205=0),1,0)</x:f>
        <x:v>0</x:v>
      </x:c>
      <x:c r="AC205" s="33" t="n">
        <x:f>--OR(WorkforceData[[#This Row],[Status]]="Resigned",WorkforceData[[#This Row],[Status After Training]]="Withdrew")</x:f>
        <x:v>0</x:v>
      </x:c>
      <x:c r="AD205" s="34" t="n">
        <x:f>EOMONTH(WorkforceData[[#This Row],[Training Date]],0)</x:f>
        <x:v>45473</x:v>
      </x:c>
      <x:c r="AE205" s="32" t="str">
        <x:f>IF(M205&lt;H205,"Existing Employee",IF(U205="","No Assignment",IF(V205=0,"0 Days",IF(V205&lt;=7,"1-7 Days",IF(V205&lt;=14,"8-14 Days",IF(V205&lt;=21,"15-21 Days","21+ Days"))))))</x:f>
        <x:v>Existing Employee</x:v>
      </x:c>
      <x:c r="AF20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05" s="33" t="n">
        <x:f>--(WorkforceData[[#This Row],[Total Days Worked]]&gt;=121)</x:f>
        <x:v>1</x:v>
      </x:c>
    </x:row>
    <x:row r="206">
      <x:c r="A206" s="236" t="str">
        <x:v>TRN-0205</x:v>
      </x:c>
      <x:c r="B206" s="243"/>
      <x:c r="C206" s="243"/>
      <x:c r="D206" s="243"/>
      <x:c r="E206" s="243"/>
      <x:c r="F206" s="14" t="str">
        <x:v>Recruiter F</x:v>
      </x:c>
      <x:c r="G206" s="14" t="str">
        <x:v>Training Center A</x:v>
      </x:c>
      <x:c r="H206" s="28">
        <x:v>45461</x:v>
      </x:c>
      <x:c r="I206" s="14">
        <x:v>2024</x:v>
      </x:c>
      <x:c r="J206" s="14" t="s">
        <x:v>129</x:v>
      </x:c>
      <x:c r="K206" s="14">
        <x:v>11</x:v>
      </x:c>
      <x:c r="L206" s="29" t="s">
        <x:v>119</x:v>
      </x:c>
      <x:c r="M206" s="28">
        <x:v>45456</x:v>
      </x:c>
      <x:c r="N206" s="28">
        <x:v>45546</x:v>
      </x:c>
      <x:c r="O206" s="14">
        <x:v>90</x:v>
      </x:c>
      <x:c r="P206" s="14" t="s">
        <x:v>110</x:v>
      </x:c>
      <x:c r="Q206" s="14" t="s">
        <x:v>103</x:v>
      </x:c>
      <x:c r="R206" s="14" t="s">
        <x:v>111</x:v>
      </x:c>
      <x:c r="S206" s="14" t="s">
        <x:v>105</x:v>
      </x:c>
      <x:c r="T206" s="14" t="str">
        <x:v>Region E</x:v>
      </x:c>
      <x:c r="U206" s="28">
        <x:v>45507</x:v>
      </x:c>
      <x:c r="V206" s="30">
        <x:v>46</x:v>
      </x:c>
      <x:c r="W206" s="14" t="s">
        <x:v>63</x:v>
      </x:c>
      <x:c r="X206" s="14" t="s">
        <x:v>117</x:v>
      </x:c>
      <x:c r="Y206" s="32" t="str">
        <x:v>TRN-0205|20240618</x:v>
      </x:c>
      <x:c r="Z206" s="32" t="str" cm="1">
        <x:f t="array" ref="Z20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206" s="33" t="n">
        <x:f>--OR(WorkforceData[[#This Row],[Status]]="Active",WorkforceData[[#This Row],[Promoted]]="Yes",WorkforceData[[#This Row],[Total Days Worked]]&gt;=121)</x:f>
        <x:v>0</x:v>
      </x:c>
      <x:c r="AB206" s="33" t="n">
        <x:f>IF(AND(Q206="Terminated",R206="",O206=0),1,0)</x:f>
        <x:v>0</x:v>
      </x:c>
      <x:c r="AC206" s="33" t="n">
        <x:f>--OR(WorkforceData[[#This Row],[Status]]="Resigned",WorkforceData[[#This Row],[Status After Training]]="Withdrew")</x:f>
        <x:v>1</x:v>
      </x:c>
      <x:c r="AD206" s="34" t="n">
        <x:f>EOMONTH(WorkforceData[[#This Row],[Training Date]],0)</x:f>
        <x:v>45473</x:v>
      </x:c>
      <x:c r="AE206" s="32" t="str">
        <x:f>IF(M206&lt;H206,"Existing Employee",IF(U206="","No Assignment",IF(V206=0,"0 Days",IF(V206&lt;=7,"1-7 Days",IF(V206&lt;=14,"8-14 Days",IF(V206&lt;=21,"15-21 Days","21+ Days"))))))</x:f>
        <x:v>Existing Employee</x:v>
      </x:c>
      <x:c r="AF20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61-90 Days</x:v>
      </x:c>
      <x:c r="AG206" s="33" t="n">
        <x:f>--(WorkforceData[[#This Row],[Total Days Worked]]&gt;=121)</x:f>
        <x:v>0</x:v>
      </x:c>
    </x:row>
    <x:row r="207">
      <x:c r="A207" s="236" t="str">
        <x:v>TRN-0206</x:v>
      </x:c>
      <x:c r="B207" s="243"/>
      <x:c r="C207" s="243"/>
      <x:c r="D207" s="243"/>
      <x:c r="E207" s="243"/>
      <x:c r="F207" s="14" t="str">
        <x:v>Recruiter E</x:v>
      </x:c>
      <x:c r="G207" s="14" t="str">
        <x:v>Training Center A</x:v>
      </x:c>
      <x:c r="H207" s="28">
        <x:v>45461</x:v>
      </x:c>
      <x:c r="I207" s="14">
        <x:v>2024</x:v>
      </x:c>
      <x:c r="J207" s="14" t="s">
        <x:v>129</x:v>
      </x:c>
      <x:c r="K207" s="14">
        <x:v>11</x:v>
      </x:c>
      <x:c r="L207" s="29" t="s">
        <x:v>119</x:v>
      </x:c>
      <x:c r="M207" s="28">
        <x:v>45458</x:v>
      </x:c>
      <x:c r="N207" s="28">
        <x:v>45993</x:v>
      </x:c>
      <x:c r="O207" s="14">
        <x:v>535</x:v>
      </x:c>
      <x:c r="P207" s="14" t="s">
        <x:v>120</x:v>
      </x:c>
      <x:c r="Q207" s="14" t="s">
        <x:v>33</x:v>
      </x:c>
      <x:c r="R207" s="14" t="s">
        <x:v>121</x:v>
      </x:c>
      <x:c r="S207" s="14" t="s">
        <x:v>108</x:v>
      </x:c>
      <x:c r="T207" s="14" t="str">
        <x:v>Region D</x:v>
      </x:c>
      <x:c r="U207" s="28">
        <x:v>45491</x:v>
      </x:c>
      <x:c r="V207" s="30">
        <x:v>30</x:v>
      </x:c>
      <x:c r="W207" s="14" t="s">
        <x:v>112</x:v>
      </x:c>
      <x:c r="X207" s="14" t="s">
        <x:v>106</x:v>
      </x:c>
      <x:c r="Y207" s="32" t="str">
        <x:v>TRN-0206|20240618</x:v>
      </x:c>
      <x:c r="Z207" s="32" t="str" cm="1">
        <x:f t="array" ref="Z20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207" s="33" t="n">
        <x:f>--OR(WorkforceData[[#This Row],[Status]]="Active",WorkforceData[[#This Row],[Promoted]]="Yes",WorkforceData[[#This Row],[Total Days Worked]]&gt;=121)</x:f>
        <x:v>1</x:v>
      </x:c>
      <x:c r="AB207" s="33" t="n">
        <x:f>IF(AND(Q207="Terminated",R207="",O207=0),1,0)</x:f>
        <x:v>0</x:v>
      </x:c>
      <x:c r="AC207" s="33" t="n">
        <x:f>--OR(WorkforceData[[#This Row],[Status]]="Resigned",WorkforceData[[#This Row],[Status After Training]]="Withdrew")</x:f>
        <x:v>0</x:v>
      </x:c>
      <x:c r="AD207" s="34" t="n">
        <x:f>EOMONTH(WorkforceData[[#This Row],[Training Date]],0)</x:f>
        <x:v>45473</x:v>
      </x:c>
      <x:c r="AE207" s="32" t="str">
        <x:f>IF(M207&lt;H207,"Existing Employee",IF(U207="","No Assignment",IF(V207=0,"0 Days",IF(V207&lt;=7,"1-7 Days",IF(V207&lt;=14,"8-14 Days",IF(V207&lt;=21,"15-21 Days","21+ Days"))))))</x:f>
        <x:v>Existing Employee</x:v>
      </x:c>
      <x:c r="AF20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07" s="33" t="n">
        <x:f>--(WorkforceData[[#This Row],[Total Days Worked]]&gt;=121)</x:f>
        <x:v>1</x:v>
      </x:c>
    </x:row>
    <x:row r="208">
      <x:c r="A208" s="236" t="str">
        <x:v>TRN-0207</x:v>
      </x:c>
      <x:c r="B208" s="243"/>
      <x:c r="C208" s="243"/>
      <x:c r="D208" s="243"/>
      <x:c r="E208" s="243"/>
      <x:c r="F208" s="14" t="str">
        <x:v>Recruiter A</x:v>
      </x:c>
      <x:c r="G208" s="14" t="str">
        <x:v>Training Center A</x:v>
      </x:c>
      <x:c r="H208" s="28">
        <x:v>45461</x:v>
      </x:c>
      <x:c r="I208" s="14">
        <x:v>2024</x:v>
      </x:c>
      <x:c r="J208" s="14" t="s">
        <x:v>129</x:v>
      </x:c>
      <x:c r="K208" s="14">
        <x:v>11</x:v>
      </x:c>
      <x:c r="L208" s="29" t="s">
        <x:v>119</x:v>
      </x:c>
      <x:c r="M208" s="28">
        <x:v>45458</x:v>
      </x:c>
      <x:c r="N208" s="28">
        <x:v>45747</x:v>
      </x:c>
      <x:c r="O208" s="14">
        <x:v>289</x:v>
      </x:c>
      <x:c r="P208" s="14" t="s">
        <x:v>107</x:v>
      </x:c>
      <x:c r="Q208" s="14" t="s">
        <x:v>103</x:v>
      </x:c>
      <x:c r="R208" s="14" t="s">
        <x:v>111</x:v>
      </x:c>
      <x:c r="S208" s="14" t="s">
        <x:v>108</x:v>
      </x:c>
      <x:c r="T208" s="14" t="str">
        <x:v>Region B</x:v>
      </x:c>
      <x:c r="U208" s="28">
        <x:v>45474</x:v>
      </x:c>
      <x:c r="V208" s="30">
        <x:v>13</x:v>
      </x:c>
      <x:c r="W208" s="14" t="s">
        <x:v>45</x:v>
      </x:c>
      <x:c r="X208" s="14" t="s">
        <x:v>106</x:v>
      </x:c>
      <x:c r="Y208" s="32" t="str">
        <x:v>TRN-0207|20240618</x:v>
      </x:c>
      <x:c r="Z208" s="32" t="str" cm="1">
        <x:f t="array" ref="Z20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208" s="33" t="n">
        <x:f>--OR(WorkforceData[[#This Row],[Status]]="Active",WorkforceData[[#This Row],[Promoted]]="Yes",WorkforceData[[#This Row],[Total Days Worked]]&gt;=121)</x:f>
        <x:v>1</x:v>
      </x:c>
      <x:c r="AB208" s="33" t="n">
        <x:f>IF(AND(Q208="Terminated",R208="",O208=0),1,0)</x:f>
        <x:v>0</x:v>
      </x:c>
      <x:c r="AC208" s="33" t="n">
        <x:f>--OR(WorkforceData[[#This Row],[Status]]="Resigned",WorkforceData[[#This Row],[Status After Training]]="Withdrew")</x:f>
        <x:v>1</x:v>
      </x:c>
      <x:c r="AD208" s="34" t="n">
        <x:f>EOMONTH(WorkforceData[[#This Row],[Training Date]],0)</x:f>
        <x:v>45473</x:v>
      </x:c>
      <x:c r="AE208" s="32" t="str">
        <x:f>IF(M208&lt;H208,"Existing Employee",IF(U208="","No Assignment",IF(V208=0,"0 Days",IF(V208&lt;=7,"1-7 Days",IF(V208&lt;=14,"8-14 Days",IF(V208&lt;=21,"15-21 Days","21+ Days"))))))</x:f>
        <x:v>Existing Employee</x:v>
      </x:c>
      <x:c r="AF20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08" s="33" t="n">
        <x:f>--(WorkforceData[[#This Row],[Total Days Worked]]&gt;=121)</x:f>
        <x:v>1</x:v>
      </x:c>
    </x:row>
    <x:row r="209">
      <x:c r="A209" s="236" t="str">
        <x:v>TRN-0208</x:v>
      </x:c>
      <x:c r="B209" s="243"/>
      <x:c r="C209" s="243"/>
      <x:c r="D209" s="243"/>
      <x:c r="E209" s="243"/>
      <x:c r="F209" s="14" t="str">
        <x:v>Recruiter C</x:v>
      </x:c>
      <x:c r="G209" s="14" t="str">
        <x:v>Training Center A</x:v>
      </x:c>
      <x:c r="H209" s="28">
        <x:v>45461</x:v>
      </x:c>
      <x:c r="I209" s="14">
        <x:v>2024</x:v>
      </x:c>
      <x:c r="J209" s="14" t="s">
        <x:v>129</x:v>
      </x:c>
      <x:c r="K209" s="14">
        <x:v>11</x:v>
      </x:c>
      <x:c r="L209" s="29" t="s">
        <x:v>119</x:v>
      </x:c>
      <x:c r="M209" s="28">
        <x:v>45456</x:v>
      </x:c>
      <x:c r="N209" s="14"/>
      <x:c r="O209" s="14">
        <x:v>795</x:v>
      </x:c>
      <x:c r="P209" s="14" t="s">
        <x:v>122</x:v>
      </x:c>
      <x:c r="Q209" s="14" t="s">
        <x:v>25</x:v>
      </x:c>
      <x:c r="R209" s="14"/>
      <x:c r="S209" s="14" t="s">
        <x:v>108</x:v>
      </x:c>
      <x:c r="T209" s="14" t="str">
        <x:v>Region D</x:v>
      </x:c>
      <x:c r="U209" s="28">
        <x:v>45464</x:v>
      </x:c>
      <x:c r="V209" s="30">
        <x:v>3</x:v>
      </x:c>
      <x:c r="W209" s="14" t="s">
        <x:v>109</x:v>
      </x:c>
      <x:c r="X209" s="14" t="s">
        <x:v>106</x:v>
      </x:c>
      <x:c r="Y209" s="32" t="str">
        <x:v>TRN-0208|20240618</x:v>
      </x:c>
      <x:c r="Z209" s="32" t="str" cm="1">
        <x:f t="array" ref="Z20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209" s="33" t="n">
        <x:f>--OR(WorkforceData[[#This Row],[Status]]="Active",WorkforceData[[#This Row],[Promoted]]="Yes",WorkforceData[[#This Row],[Total Days Worked]]&gt;=121)</x:f>
        <x:v>1</x:v>
      </x:c>
      <x:c r="AB209" s="33" t="n">
        <x:f>IF(AND(Q209="Terminated",R209="",O209=0),1,0)</x:f>
        <x:v>0</x:v>
      </x:c>
      <x:c r="AC209" s="33" t="n">
        <x:f>--OR(WorkforceData[[#This Row],[Status]]="Resigned",WorkforceData[[#This Row],[Status After Training]]="Withdrew")</x:f>
        <x:v>0</x:v>
      </x:c>
      <x:c r="AD209" s="34" t="n">
        <x:f>EOMONTH(WorkforceData[[#This Row],[Training Date]],0)</x:f>
        <x:v>45473</x:v>
      </x:c>
      <x:c r="AE209" s="32" t="str">
        <x:f>IF(M209&lt;H209,"Existing Employee",IF(U209="","No Assignment",IF(V209=0,"0 Days",IF(V209&lt;=7,"1-7 Days",IF(V209&lt;=14,"8-14 Days",IF(V209&lt;=21,"15-21 Days","21+ Days"))))))</x:f>
        <x:v>Existing Employee</x:v>
      </x:c>
      <x:c r="AF20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09" s="33" t="n">
        <x:f>--(WorkforceData[[#This Row],[Total Days Worked]]&gt;=121)</x:f>
        <x:v>1</x:v>
      </x:c>
    </x:row>
    <x:row r="210">
      <x:c r="A210" s="236" t="str">
        <x:v>TRN-0209</x:v>
      </x:c>
      <x:c r="B210" s="243"/>
      <x:c r="C210" s="243"/>
      <x:c r="D210" s="243"/>
      <x:c r="E210" s="243"/>
      <x:c r="F210" s="14" t="str">
        <x:v>Recruiter B</x:v>
      </x:c>
      <x:c r="G210" s="14" t="str">
        <x:v>Training Center A</x:v>
      </x:c>
      <x:c r="H210" s="28">
        <x:v>45461</x:v>
      </x:c>
      <x:c r="I210" s="14">
        <x:v>2024</x:v>
      </x:c>
      <x:c r="J210" s="14" t="s">
        <x:v>129</x:v>
      </x:c>
      <x:c r="K210" s="14">
        <x:v>11</x:v>
      </x:c>
      <x:c r="L210" s="29" t="s">
        <x:v>119</x:v>
      </x:c>
      <x:c r="M210" s="28">
        <x:v>45451</x:v>
      </x:c>
      <x:c r="N210" s="14"/>
      <x:c r="O210" s="14">
        <x:v>800</x:v>
      </x:c>
      <x:c r="P210" s="14" t="s">
        <x:v>122</x:v>
      </x:c>
      <x:c r="Q210" s="14" t="s">
        <x:v>38</x:v>
      </x:c>
      <x:c r="R210" s="14"/>
      <x:c r="S210" s="14" t="s">
        <x:v>108</x:v>
      </x:c>
      <x:c r="T210" s="14" t="str">
        <x:v>Region C</x:v>
      </x:c>
      <x:c r="U210" s="28">
        <x:v>45470</x:v>
      </x:c>
      <x:c r="V210" s="30">
        <x:v>9</x:v>
      </x:c>
      <x:c r="W210" s="14" t="s">
        <x:v>45</x:v>
      </x:c>
      <x:c r="X210" s="14" t="s">
        <x:v>106</x:v>
      </x:c>
      <x:c r="Y210" s="32" t="str">
        <x:v>TRN-0209|20240618</x:v>
      </x:c>
      <x:c r="Z210" s="32" t="str" cm="1">
        <x:f t="array" ref="Z21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210" s="33" t="n">
        <x:f>--OR(WorkforceData[[#This Row],[Status]]="Active",WorkforceData[[#This Row],[Promoted]]="Yes",WorkforceData[[#This Row],[Total Days Worked]]&gt;=121)</x:f>
        <x:v>1</x:v>
      </x:c>
      <x:c r="AB210" s="33" t="n">
        <x:f>IF(AND(Q210="Terminated",R210="",O210=0),1,0)</x:f>
        <x:v>0</x:v>
      </x:c>
      <x:c r="AC210" s="33" t="n">
        <x:f>--OR(WorkforceData[[#This Row],[Status]]="Resigned",WorkforceData[[#This Row],[Status After Training]]="Withdrew")</x:f>
        <x:v>0</x:v>
      </x:c>
      <x:c r="AD210" s="34" t="n">
        <x:f>EOMONTH(WorkforceData[[#This Row],[Training Date]],0)</x:f>
        <x:v>45473</x:v>
      </x:c>
      <x:c r="AE210" s="32" t="str">
        <x:f>IF(M210&lt;H210,"Existing Employee",IF(U210="","No Assignment",IF(V210=0,"0 Days",IF(V210&lt;=7,"1-7 Days",IF(V210&lt;=14,"8-14 Days",IF(V210&lt;=21,"15-21 Days","21+ Days"))))))</x:f>
        <x:v>Existing Employee</x:v>
      </x:c>
      <x:c r="AF21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10" s="33" t="n">
        <x:f>--(WorkforceData[[#This Row],[Total Days Worked]]&gt;=121)</x:f>
        <x:v>1</x:v>
      </x:c>
    </x:row>
    <x:row r="211">
      <x:c r="A211" s="236" t="str">
        <x:v>TRN-0210</x:v>
      </x:c>
      <x:c r="B211" s="243"/>
      <x:c r="C211" s="243"/>
      <x:c r="D211" s="243"/>
      <x:c r="E211" s="243"/>
      <x:c r="F211" s="14" t="str">
        <x:v>Recruiter G</x:v>
      </x:c>
      <x:c r="G211" s="14" t="str">
        <x:v>Training Center A</x:v>
      </x:c>
      <x:c r="H211" s="28">
        <x:v>45461</x:v>
      </x:c>
      <x:c r="I211" s="14">
        <x:v>2024</x:v>
      </x:c>
      <x:c r="J211" s="14" t="s">
        <x:v>129</x:v>
      </x:c>
      <x:c r="K211" s="14">
        <x:v>11</x:v>
      </x:c>
      <x:c r="L211" s="29" t="s">
        <x:v>119</x:v>
      </x:c>
      <x:c r="M211" s="28">
        <x:v>45456</x:v>
      </x:c>
      <x:c r="N211" s="28">
        <x:v>45682</x:v>
      </x:c>
      <x:c r="O211" s="14">
        <x:v>226</x:v>
      </x:c>
      <x:c r="P211" s="14" t="s">
        <x:v>107</x:v>
      </x:c>
      <x:c r="Q211" s="14" t="s">
        <x:v>103</x:v>
      </x:c>
      <x:c r="R211" s="14" t="s">
        <x:v>104</x:v>
      </x:c>
      <x:c r="S211" s="14" t="s">
        <x:v>108</x:v>
      </x:c>
      <x:c r="T211" s="14" t="str">
        <x:v>Region C</x:v>
      </x:c>
      <x:c r="U211" s="28">
        <x:v>45466</x:v>
      </x:c>
      <x:c r="V211" s="30">
        <x:v>5</x:v>
      </x:c>
      <x:c r="W211" s="14" t="s">
        <x:v>109</x:v>
      </x:c>
      <x:c r="X211" s="14" t="s">
        <x:v>106</x:v>
      </x:c>
      <x:c r="Y211" s="32" t="str">
        <x:v>TRN-0210|20240618</x:v>
      </x:c>
      <x:c r="Z211" s="32" t="str" cm="1">
        <x:f t="array" ref="Z21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211" s="33" t="n">
        <x:f>--OR(WorkforceData[[#This Row],[Status]]="Active",WorkforceData[[#This Row],[Promoted]]="Yes",WorkforceData[[#This Row],[Total Days Worked]]&gt;=121)</x:f>
        <x:v>1</x:v>
      </x:c>
      <x:c r="AB211" s="33" t="n">
        <x:f>IF(AND(Q211="Terminated",R211="",O211=0),1,0)</x:f>
        <x:v>0</x:v>
      </x:c>
      <x:c r="AC211" s="33" t="n">
        <x:f>--OR(WorkforceData[[#This Row],[Status]]="Resigned",WorkforceData[[#This Row],[Status After Training]]="Withdrew")</x:f>
        <x:v>1</x:v>
      </x:c>
      <x:c r="AD211" s="34" t="n">
        <x:f>EOMONTH(WorkforceData[[#This Row],[Training Date]],0)</x:f>
        <x:v>45473</x:v>
      </x:c>
      <x:c r="AE211" s="32" t="str">
        <x:f>IF(M211&lt;H211,"Existing Employee",IF(U211="","No Assignment",IF(V211=0,"0 Days",IF(V211&lt;=7,"1-7 Days",IF(V211&lt;=14,"8-14 Days",IF(V211&lt;=21,"15-21 Days","21+ Days"))))))</x:f>
        <x:v>Existing Employee</x:v>
      </x:c>
      <x:c r="AF21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11" s="33" t="n">
        <x:f>--(WorkforceData[[#This Row],[Total Days Worked]]&gt;=121)</x:f>
        <x:v>1</x:v>
      </x:c>
    </x:row>
    <x:row r="212">
      <x:c r="A212" s="236" t="str">
        <x:v>TRN-0211</x:v>
      </x:c>
      <x:c r="B212" s="243"/>
      <x:c r="C212" s="243"/>
      <x:c r="D212" s="243"/>
      <x:c r="E212" s="243"/>
      <x:c r="F212" s="14" t="str">
        <x:v>Recruiter F</x:v>
      </x:c>
      <x:c r="G212" s="14" t="str">
        <x:v>Training Center A</x:v>
      </x:c>
      <x:c r="H212" s="28">
        <x:v>45461</x:v>
      </x:c>
      <x:c r="I212" s="14">
        <x:v>2024</x:v>
      </x:c>
      <x:c r="J212" s="14" t="s">
        <x:v>129</x:v>
      </x:c>
      <x:c r="K212" s="14">
        <x:v>11</x:v>
      </x:c>
      <x:c r="L212" s="29" t="s">
        <x:v>119</x:v>
      </x:c>
      <x:c r="M212" s="28">
        <x:v>45461</x:v>
      </x:c>
      <x:c r="N212" s="28">
        <x:v>45517</x:v>
      </x:c>
      <x:c r="O212" s="14">
        <x:v>56</x:v>
      </x:c>
      <x:c r="P212" s="14" t="s">
        <x:v>110</x:v>
      </x:c>
      <x:c r="Q212" s="14" t="s">
        <x:v>33</x:v>
      </x:c>
      <x:c r="R212" s="14" t="s">
        <x:v>121</x:v>
      </x:c>
      <x:c r="S212" s="14" t="s">
        <x:v>105</x:v>
      </x:c>
      <x:c r="T212" s="14" t="str">
        <x:v>Region E</x:v>
      </x:c>
      <x:c r="U212" s="28">
        <x:v>45470</x:v>
      </x:c>
      <x:c r="V212" s="30">
        <x:v>9</x:v>
      </x:c>
      <x:c r="W212" s="14" t="s">
        <x:v>45</x:v>
      </x:c>
      <x:c r="X212" s="14" t="s">
        <x:v>106</x:v>
      </x:c>
      <x:c r="Y212" s="32" t="str">
        <x:v>TRN-0211|20240618</x:v>
      </x:c>
      <x:c r="Z212" s="32" t="str" cm="1">
        <x:f t="array" ref="Z21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212" s="33" t="n">
        <x:f>--OR(WorkforceData[[#This Row],[Status]]="Active",WorkforceData[[#This Row],[Promoted]]="Yes",WorkforceData[[#This Row],[Total Days Worked]]&gt;=121)</x:f>
        <x:v>0</x:v>
      </x:c>
      <x:c r="AB212" s="33" t="n">
        <x:f>IF(AND(Q212="Terminated",R212="",O212=0),1,0)</x:f>
        <x:v>0</x:v>
      </x:c>
      <x:c r="AC212" s="33" t="n">
        <x:f>--OR(WorkforceData[[#This Row],[Status]]="Resigned",WorkforceData[[#This Row],[Status After Training]]="Withdrew")</x:f>
        <x:v>0</x:v>
      </x:c>
      <x:c r="AD212" s="34" t="n">
        <x:f>EOMONTH(WorkforceData[[#This Row],[Training Date]],0)</x:f>
        <x:v>45473</x:v>
      </x:c>
      <x:c r="AE212" s="32" t="str">
        <x:f>IF(M212&lt;H212,"Existing Employee",IF(U212="","No Assignment",IF(V212=0,"0 Days",IF(V212&lt;=7,"1-7 Days",IF(V212&lt;=14,"8-14 Days",IF(V212&lt;=21,"15-21 Days","21+ Days"))))))</x:f>
        <x:v>8-14 Days</x:v>
      </x:c>
      <x:c r="AF21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212" s="33" t="n">
        <x:f>--(WorkforceData[[#This Row],[Total Days Worked]]&gt;=121)</x:f>
        <x:v>0</x:v>
      </x:c>
    </x:row>
    <x:row r="213">
      <x:c r="A213" s="236" t="str">
        <x:v>TRN-0212</x:v>
      </x:c>
      <x:c r="B213" s="243"/>
      <x:c r="C213" s="243"/>
      <x:c r="D213" s="243"/>
      <x:c r="E213" s="243"/>
      <x:c r="F213" s="14" t="str">
        <x:v>Recruiter C</x:v>
      </x:c>
      <x:c r="G213" s="14" t="str">
        <x:v>Training Center A</x:v>
      </x:c>
      <x:c r="H213" s="28">
        <x:v>45461</x:v>
      </x:c>
      <x:c r="I213" s="14">
        <x:v>2024</x:v>
      </x:c>
      <x:c r="J213" s="14" t="s">
        <x:v>129</x:v>
      </x:c>
      <x:c r="K213" s="14">
        <x:v>11</x:v>
      </x:c>
      <x:c r="L213" s="29" t="s">
        <x:v>119</x:v>
      </x:c>
      <x:c r="M213" s="28">
        <x:v>45454</x:v>
      </x:c>
      <x:c r="N213" s="14"/>
      <x:c r="O213" s="14">
        <x:v>797</x:v>
      </x:c>
      <x:c r="P213" s="14" t="s">
        <x:v>122</x:v>
      </x:c>
      <x:c r="Q213" s="14" t="s">
        <x:v>25</x:v>
      </x:c>
      <x:c r="R213" s="14"/>
      <x:c r="S213" s="14" t="s">
        <x:v>108</x:v>
      </x:c>
      <x:c r="T213" s="14" t="str">
        <x:v>Region D</x:v>
      </x:c>
      <x:c r="U213" s="28">
        <x:v>45490</x:v>
      </x:c>
      <x:c r="V213" s="30">
        <x:v>29</x:v>
      </x:c>
      <x:c r="W213" s="14" t="s">
        <x:v>112</x:v>
      </x:c>
      <x:c r="X213" s="14" t="s">
        <x:v>106</x:v>
      </x:c>
      <x:c r="Y213" s="32" t="str">
        <x:v>TRN-0212|20240618</x:v>
      </x:c>
      <x:c r="Z213" s="32" t="str" cm="1">
        <x:f t="array" ref="Z21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213" s="33" t="n">
        <x:f>--OR(WorkforceData[[#This Row],[Status]]="Active",WorkforceData[[#This Row],[Promoted]]="Yes",WorkforceData[[#This Row],[Total Days Worked]]&gt;=121)</x:f>
        <x:v>1</x:v>
      </x:c>
      <x:c r="AB213" s="33" t="n">
        <x:f>IF(AND(Q213="Terminated",R213="",O213=0),1,0)</x:f>
        <x:v>0</x:v>
      </x:c>
      <x:c r="AC213" s="33" t="n">
        <x:f>--OR(WorkforceData[[#This Row],[Status]]="Resigned",WorkforceData[[#This Row],[Status After Training]]="Withdrew")</x:f>
        <x:v>0</x:v>
      </x:c>
      <x:c r="AD213" s="34" t="n">
        <x:f>EOMONTH(WorkforceData[[#This Row],[Training Date]],0)</x:f>
        <x:v>45473</x:v>
      </x:c>
      <x:c r="AE213" s="32" t="str">
        <x:f>IF(M213&lt;H213,"Existing Employee",IF(U213="","No Assignment",IF(V213=0,"0 Days",IF(V213&lt;=7,"1-7 Days",IF(V213&lt;=14,"8-14 Days",IF(V213&lt;=21,"15-21 Days","21+ Days"))))))</x:f>
        <x:v>Existing Employee</x:v>
      </x:c>
      <x:c r="AF21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13" s="33" t="n">
        <x:f>--(WorkforceData[[#This Row],[Total Days Worked]]&gt;=121)</x:f>
        <x:v>1</x:v>
      </x:c>
    </x:row>
    <x:row r="214">
      <x:c r="A214" s="236" t="str">
        <x:v>TRN-0213</x:v>
      </x:c>
      <x:c r="B214" s="243"/>
      <x:c r="C214" s="243"/>
      <x:c r="D214" s="243"/>
      <x:c r="E214" s="243"/>
      <x:c r="F214" s="14" t="str">
        <x:v>Recruiter G</x:v>
      </x:c>
      <x:c r="G214" s="14" t="str">
        <x:v>Training Center A</x:v>
      </x:c>
      <x:c r="H214" s="28">
        <x:v>45558</x:v>
      </x:c>
      <x:c r="I214" s="14">
        <x:v>2024</x:v>
      </x:c>
      <x:c r="J214" s="14" t="s">
        <x:v>127</x:v>
      </x:c>
      <x:c r="K214" s="14">
        <x:v>22</x:v>
      </x:c>
      <x:c r="L214" s="29" t="s">
        <x:v>101</x:v>
      </x:c>
      <x:c r="M214" s="28">
        <x:v>45548</x:v>
      </x:c>
      <x:c r="N214" s="28">
        <x:v>45599</x:v>
      </x:c>
      <x:c r="O214" s="14">
        <x:v>51</x:v>
      </x:c>
      <x:c r="P214" s="14" t="s">
        <x:v>110</x:v>
      </x:c>
      <x:c r="Q214" s="14" t="s">
        <x:v>103</x:v>
      </x:c>
      <x:c r="R214" s="14" t="s">
        <x:v>111</x:v>
      </x:c>
      <x:c r="S214" s="14" t="s">
        <x:v>105</x:v>
      </x:c>
      <x:c r="T214" s="14" t="str">
        <x:v>Region E</x:v>
      </x:c>
      <x:c r="U214" s="28">
        <x:v>45599</x:v>
      </x:c>
      <x:c r="V214" s="30">
        <x:v>41</x:v>
      </x:c>
      <x:c r="W214" s="14" t="s">
        <x:v>63</x:v>
      </x:c>
      <x:c r="X214" s="14" t="s">
        <x:v>117</x:v>
      </x:c>
      <x:c r="Y214" s="32" t="str">
        <x:v>TRN-0213|20240923</x:v>
      </x:c>
      <x:c r="Z214" s="32" t="str" cm="1">
        <x:f t="array" ref="Z21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214" s="33" t="n">
        <x:f>--OR(WorkforceData[[#This Row],[Status]]="Active",WorkforceData[[#This Row],[Promoted]]="Yes",WorkforceData[[#This Row],[Total Days Worked]]&gt;=121)</x:f>
        <x:v>0</x:v>
      </x:c>
      <x:c r="AB214" s="33" t="n">
        <x:f>IF(AND(Q214="Terminated",R214="",O214=0),1,0)</x:f>
        <x:v>0</x:v>
      </x:c>
      <x:c r="AC214" s="33" t="n">
        <x:f>--OR(WorkforceData[[#This Row],[Status]]="Resigned",WorkforceData[[#This Row],[Status After Training]]="Withdrew")</x:f>
        <x:v>1</x:v>
      </x:c>
      <x:c r="AD214" s="34" t="n">
        <x:f>EOMONTH(WorkforceData[[#This Row],[Training Date]],0)</x:f>
        <x:v>45565</x:v>
      </x:c>
      <x:c r="AE214" s="32" t="str">
        <x:f>IF(M214&lt;H214,"Existing Employee",IF(U214="","No Assignment",IF(V214=0,"0 Days",IF(V214&lt;=7,"1-7 Days",IF(V214&lt;=14,"8-14 Days",IF(V214&lt;=21,"15-21 Days","21+ Days"))))))</x:f>
        <x:v>Existing Employee</x:v>
      </x:c>
      <x:c r="AF21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214" s="33" t="n">
        <x:f>--(WorkforceData[[#This Row],[Total Days Worked]]&gt;=121)</x:f>
        <x:v>0</x:v>
      </x:c>
    </x:row>
    <x:row r="215">
      <x:c r="A215" s="236" t="str">
        <x:v>TRN-0214</x:v>
      </x:c>
      <x:c r="B215" s="243"/>
      <x:c r="C215" s="243"/>
      <x:c r="D215" s="243"/>
      <x:c r="E215" s="243"/>
      <x:c r="F215" s="14" t="str">
        <x:v>Recruiter A</x:v>
      </x:c>
      <x:c r="G215" s="14" t="str">
        <x:v>Training Center A</x:v>
      </x:c>
      <x:c r="H215" s="28">
        <x:v>45558</x:v>
      </x:c>
      <x:c r="I215" s="14">
        <x:v>2024</x:v>
      </x:c>
      <x:c r="J215" s="14" t="s">
        <x:v>127</x:v>
      </x:c>
      <x:c r="K215" s="14">
        <x:v>22</x:v>
      </x:c>
      <x:c r="L215" s="29" t="s">
        <x:v>101</x:v>
      </x:c>
      <x:c r="M215" s="28">
        <x:v>45556</x:v>
      </x:c>
      <x:c r="N215" s="14"/>
      <x:c r="O215" s="14">
        <x:v>695</x:v>
      </x:c>
      <x:c r="P215" s="14" t="s">
        <x:v>120</x:v>
      </x:c>
      <x:c r="Q215" s="14" t="s">
        <x:v>25</x:v>
      </x:c>
      <x:c r="R215" s="14"/>
      <x:c r="S215" s="14" t="s">
        <x:v>108</x:v>
      </x:c>
      <x:c r="T215" s="14" t="str">
        <x:v>Region B</x:v>
      </x:c>
      <x:c r="U215" s="28">
        <x:v>45587</x:v>
      </x:c>
      <x:c r="V215" s="30">
        <x:v>29</x:v>
      </x:c>
      <x:c r="W215" s="14" t="s">
        <x:v>112</x:v>
      </x:c>
      <x:c r="X215" s="14" t="s">
        <x:v>106</x:v>
      </x:c>
      <x:c r="Y215" s="32" t="str">
        <x:v>TRN-0214|20240923</x:v>
      </x:c>
      <x:c r="Z215" s="32" t="str" cm="1">
        <x:f t="array" ref="Z21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215" s="33" t="n">
        <x:f>--OR(WorkforceData[[#This Row],[Status]]="Active",WorkforceData[[#This Row],[Promoted]]="Yes",WorkforceData[[#This Row],[Total Days Worked]]&gt;=121)</x:f>
        <x:v>1</x:v>
      </x:c>
      <x:c r="AB215" s="33" t="n">
        <x:f>IF(AND(Q215="Terminated",R215="",O215=0),1,0)</x:f>
        <x:v>0</x:v>
      </x:c>
      <x:c r="AC215" s="33" t="n">
        <x:f>--OR(WorkforceData[[#This Row],[Status]]="Resigned",WorkforceData[[#This Row],[Status After Training]]="Withdrew")</x:f>
        <x:v>0</x:v>
      </x:c>
      <x:c r="AD215" s="34" t="n">
        <x:f>EOMONTH(WorkforceData[[#This Row],[Training Date]],0)</x:f>
        <x:v>45565</x:v>
      </x:c>
      <x:c r="AE215" s="32" t="str">
        <x:f>IF(M215&lt;H215,"Existing Employee",IF(U215="","No Assignment",IF(V215=0,"0 Days",IF(V215&lt;=7,"1-7 Days",IF(V215&lt;=14,"8-14 Days",IF(V215&lt;=21,"15-21 Days","21+ Days"))))))</x:f>
        <x:v>Existing Employee</x:v>
      </x:c>
      <x:c r="AF21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15" s="33" t="n">
        <x:f>--(WorkforceData[[#This Row],[Total Days Worked]]&gt;=121)</x:f>
        <x:v>1</x:v>
      </x:c>
    </x:row>
    <x:row r="216">
      <x:c r="A216" s="236" t="str">
        <x:v>TRN-0215</x:v>
      </x:c>
      <x:c r="B216" s="243"/>
      <x:c r="C216" s="243"/>
      <x:c r="D216" s="243"/>
      <x:c r="E216" s="243"/>
      <x:c r="F216" s="14" t="str">
        <x:v>Recruiter E</x:v>
      </x:c>
      <x:c r="G216" s="14" t="str">
        <x:v>Training Center A</x:v>
      </x:c>
      <x:c r="H216" s="28">
        <x:v>45558</x:v>
      </x:c>
      <x:c r="I216" s="14">
        <x:v>2024</x:v>
      </x:c>
      <x:c r="J216" s="14" t="s">
        <x:v>127</x:v>
      </x:c>
      <x:c r="K216" s="14">
        <x:v>22</x:v>
      </x:c>
      <x:c r="L216" s="29" t="s">
        <x:v>101</x:v>
      </x:c>
      <x:c r="M216" s="28">
        <x:v>45548</x:v>
      </x:c>
      <x:c r="N216" s="28">
        <x:v>45748</x:v>
      </x:c>
      <x:c r="O216" s="14">
        <x:v>200</x:v>
      </x:c>
      <x:c r="P216" s="14" t="s">
        <x:v>107</x:v>
      </x:c>
      <x:c r="Q216" s="14" t="s">
        <x:v>103</x:v>
      </x:c>
      <x:c r="R216" s="14" t="s">
        <x:v>111</x:v>
      </x:c>
      <x:c r="S216" s="14" t="s">
        <x:v>108</x:v>
      </x:c>
      <x:c r="T216" s="14" t="str">
        <x:v>Region B</x:v>
      </x:c>
      <x:c r="U216" s="28">
        <x:v>45563</x:v>
      </x:c>
      <x:c r="V216" s="30">
        <x:v>5</x:v>
      </x:c>
      <x:c r="W216" s="14" t="s">
        <x:v>109</x:v>
      </x:c>
      <x:c r="X216" s="14" t="s">
        <x:v>106</x:v>
      </x:c>
      <x:c r="Y216" s="32" t="str">
        <x:v>TRN-0215|20240923</x:v>
      </x:c>
      <x:c r="Z216" s="32" t="str" cm="1">
        <x:f t="array" ref="Z21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216" s="33" t="n">
        <x:f>--OR(WorkforceData[[#This Row],[Status]]="Active",WorkforceData[[#This Row],[Promoted]]="Yes",WorkforceData[[#This Row],[Total Days Worked]]&gt;=121)</x:f>
        <x:v>1</x:v>
      </x:c>
      <x:c r="AB216" s="33" t="n">
        <x:f>IF(AND(Q216="Terminated",R216="",O216=0),1,0)</x:f>
        <x:v>0</x:v>
      </x:c>
      <x:c r="AC216" s="33" t="n">
        <x:f>--OR(WorkforceData[[#This Row],[Status]]="Resigned",WorkforceData[[#This Row],[Status After Training]]="Withdrew")</x:f>
        <x:v>1</x:v>
      </x:c>
      <x:c r="AD216" s="34" t="n">
        <x:f>EOMONTH(WorkforceData[[#This Row],[Training Date]],0)</x:f>
        <x:v>45565</x:v>
      </x:c>
      <x:c r="AE216" s="32" t="str">
        <x:f>IF(M216&lt;H216,"Existing Employee",IF(U216="","No Assignment",IF(V216=0,"0 Days",IF(V216&lt;=7,"1-7 Days",IF(V216&lt;=14,"8-14 Days",IF(V216&lt;=21,"15-21 Days","21+ Days"))))))</x:f>
        <x:v>Existing Employee</x:v>
      </x:c>
      <x:c r="AF21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16" s="33" t="n">
        <x:f>--(WorkforceData[[#This Row],[Total Days Worked]]&gt;=121)</x:f>
        <x:v>1</x:v>
      </x:c>
    </x:row>
    <x:row r="217">
      <x:c r="A217" s="236" t="str">
        <x:v>TRN-0216</x:v>
      </x:c>
      <x:c r="B217" s="243"/>
      <x:c r="C217" s="243"/>
      <x:c r="D217" s="243"/>
      <x:c r="E217" s="243"/>
      <x:c r="F217" s="14" t="str">
        <x:v>Recruiter E</x:v>
      </x:c>
      <x:c r="G217" s="14" t="str">
        <x:v>Training Center A</x:v>
      </x:c>
      <x:c r="H217" s="28">
        <x:v>45558</x:v>
      </x:c>
      <x:c r="I217" s="14">
        <x:v>2024</x:v>
      </x:c>
      <x:c r="J217" s="14" t="s">
        <x:v>127</x:v>
      </x:c>
      <x:c r="K217" s="14">
        <x:v>22</x:v>
      </x:c>
      <x:c r="L217" s="29" t="s">
        <x:v>101</x:v>
      </x:c>
      <x:c r="M217" s="28">
        <x:v>45558</x:v>
      </x:c>
      <x:c r="N217" s="28">
        <x:v>45561</x:v>
      </x:c>
      <x:c r="O217" s="14">
        <x:v>3</x:v>
      </x:c>
      <x:c r="P217" s="14" t="s">
        <x:v>102</x:v>
      </x:c>
      <x:c r="Q217" s="14" t="s">
        <x:v>103</x:v>
      </x:c>
      <x:c r="R217" s="14" t="s">
        <x:v>104</x:v>
      </x:c>
      <x:c r="S217" s="14" t="s">
        <x:v>105</x:v>
      </x:c>
      <x:c r="T217" s="14" t="str">
        <x:v>Region C</x:v>
      </x:c>
      <x:c r="U217" s="28">
        <x:v>45561</x:v>
      </x:c>
      <x:c r="V217" s="30">
        <x:v>3</x:v>
      </x:c>
      <x:c r="W217" s="14" t="s">
        <x:v>109</x:v>
      </x:c>
      <x:c r="X217" s="14" t="s">
        <x:v>117</x:v>
      </x:c>
      <x:c r="Y217" s="32" t="str">
        <x:v>TRN-0216|20240923</x:v>
      </x:c>
      <x:c r="Z217" s="32" t="str" cm="1">
        <x:f t="array" ref="Z21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217" s="33" t="n">
        <x:f>--OR(WorkforceData[[#This Row],[Status]]="Active",WorkforceData[[#This Row],[Promoted]]="Yes",WorkforceData[[#This Row],[Total Days Worked]]&gt;=121)</x:f>
        <x:v>0</x:v>
      </x:c>
      <x:c r="AB217" s="33" t="n">
        <x:f>IF(AND(Q217="Terminated",R217="",O217=0),1,0)</x:f>
        <x:v>0</x:v>
      </x:c>
      <x:c r="AC217" s="33" t="n">
        <x:f>--OR(WorkforceData[[#This Row],[Status]]="Resigned",WorkforceData[[#This Row],[Status After Training]]="Withdrew")</x:f>
        <x:v>1</x:v>
      </x:c>
      <x:c r="AD217" s="34" t="n">
        <x:f>EOMONTH(WorkforceData[[#This Row],[Training Date]],0)</x:f>
        <x:v>45565</x:v>
      </x:c>
      <x:c r="AE217" s="32" t="str">
        <x:f>IF(M217&lt;H217,"Existing Employee",IF(U217="","No Assignment",IF(V217=0,"0 Days",IF(V217&lt;=7,"1-7 Days",IF(V217&lt;=14,"8-14 Days",IF(V217&lt;=21,"15-21 Days","21+ Days"))))))</x:f>
        <x:v>1-7 Days</x:v>
      </x:c>
      <x:c r="AF21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1-7 Days</x:v>
      </x:c>
      <x:c r="AG217" s="33" t="n">
        <x:f>--(WorkforceData[[#This Row],[Total Days Worked]]&gt;=121)</x:f>
        <x:v>0</x:v>
      </x:c>
    </x:row>
    <x:row r="218">
      <x:c r="A218" s="236" t="str">
        <x:v>TRN-0217</x:v>
      </x:c>
      <x:c r="B218" s="243"/>
      <x:c r="C218" s="243"/>
      <x:c r="D218" s="243"/>
      <x:c r="E218" s="243"/>
      <x:c r="F218" s="14" t="str">
        <x:v>Recruiter G</x:v>
      </x:c>
      <x:c r="G218" s="14" t="str">
        <x:v>Training Center A</x:v>
      </x:c>
      <x:c r="H218" s="28">
        <x:v>45558</x:v>
      </x:c>
      <x:c r="I218" s="14">
        <x:v>2024</x:v>
      </x:c>
      <x:c r="J218" s="14" t="s">
        <x:v>127</x:v>
      </x:c>
      <x:c r="K218" s="14">
        <x:v>22</x:v>
      </x:c>
      <x:c r="L218" s="29" t="s">
        <x:v>101</x:v>
      </x:c>
      <x:c r="M218" s="28">
        <x:v>45558</x:v>
      </x:c>
      <x:c r="N218" s="14"/>
      <x:c r="O218" s="14">
        <x:v>693</x:v>
      </x:c>
      <x:c r="P218" s="14" t="s">
        <x:v>120</x:v>
      </x:c>
      <x:c r="Q218" s="14" t="s">
        <x:v>25</x:v>
      </x:c>
      <x:c r="R218" s="14"/>
      <x:c r="S218" s="14" t="s">
        <x:v>108</x:v>
      </x:c>
      <x:c r="T218" s="14" t="str">
        <x:v>Region D</x:v>
      </x:c>
      <x:c r="U218" s="28">
        <x:v>45614</x:v>
      </x:c>
      <x:c r="V218" s="30">
        <x:v>56</x:v>
      </x:c>
      <x:c r="W218" s="14" t="s">
        <x:v>63</x:v>
      </x:c>
      <x:c r="X218" s="14" t="s">
        <x:v>117</x:v>
      </x:c>
      <x:c r="Y218" s="32" t="str">
        <x:v>TRN-0217|20240923</x:v>
      </x:c>
      <x:c r="Z218" s="32" t="str" cm="1">
        <x:f t="array" ref="Z21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218" s="33" t="n">
        <x:f>--OR(WorkforceData[[#This Row],[Status]]="Active",WorkforceData[[#This Row],[Promoted]]="Yes",WorkforceData[[#This Row],[Total Days Worked]]&gt;=121)</x:f>
        <x:v>1</x:v>
      </x:c>
      <x:c r="AB218" s="33" t="n">
        <x:f>IF(AND(Q218="Terminated",R218="",O218=0),1,0)</x:f>
        <x:v>0</x:v>
      </x:c>
      <x:c r="AC218" s="33" t="n">
        <x:f>--OR(WorkforceData[[#This Row],[Status]]="Resigned",WorkforceData[[#This Row],[Status After Training]]="Withdrew")</x:f>
        <x:v>0</x:v>
      </x:c>
      <x:c r="AD218" s="34" t="n">
        <x:f>EOMONTH(WorkforceData[[#This Row],[Training Date]],0)</x:f>
        <x:v>45565</x:v>
      </x:c>
      <x:c r="AE218" s="32" t="str">
        <x:f>IF(M218&lt;H218,"Existing Employee",IF(U218="","No Assignment",IF(V218=0,"0 Days",IF(V218&lt;=7,"1-7 Days",IF(V218&lt;=14,"8-14 Days",IF(V218&lt;=21,"15-21 Days","21+ Days"))))))</x:f>
        <x:v>21+ Days</x:v>
      </x:c>
      <x:c r="AF21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18" s="33" t="n">
        <x:f>--(WorkforceData[[#This Row],[Total Days Worked]]&gt;=121)</x:f>
        <x:v>1</x:v>
      </x:c>
    </x:row>
    <x:row r="219">
      <x:c r="A219" s="236" t="str">
        <x:v>TRN-0218</x:v>
      </x:c>
      <x:c r="B219" s="243"/>
      <x:c r="C219" s="243"/>
      <x:c r="D219" s="243"/>
      <x:c r="E219" s="243"/>
      <x:c r="F219" s="14" t="str">
        <x:v>Recruiter F</x:v>
      </x:c>
      <x:c r="G219" s="14" t="str">
        <x:v>Training Center A</x:v>
      </x:c>
      <x:c r="H219" s="28">
        <x:v>45558</x:v>
      </x:c>
      <x:c r="I219" s="14">
        <x:v>2024</x:v>
      </x:c>
      <x:c r="J219" s="14" t="s">
        <x:v>127</x:v>
      </x:c>
      <x:c r="K219" s="14">
        <x:v>22</x:v>
      </x:c>
      <x:c r="L219" s="29" t="s">
        <x:v>101</x:v>
      </x:c>
      <x:c r="M219" s="28">
        <x:v>45556</x:v>
      </x:c>
      <x:c r="N219" s="14"/>
      <x:c r="O219" s="14">
        <x:v>695</x:v>
      </x:c>
      <x:c r="P219" s="14" t="s">
        <x:v>120</x:v>
      </x:c>
      <x:c r="Q219" s="14" t="s">
        <x:v>25</x:v>
      </x:c>
      <x:c r="R219" s="14"/>
      <x:c r="S219" s="14" t="s">
        <x:v>105</x:v>
      </x:c>
      <x:c r="T219" s="14" t="str">
        <x:v>Region B</x:v>
      </x:c>
      <x:c r="U219" s="28">
        <x:v>45667</x:v>
      </x:c>
      <x:c r="V219" s="30">
        <x:v>109</x:v>
      </x:c>
      <x:c r="W219" s="14" t="s">
        <x:v>114</x:v>
      </x:c>
      <x:c r="X219" s="14" t="s">
        <x:v>115</x:v>
      </x:c>
      <x:c r="Y219" s="32" t="str">
        <x:v>TRN-0218|20240923</x:v>
      </x:c>
      <x:c r="Z219" s="32" t="str" cm="1">
        <x:f t="array" ref="Z21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219" s="33" t="n">
        <x:f>--OR(WorkforceData[[#This Row],[Status]]="Active",WorkforceData[[#This Row],[Promoted]]="Yes",WorkforceData[[#This Row],[Total Days Worked]]&gt;=121)</x:f>
        <x:v>1</x:v>
      </x:c>
      <x:c r="AB219" s="33" t="n">
        <x:f>IF(AND(Q219="Terminated",R219="",O219=0),1,0)</x:f>
        <x:v>0</x:v>
      </x:c>
      <x:c r="AC219" s="33" t="n">
        <x:f>--OR(WorkforceData[[#This Row],[Status]]="Resigned",WorkforceData[[#This Row],[Status After Training]]="Withdrew")</x:f>
        <x:v>1</x:v>
      </x:c>
      <x:c r="AD219" s="34" t="n">
        <x:f>EOMONTH(WorkforceData[[#This Row],[Training Date]],0)</x:f>
        <x:v>45565</x:v>
      </x:c>
      <x:c r="AE219" s="32" t="str">
        <x:f>IF(M219&lt;H219,"Existing Employee",IF(U219="","No Assignment",IF(V219=0,"0 Days",IF(V219&lt;=7,"1-7 Days",IF(V219&lt;=14,"8-14 Days",IF(V219&lt;=21,"15-21 Days","21+ Days"))))))</x:f>
        <x:v>Existing Employee</x:v>
      </x:c>
      <x:c r="AF21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19" s="33" t="n">
        <x:f>--(WorkforceData[[#This Row],[Total Days Worked]]&gt;=121)</x:f>
        <x:v>1</x:v>
      </x:c>
    </x:row>
    <x:row r="220">
      <x:c r="A220" s="236" t="str">
        <x:v>TRN-0219</x:v>
      </x:c>
      <x:c r="B220" s="243"/>
      <x:c r="C220" s="243"/>
      <x:c r="D220" s="243"/>
      <x:c r="E220" s="243"/>
      <x:c r="F220" s="14" t="str">
        <x:v>Recruiter C</x:v>
      </x:c>
      <x:c r="G220" s="14" t="str">
        <x:v>Training Center A</x:v>
      </x:c>
      <x:c r="H220" s="28">
        <x:v>45558</x:v>
      </x:c>
      <x:c r="I220" s="14">
        <x:v>2024</x:v>
      </x:c>
      <x:c r="J220" s="14" t="s">
        <x:v>127</x:v>
      </x:c>
      <x:c r="K220" s="14">
        <x:v>22</x:v>
      </x:c>
      <x:c r="L220" s="29" t="s">
        <x:v>101</x:v>
      </x:c>
      <x:c r="M220" s="28">
        <x:v>45557</x:v>
      </x:c>
      <x:c r="N220" s="14"/>
      <x:c r="O220" s="14">
        <x:v>694</x:v>
      </x:c>
      <x:c r="P220" s="14" t="s">
        <x:v>120</x:v>
      </x:c>
      <x:c r="Q220" s="14" t="s">
        <x:v>25</x:v>
      </x:c>
      <x:c r="R220" s="14"/>
      <x:c r="S220" s="14" t="s">
        <x:v>108</x:v>
      </x:c>
      <x:c r="T220" s="14" t="str">
        <x:v>Region D</x:v>
      </x:c>
      <x:c r="U220" s="28">
        <x:v>45572</x:v>
      </x:c>
      <x:c r="V220" s="30">
        <x:v>14</x:v>
      </x:c>
      <x:c r="W220" s="14" t="s">
        <x:v>45</x:v>
      </x:c>
      <x:c r="X220" s="14" t="s">
        <x:v>106</x:v>
      </x:c>
      <x:c r="Y220" s="32" t="str">
        <x:v>TRN-0219|20240923</x:v>
      </x:c>
      <x:c r="Z220" s="32" t="str" cm="1">
        <x:f t="array" ref="Z22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220" s="33" t="n">
        <x:f>--OR(WorkforceData[[#This Row],[Status]]="Active",WorkforceData[[#This Row],[Promoted]]="Yes",WorkforceData[[#This Row],[Total Days Worked]]&gt;=121)</x:f>
        <x:v>1</x:v>
      </x:c>
      <x:c r="AB220" s="33" t="n">
        <x:f>IF(AND(Q220="Terminated",R220="",O220=0),1,0)</x:f>
        <x:v>0</x:v>
      </x:c>
      <x:c r="AC220" s="33" t="n">
        <x:f>--OR(WorkforceData[[#This Row],[Status]]="Resigned",WorkforceData[[#This Row],[Status After Training]]="Withdrew")</x:f>
        <x:v>0</x:v>
      </x:c>
      <x:c r="AD220" s="34" t="n">
        <x:f>EOMONTH(WorkforceData[[#This Row],[Training Date]],0)</x:f>
        <x:v>45565</x:v>
      </x:c>
      <x:c r="AE220" s="32" t="str">
        <x:f>IF(M220&lt;H220,"Existing Employee",IF(U220="","No Assignment",IF(V220=0,"0 Days",IF(V220&lt;=7,"1-7 Days",IF(V220&lt;=14,"8-14 Days",IF(V220&lt;=21,"15-21 Days","21+ Days"))))))</x:f>
        <x:v>Existing Employee</x:v>
      </x:c>
      <x:c r="AF22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20" s="33" t="n">
        <x:f>--(WorkforceData[[#This Row],[Total Days Worked]]&gt;=121)</x:f>
        <x:v>1</x:v>
      </x:c>
    </x:row>
    <x:row r="221">
      <x:c r="A221" s="236" t="str">
        <x:v>TRN-0220</x:v>
      </x:c>
      <x:c r="B221" s="243"/>
      <x:c r="C221" s="243"/>
      <x:c r="D221" s="243"/>
      <x:c r="E221" s="243"/>
      <x:c r="F221" s="14" t="str">
        <x:v>Recruiter G</x:v>
      </x:c>
      <x:c r="G221" s="14" t="str">
        <x:v>Training Center A</x:v>
      </x:c>
      <x:c r="H221" s="28">
        <x:v>45558</x:v>
      </x:c>
      <x:c r="I221" s="14">
        <x:v>2024</x:v>
      </x:c>
      <x:c r="J221" s="14" t="s">
        <x:v>127</x:v>
      </x:c>
      <x:c r="K221" s="14">
        <x:v>22</x:v>
      </x:c>
      <x:c r="L221" s="29" t="s">
        <x:v>101</x:v>
      </x:c>
      <x:c r="M221" s="28">
        <x:v>45553</x:v>
      </x:c>
      <x:c r="N221" s="14"/>
      <x:c r="O221" s="14">
        <x:v>698</x:v>
      </x:c>
      <x:c r="P221" s="14" t="s">
        <x:v>120</x:v>
      </x:c>
      <x:c r="Q221" s="14" t="s">
        <x:v>25</x:v>
      </x:c>
      <x:c r="R221" s="14"/>
      <x:c r="S221" s="14" t="s">
        <x:v>108</x:v>
      </x:c>
      <x:c r="T221" s="14" t="str">
        <x:v>Region B</x:v>
      </x:c>
      <x:c r="U221" s="28">
        <x:v>45559</x:v>
      </x:c>
      <x:c r="V221" s="30">
        <x:v>1</x:v>
      </x:c>
      <x:c r="W221" s="14" t="s">
        <x:v>109</x:v>
      </x:c>
      <x:c r="X221" s="14" t="s">
        <x:v>106</x:v>
      </x:c>
      <x:c r="Y221" s="32" t="str">
        <x:v>TRN-0220|20240923</x:v>
      </x:c>
      <x:c r="Z221" s="32" t="str" cm="1">
        <x:f t="array" ref="Z22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221" s="33" t="n">
        <x:f>--OR(WorkforceData[[#This Row],[Status]]="Active",WorkforceData[[#This Row],[Promoted]]="Yes",WorkforceData[[#This Row],[Total Days Worked]]&gt;=121)</x:f>
        <x:v>1</x:v>
      </x:c>
      <x:c r="AB221" s="33" t="n">
        <x:f>IF(AND(Q221="Terminated",R221="",O221=0),1,0)</x:f>
        <x:v>0</x:v>
      </x:c>
      <x:c r="AC221" s="33" t="n">
        <x:f>--OR(WorkforceData[[#This Row],[Status]]="Resigned",WorkforceData[[#This Row],[Status After Training]]="Withdrew")</x:f>
        <x:v>0</x:v>
      </x:c>
      <x:c r="AD221" s="34" t="n">
        <x:f>EOMONTH(WorkforceData[[#This Row],[Training Date]],0)</x:f>
        <x:v>45565</x:v>
      </x:c>
      <x:c r="AE221" s="32" t="str">
        <x:f>IF(M221&lt;H221,"Existing Employee",IF(U221="","No Assignment",IF(V221=0,"0 Days",IF(V221&lt;=7,"1-7 Days",IF(V221&lt;=14,"8-14 Days",IF(V221&lt;=21,"15-21 Days","21+ Days"))))))</x:f>
        <x:v>Existing Employee</x:v>
      </x:c>
      <x:c r="AF22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21" s="33" t="n">
        <x:f>--(WorkforceData[[#This Row],[Total Days Worked]]&gt;=121)</x:f>
        <x:v>1</x:v>
      </x:c>
    </x:row>
    <x:row r="222">
      <x:c r="A222" s="236" t="str">
        <x:v>TRN-0221</x:v>
      </x:c>
      <x:c r="B222" s="243"/>
      <x:c r="C222" s="243"/>
      <x:c r="D222" s="243"/>
      <x:c r="E222" s="243"/>
      <x:c r="F222" s="14" t="str">
        <x:v>Recruiter B</x:v>
      </x:c>
      <x:c r="G222" s="14" t="str">
        <x:v>Training Center A</x:v>
      </x:c>
      <x:c r="H222" s="28">
        <x:v>45558</x:v>
      </x:c>
      <x:c r="I222" s="14">
        <x:v>2024</x:v>
      </x:c>
      <x:c r="J222" s="14" t="s">
        <x:v>127</x:v>
      </x:c>
      <x:c r="K222" s="14">
        <x:v>22</x:v>
      </x:c>
      <x:c r="L222" s="29" t="s">
        <x:v>101</x:v>
      </x:c>
      <x:c r="M222" s="28">
        <x:v>45551</x:v>
      </x:c>
      <x:c r="N222" s="14"/>
      <x:c r="O222" s="14">
        <x:v>700</x:v>
      </x:c>
      <x:c r="P222" s="14" t="s">
        <x:v>120</x:v>
      </x:c>
      <x:c r="Q222" s="14" t="s">
        <x:v>25</x:v>
      </x:c>
      <x:c r="R222" s="14"/>
      <x:c r="S222" s="14" t="s">
        <x:v>108</x:v>
      </x:c>
      <x:c r="T222" s="14" t="str">
        <x:v>Region E</x:v>
      </x:c>
      <x:c r="U222" s="28">
        <x:v>45563</x:v>
      </x:c>
      <x:c r="V222" s="30">
        <x:v>5</x:v>
      </x:c>
      <x:c r="W222" s="14" t="s">
        <x:v>109</x:v>
      </x:c>
      <x:c r="X222" s="14" t="s">
        <x:v>106</x:v>
      </x:c>
      <x:c r="Y222" s="32" t="str">
        <x:v>TRN-0221|20240923</x:v>
      </x:c>
      <x:c r="Z222" s="32" t="str" cm="1">
        <x:f t="array" ref="Z22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222" s="33" t="n">
        <x:f>--OR(WorkforceData[[#This Row],[Status]]="Active",WorkforceData[[#This Row],[Promoted]]="Yes",WorkforceData[[#This Row],[Total Days Worked]]&gt;=121)</x:f>
        <x:v>1</x:v>
      </x:c>
      <x:c r="AB222" s="33" t="n">
        <x:f>IF(AND(Q222="Terminated",R222="",O222=0),1,0)</x:f>
        <x:v>0</x:v>
      </x:c>
      <x:c r="AC222" s="33" t="n">
        <x:f>--OR(WorkforceData[[#This Row],[Status]]="Resigned",WorkforceData[[#This Row],[Status After Training]]="Withdrew")</x:f>
        <x:v>0</x:v>
      </x:c>
      <x:c r="AD222" s="34" t="n">
        <x:f>EOMONTH(WorkforceData[[#This Row],[Training Date]],0)</x:f>
        <x:v>45565</x:v>
      </x:c>
      <x:c r="AE222" s="32" t="str">
        <x:f>IF(M222&lt;H222,"Existing Employee",IF(U222="","No Assignment",IF(V222=0,"0 Days",IF(V222&lt;=7,"1-7 Days",IF(V222&lt;=14,"8-14 Days",IF(V222&lt;=21,"15-21 Days","21+ Days"))))))</x:f>
        <x:v>Existing Employee</x:v>
      </x:c>
      <x:c r="AF22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22" s="33" t="n">
        <x:f>--(WorkforceData[[#This Row],[Total Days Worked]]&gt;=121)</x:f>
        <x:v>1</x:v>
      </x:c>
    </x:row>
    <x:row r="223">
      <x:c r="A223" s="236" t="str">
        <x:v>TRN-0222</x:v>
      </x:c>
      <x:c r="B223" s="243"/>
      <x:c r="C223" s="243"/>
      <x:c r="D223" s="243"/>
      <x:c r="E223" s="243"/>
      <x:c r="F223" s="14" t="str">
        <x:v>Recruiter E</x:v>
      </x:c>
      <x:c r="G223" s="14" t="str">
        <x:v>Training Center A</x:v>
      </x:c>
      <x:c r="H223" s="28">
        <x:v>45558</x:v>
      </x:c>
      <x:c r="I223" s="14">
        <x:v>2024</x:v>
      </x:c>
      <x:c r="J223" s="14" t="s">
        <x:v>127</x:v>
      </x:c>
      <x:c r="K223" s="14">
        <x:v>22</x:v>
      </x:c>
      <x:c r="L223" s="29" t="s">
        <x:v>101</x:v>
      </x:c>
      <x:c r="M223" s="28">
        <x:v>45555</x:v>
      </x:c>
      <x:c r="N223" s="28">
        <x:v>45572</x:v>
      </x:c>
      <x:c r="O223" s="14">
        <x:v>17</x:v>
      </x:c>
      <x:c r="P223" s="14" t="s">
        <x:v>102</x:v>
      </x:c>
      <x:c r="Q223" s="14" t="s">
        <x:v>103</x:v>
      </x:c>
      <x:c r="R223" s="14" t="s">
        <x:v>111</x:v>
      </x:c>
      <x:c r="S223" s="14" t="s">
        <x:v>105</x:v>
      </x:c>
      <x:c r="T223" s="14" t="str">
        <x:v>Region B</x:v>
      </x:c>
      <x:c r="U223" s="28">
        <x:v>45572</x:v>
      </x:c>
      <x:c r="V223" s="30">
        <x:v>14</x:v>
      </x:c>
      <x:c r="W223" s="14" t="s">
        <x:v>45</x:v>
      </x:c>
      <x:c r="X223" s="14" t="s">
        <x:v>117</x:v>
      </x:c>
      <x:c r="Y223" s="32" t="str">
        <x:v>TRN-0222|20240923</x:v>
      </x:c>
      <x:c r="Z223" s="32" t="str" cm="1">
        <x:f t="array" ref="Z22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223" s="33" t="n">
        <x:f>--OR(WorkforceData[[#This Row],[Status]]="Active",WorkforceData[[#This Row],[Promoted]]="Yes",WorkforceData[[#This Row],[Total Days Worked]]&gt;=121)</x:f>
        <x:v>0</x:v>
      </x:c>
      <x:c r="AB223" s="33" t="n">
        <x:f>IF(AND(Q223="Terminated",R223="",O223=0),1,0)</x:f>
        <x:v>0</x:v>
      </x:c>
      <x:c r="AC223" s="33" t="n">
        <x:f>--OR(WorkforceData[[#This Row],[Status]]="Resigned",WorkforceData[[#This Row],[Status After Training]]="Withdrew")</x:f>
        <x:v>1</x:v>
      </x:c>
      <x:c r="AD223" s="34" t="n">
        <x:f>EOMONTH(WorkforceData[[#This Row],[Training Date]],0)</x:f>
        <x:v>45565</x:v>
      </x:c>
      <x:c r="AE223" s="32" t="str">
        <x:f>IF(M223&lt;H223,"Existing Employee",IF(U223="","No Assignment",IF(V223=0,"0 Days",IF(V223&lt;=7,"1-7 Days",IF(V223&lt;=14,"8-14 Days",IF(V223&lt;=21,"15-21 Days","21+ Days"))))))</x:f>
        <x:v>Existing Employee</x:v>
      </x:c>
      <x:c r="AF22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223" s="33" t="n">
        <x:f>--(WorkforceData[[#This Row],[Total Days Worked]]&gt;=121)</x:f>
        <x:v>0</x:v>
      </x:c>
    </x:row>
    <x:row r="224">
      <x:c r="A224" s="236" t="str">
        <x:v>TRN-0223</x:v>
      </x:c>
      <x:c r="B224" s="243"/>
      <x:c r="C224" s="243"/>
      <x:c r="D224" s="243"/>
      <x:c r="E224" s="243"/>
      <x:c r="F224" s="14" t="str">
        <x:v>Recruiter A</x:v>
      </x:c>
      <x:c r="G224" s="14" t="str">
        <x:v>Training Center A</x:v>
      </x:c>
      <x:c r="H224" s="28">
        <x:v>45558</x:v>
      </x:c>
      <x:c r="I224" s="14">
        <x:v>2024</x:v>
      </x:c>
      <x:c r="J224" s="14" t="s">
        <x:v>127</x:v>
      </x:c>
      <x:c r="K224" s="14">
        <x:v>22</x:v>
      </x:c>
      <x:c r="L224" s="29" t="s">
        <x:v>101</x:v>
      </x:c>
      <x:c r="M224" s="28">
        <x:v>45558</x:v>
      </x:c>
      <x:c r="N224" s="28">
        <x:v>45566</x:v>
      </x:c>
      <x:c r="O224" s="14">
        <x:v>8</x:v>
      </x:c>
      <x:c r="P224" s="14" t="s">
        <x:v>102</x:v>
      </x:c>
      <x:c r="Q224" s="14" t="s">
        <x:v>103</x:v>
      </x:c>
      <x:c r="R224" s="14" t="s">
        <x:v>104</x:v>
      </x:c>
      <x:c r="S224" s="14" t="s">
        <x:v>105</x:v>
      </x:c>
      <x:c r="T224" s="14" t="str">
        <x:v>Region C</x:v>
      </x:c>
      <x:c r="U224" s="28">
        <x:v>45560</x:v>
      </x:c>
      <x:c r="V224" s="30">
        <x:v>2</x:v>
      </x:c>
      <x:c r="W224" s="14" t="s">
        <x:v>109</x:v>
      </x:c>
      <x:c r="X224" s="14" t="s">
        <x:v>106</x:v>
      </x:c>
      <x:c r="Y224" s="32" t="str">
        <x:v>TRN-0223|20240923</x:v>
      </x:c>
      <x:c r="Z224" s="32" t="str" cm="1">
        <x:f t="array" ref="Z22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224" s="33" t="n">
        <x:f>--OR(WorkforceData[[#This Row],[Status]]="Active",WorkforceData[[#This Row],[Promoted]]="Yes",WorkforceData[[#This Row],[Total Days Worked]]&gt;=121)</x:f>
        <x:v>0</x:v>
      </x:c>
      <x:c r="AB224" s="33" t="n">
        <x:f>IF(AND(Q224="Terminated",R224="",O224=0),1,0)</x:f>
        <x:v>0</x:v>
      </x:c>
      <x:c r="AC224" s="33" t="n">
        <x:f>--OR(WorkforceData[[#This Row],[Status]]="Resigned",WorkforceData[[#This Row],[Status After Training]]="Withdrew")</x:f>
        <x:v>1</x:v>
      </x:c>
      <x:c r="AD224" s="34" t="n">
        <x:f>EOMONTH(WorkforceData[[#This Row],[Training Date]],0)</x:f>
        <x:v>45565</x:v>
      </x:c>
      <x:c r="AE224" s="32" t="str">
        <x:f>IF(M224&lt;H224,"Existing Employee",IF(U224="","No Assignment",IF(V224=0,"0 Days",IF(V224&lt;=7,"1-7 Days",IF(V224&lt;=14,"8-14 Days",IF(V224&lt;=21,"15-21 Days","21+ Days"))))))</x:f>
        <x:v>1-7 Days</x:v>
      </x:c>
      <x:c r="AF22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224" s="33" t="n">
        <x:f>--(WorkforceData[[#This Row],[Total Days Worked]]&gt;=121)</x:f>
        <x:v>0</x:v>
      </x:c>
    </x:row>
    <x:row r="225">
      <x:c r="A225" s="236" t="str">
        <x:v>TRN-0224</x:v>
      </x:c>
      <x:c r="B225" s="243"/>
      <x:c r="C225" s="243"/>
      <x:c r="D225" s="243"/>
      <x:c r="E225" s="243"/>
      <x:c r="F225" s="14" t="str">
        <x:v>Recruiter B</x:v>
      </x:c>
      <x:c r="G225" s="14" t="str">
        <x:v>Training Center A</x:v>
      </x:c>
      <x:c r="H225" s="28">
        <x:v>45558</x:v>
      </x:c>
      <x:c r="I225" s="14">
        <x:v>2024</x:v>
      </x:c>
      <x:c r="J225" s="14" t="s">
        <x:v>127</x:v>
      </x:c>
      <x:c r="K225" s="14">
        <x:v>22</x:v>
      </x:c>
      <x:c r="L225" s="29" t="s">
        <x:v>101</x:v>
      </x:c>
      <x:c r="M225" s="28">
        <x:v>45555</x:v>
      </x:c>
      <x:c r="N225" s="14"/>
      <x:c r="O225" s="14">
        <x:v>696</x:v>
      </x:c>
      <x:c r="P225" s="14" t="s">
        <x:v>120</x:v>
      </x:c>
      <x:c r="Q225" s="14" t="s">
        <x:v>25</x:v>
      </x:c>
      <x:c r="R225" s="14"/>
      <x:c r="S225" s="14" t="s">
        <x:v>108</x:v>
      </x:c>
      <x:c r="T225" s="14" t="str">
        <x:v>Region A</x:v>
      </x:c>
      <x:c r="U225" s="28">
        <x:v>45571</x:v>
      </x:c>
      <x:c r="V225" s="30">
        <x:v>13</x:v>
      </x:c>
      <x:c r="W225" s="14" t="s">
        <x:v>45</x:v>
      </x:c>
      <x:c r="X225" s="14" t="s">
        <x:v>106</x:v>
      </x:c>
      <x:c r="Y225" s="32" t="str">
        <x:v>TRN-0224|20240923</x:v>
      </x:c>
      <x:c r="Z225" s="32" t="str" cm="1">
        <x:f t="array" ref="Z22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225" s="33" t="n">
        <x:f>--OR(WorkforceData[[#This Row],[Status]]="Active",WorkforceData[[#This Row],[Promoted]]="Yes",WorkforceData[[#This Row],[Total Days Worked]]&gt;=121)</x:f>
        <x:v>1</x:v>
      </x:c>
      <x:c r="AB225" s="33" t="n">
        <x:f>IF(AND(Q225="Terminated",R225="",O225=0),1,0)</x:f>
        <x:v>0</x:v>
      </x:c>
      <x:c r="AC225" s="33" t="n">
        <x:f>--OR(WorkforceData[[#This Row],[Status]]="Resigned",WorkforceData[[#This Row],[Status After Training]]="Withdrew")</x:f>
        <x:v>0</x:v>
      </x:c>
      <x:c r="AD225" s="34" t="n">
        <x:f>EOMONTH(WorkforceData[[#This Row],[Training Date]],0)</x:f>
        <x:v>45565</x:v>
      </x:c>
      <x:c r="AE225" s="32" t="str">
        <x:f>IF(M225&lt;H225,"Existing Employee",IF(U225="","No Assignment",IF(V225=0,"0 Days",IF(V225&lt;=7,"1-7 Days",IF(V225&lt;=14,"8-14 Days",IF(V225&lt;=21,"15-21 Days","21+ Days"))))))</x:f>
        <x:v>Existing Employee</x:v>
      </x:c>
      <x:c r="AF22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25" s="33" t="n">
        <x:f>--(WorkforceData[[#This Row],[Total Days Worked]]&gt;=121)</x:f>
        <x:v>1</x:v>
      </x:c>
    </x:row>
    <x:row r="226">
      <x:c r="A226" s="236" t="str">
        <x:v>TRN-0225</x:v>
      </x:c>
      <x:c r="B226" s="243"/>
      <x:c r="C226" s="243"/>
      <x:c r="D226" s="243"/>
      <x:c r="E226" s="243"/>
      <x:c r="F226" s="14" t="str">
        <x:v>Recruiter B</x:v>
      </x:c>
      <x:c r="G226" s="14" t="str">
        <x:v>Training Center A</x:v>
      </x:c>
      <x:c r="H226" s="28">
        <x:v>45558</x:v>
      </x:c>
      <x:c r="I226" s="14">
        <x:v>2024</x:v>
      </x:c>
      <x:c r="J226" s="14" t="s">
        <x:v>127</x:v>
      </x:c>
      <x:c r="K226" s="14">
        <x:v>22</x:v>
      </x:c>
      <x:c r="L226" s="29" t="s">
        <x:v>101</x:v>
      </x:c>
      <x:c r="M226" s="28">
        <x:v>45558</x:v>
      </x:c>
      <x:c r="N226" s="28">
        <x:v>45568</x:v>
      </x:c>
      <x:c r="O226" s="14">
        <x:v>10</x:v>
      </x:c>
      <x:c r="P226" s="14" t="s">
        <x:v>102</x:v>
      </x:c>
      <x:c r="Q226" s="14" t="s">
        <x:v>103</x:v>
      </x:c>
      <x:c r="R226" s="14" t="s">
        <x:v>111</x:v>
      </x:c>
      <x:c r="S226" s="14" t="s">
        <x:v>105</x:v>
      </x:c>
      <x:c r="T226" s="14"/>
      <x:c r="U226" s="28"/>
      <x:c r="V226" s="30"/>
      <x:c r="W226" s="14"/>
      <x:c r="X226" s="14" t="s">
        <x:v>71</x:v>
      </x:c>
      <x:c r="Y226" s="32" t="str">
        <x:v>TRN-0225|20240923</x:v>
      </x:c>
      <x:c r="Z226" s="32" t="str" cm="1">
        <x:f t="array" ref="Z22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226" s="33" t="n">
        <x:f>--OR(WorkforceData[[#This Row],[Status]]="Active",WorkforceData[[#This Row],[Promoted]]="Yes",WorkforceData[[#This Row],[Total Days Worked]]&gt;=121)</x:f>
        <x:v>0</x:v>
      </x:c>
      <x:c r="AB226" s="33" t="n">
        <x:f>IF(AND(Q226="Terminated",R226="",O226=0),1,0)</x:f>
        <x:v>0</x:v>
      </x:c>
      <x:c r="AC226" s="33" t="n">
        <x:f>--OR(WorkforceData[[#This Row],[Status]]="Resigned",WorkforceData[[#This Row],[Status After Training]]="Withdrew")</x:f>
        <x:v>1</x:v>
      </x:c>
      <x:c r="AD226" s="34" t="n">
        <x:f>EOMONTH(WorkforceData[[#This Row],[Training Date]],0)</x:f>
        <x:v>45565</x:v>
      </x:c>
      <x:c r="AE226" s="32" t="str">
        <x:f>IF(M226&lt;H226,"Existing Employee",IF(U226="","No Assignment",IF(V226=0,"0 Days",IF(V226&lt;=7,"1-7 Days",IF(V226&lt;=14,"8-14 Days",IF(V226&lt;=21,"15-21 Days","21+ Days"))))))</x:f>
        <x:v>No Assignment</x:v>
      </x:c>
      <x:c r="AF22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226" s="33" t="n">
        <x:f>--(WorkforceData[[#This Row],[Total Days Worked]]&gt;=121)</x:f>
        <x:v>0</x:v>
      </x:c>
    </x:row>
    <x:row r="227">
      <x:c r="A227" s="236" t="str">
        <x:v>TRN-0226</x:v>
      </x:c>
      <x:c r="B227" s="243"/>
      <x:c r="C227" s="243"/>
      <x:c r="D227" s="243"/>
      <x:c r="E227" s="243"/>
      <x:c r="F227" s="14" t="str">
        <x:v>Recruiter A</x:v>
      </x:c>
      <x:c r="G227" s="14" t="str">
        <x:v>Training Center A</x:v>
      </x:c>
      <x:c r="H227" s="28">
        <x:v>45558</x:v>
      </x:c>
      <x:c r="I227" s="14">
        <x:v>2024</x:v>
      </x:c>
      <x:c r="J227" s="14" t="s">
        <x:v>127</x:v>
      </x:c>
      <x:c r="K227" s="14">
        <x:v>22</x:v>
      </x:c>
      <x:c r="L227" s="29" t="s">
        <x:v>101</x:v>
      </x:c>
      <x:c r="M227" s="28">
        <x:v>45555</x:v>
      </x:c>
      <x:c r="N227" s="28">
        <x:v>45613</x:v>
      </x:c>
      <x:c r="O227" s="14">
        <x:v>58</x:v>
      </x:c>
      <x:c r="P227" s="14" t="s">
        <x:v>110</x:v>
      </x:c>
      <x:c r="Q227" s="14" t="s">
        <x:v>33</x:v>
      </x:c>
      <x:c r="R227" s="14" t="s">
        <x:v>116</x:v>
      </x:c>
      <x:c r="S227" s="14" t="s">
        <x:v>105</x:v>
      </x:c>
      <x:c r="T227" s="14" t="str">
        <x:v>Region C</x:v>
      </x:c>
      <x:c r="U227" s="28">
        <x:v>45613</x:v>
      </x:c>
      <x:c r="V227" s="30">
        <x:v>55</x:v>
      </x:c>
      <x:c r="W227" s="14" t="s">
        <x:v>63</x:v>
      </x:c>
      <x:c r="X227" s="14" t="s">
        <x:v>117</x:v>
      </x:c>
      <x:c r="Y227" s="32" t="str">
        <x:v>TRN-0226|20240923</x:v>
      </x:c>
      <x:c r="Z227" s="32" t="str" cm="1">
        <x:f t="array" ref="Z22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227" s="33" t="n">
        <x:f>--OR(WorkforceData[[#This Row],[Status]]="Active",WorkforceData[[#This Row],[Promoted]]="Yes",WorkforceData[[#This Row],[Total Days Worked]]&gt;=121)</x:f>
        <x:v>0</x:v>
      </x:c>
      <x:c r="AB227" s="33" t="n">
        <x:f>IF(AND(Q227="Terminated",R227="",O227=0),1,0)</x:f>
        <x:v>0</x:v>
      </x:c>
      <x:c r="AC227" s="33" t="n">
        <x:f>--OR(WorkforceData[[#This Row],[Status]]="Resigned",WorkforceData[[#This Row],[Status After Training]]="Withdrew")</x:f>
        <x:v>0</x:v>
      </x:c>
      <x:c r="AD227" s="34" t="n">
        <x:f>EOMONTH(WorkforceData[[#This Row],[Training Date]],0)</x:f>
        <x:v>45565</x:v>
      </x:c>
      <x:c r="AE227" s="32" t="str">
        <x:f>IF(M227&lt;H227,"Existing Employee",IF(U227="","No Assignment",IF(V227=0,"0 Days",IF(V227&lt;=7,"1-7 Days",IF(V227&lt;=14,"8-14 Days",IF(V227&lt;=21,"15-21 Days","21+ Days"))))))</x:f>
        <x:v>Existing Employee</x:v>
      </x:c>
      <x:c r="AF22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227" s="33" t="n">
        <x:f>--(WorkforceData[[#This Row],[Total Days Worked]]&gt;=121)</x:f>
        <x:v>0</x:v>
      </x:c>
    </x:row>
    <x:row r="228">
      <x:c r="A228" s="236" t="str">
        <x:v>TRN-0227</x:v>
      </x:c>
      <x:c r="B228" s="243"/>
      <x:c r="C228" s="243"/>
      <x:c r="D228" s="243"/>
      <x:c r="E228" s="243"/>
      <x:c r="F228" s="14" t="str">
        <x:v>Recruiter C</x:v>
      </x:c>
      <x:c r="G228" s="14" t="str">
        <x:v>Training Center A</x:v>
      </x:c>
      <x:c r="H228" s="28">
        <x:v>45558</x:v>
      </x:c>
      <x:c r="I228" s="14">
        <x:v>2024</x:v>
      </x:c>
      <x:c r="J228" s="14" t="s">
        <x:v>127</x:v>
      </x:c>
      <x:c r="K228" s="14">
        <x:v>22</x:v>
      </x:c>
      <x:c r="L228" s="29" t="s">
        <x:v>101</x:v>
      </x:c>
      <x:c r="M228" s="28">
        <x:v>45558</x:v>
      </x:c>
      <x:c r="N228" s="28">
        <x:v>45574</x:v>
      </x:c>
      <x:c r="O228" s="14">
        <x:v>16</x:v>
      </x:c>
      <x:c r="P228" s="14" t="s">
        <x:v>102</x:v>
      </x:c>
      <x:c r="Q228" s="14" t="s">
        <x:v>103</x:v>
      </x:c>
      <x:c r="R228" s="14" t="s">
        <x:v>111</x:v>
      </x:c>
      <x:c r="S228" s="14" t="s">
        <x:v>105</x:v>
      </x:c>
      <x:c r="T228" s="14" t="str">
        <x:v>Region D</x:v>
      </x:c>
      <x:c r="U228" s="28">
        <x:v>45558</x:v>
      </x:c>
      <x:c r="V228" s="30">
        <x:v>0</x:v>
      </x:c>
      <x:c r="W228" s="14" t="s">
        <x:v>109</x:v>
      </x:c>
      <x:c r="X228" s="14" t="s">
        <x:v>106</x:v>
      </x:c>
      <x:c r="Y228" s="32" t="str">
        <x:v>TRN-0227|20240923</x:v>
      </x:c>
      <x:c r="Z228" s="32" t="str" cm="1">
        <x:f t="array" ref="Z22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228" s="33" t="n">
        <x:f>--OR(WorkforceData[[#This Row],[Status]]="Active",WorkforceData[[#This Row],[Promoted]]="Yes",WorkforceData[[#This Row],[Total Days Worked]]&gt;=121)</x:f>
        <x:v>0</x:v>
      </x:c>
      <x:c r="AB228" s="33" t="n">
        <x:f>IF(AND(Q228="Terminated",R228="",O228=0),1,0)</x:f>
        <x:v>0</x:v>
      </x:c>
      <x:c r="AC228" s="33" t="n">
        <x:f>--OR(WorkforceData[[#This Row],[Status]]="Resigned",WorkforceData[[#This Row],[Status After Training]]="Withdrew")</x:f>
        <x:v>1</x:v>
      </x:c>
      <x:c r="AD228" s="34" t="n">
        <x:f>EOMONTH(WorkforceData[[#This Row],[Training Date]],0)</x:f>
        <x:v>45565</x:v>
      </x:c>
      <x:c r="AE228" s="32" t="str">
        <x:f>IF(M228&lt;H228,"Existing Employee",IF(U228="","No Assignment",IF(V228=0,"0 Days",IF(V228&lt;=7,"1-7 Days",IF(V228&lt;=14,"8-14 Days",IF(V228&lt;=21,"15-21 Days","21+ Days"))))))</x:f>
        <x:v>0 Days</x:v>
      </x:c>
      <x:c r="AF22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228" s="33" t="n">
        <x:f>--(WorkforceData[[#This Row],[Total Days Worked]]&gt;=121)</x:f>
        <x:v>0</x:v>
      </x:c>
    </x:row>
    <x:row r="229">
      <x:c r="A229" s="236" t="str">
        <x:v>TRN-0228</x:v>
      </x:c>
      <x:c r="B229" s="243"/>
      <x:c r="C229" s="243"/>
      <x:c r="D229" s="243"/>
      <x:c r="E229" s="243"/>
      <x:c r="F229" s="14" t="str">
        <x:v>Recruiter B</x:v>
      </x:c>
      <x:c r="G229" s="14" t="str">
        <x:v>Training Center A</x:v>
      </x:c>
      <x:c r="H229" s="28">
        <x:v>45558</x:v>
      </x:c>
      <x:c r="I229" s="14">
        <x:v>2024</x:v>
      </x:c>
      <x:c r="J229" s="14" t="s">
        <x:v>127</x:v>
      </x:c>
      <x:c r="K229" s="14">
        <x:v>22</x:v>
      </x:c>
      <x:c r="L229" s="29" t="s">
        <x:v>101</x:v>
      </x:c>
      <x:c r="M229" s="28">
        <x:v>45558</x:v>
      </x:c>
      <x:c r="N229" s="28">
        <x:v>45649</x:v>
      </x:c>
      <x:c r="O229" s="14">
        <x:v>91</x:v>
      </x:c>
      <x:c r="P229" s="14" t="s">
        <x:v>113</x:v>
      </x:c>
      <x:c r="Q229" s="14" t="s">
        <x:v>33</x:v>
      </x:c>
      <x:c r="R229" s="14" t="s">
        <x:v>124</x:v>
      </x:c>
      <x:c r="S229" s="14" t="s">
        <x:v>105</x:v>
      </x:c>
      <x:c r="T229" s="14" t="str">
        <x:v>Region B</x:v>
      </x:c>
      <x:c r="U229" s="28">
        <x:v>45570</x:v>
      </x:c>
      <x:c r="V229" s="30">
        <x:v>12</x:v>
      </x:c>
      <x:c r="W229" s="14" t="s">
        <x:v>45</x:v>
      </x:c>
      <x:c r="X229" s="14" t="s">
        <x:v>106</x:v>
      </x:c>
      <x:c r="Y229" s="32" t="str">
        <x:v>TRN-0228|20240923</x:v>
      </x:c>
      <x:c r="Z229" s="32" t="str" cm="1">
        <x:f t="array" ref="Z22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229" s="33" t="n">
        <x:f>--OR(WorkforceData[[#This Row],[Status]]="Active",WorkforceData[[#This Row],[Promoted]]="Yes",WorkforceData[[#This Row],[Total Days Worked]]&gt;=121)</x:f>
        <x:v>0</x:v>
      </x:c>
      <x:c r="AB229" s="33" t="n">
        <x:f>IF(AND(Q229="Terminated",R229="",O229=0),1,0)</x:f>
        <x:v>0</x:v>
      </x:c>
      <x:c r="AC229" s="33" t="n">
        <x:f>--OR(WorkforceData[[#This Row],[Status]]="Resigned",WorkforceData[[#This Row],[Status After Training]]="Withdrew")</x:f>
        <x:v>0</x:v>
      </x:c>
      <x:c r="AD229" s="34" t="n">
        <x:f>EOMONTH(WorkforceData[[#This Row],[Training Date]],0)</x:f>
        <x:v>45565</x:v>
      </x:c>
      <x:c r="AE229" s="32" t="str">
        <x:f>IF(M229&lt;H229,"Existing Employee",IF(U229="","No Assignment",IF(V229=0,"0 Days",IF(V229&lt;=7,"1-7 Days",IF(V229&lt;=14,"8-14 Days",IF(V229&lt;=21,"15-21 Days","21+ Days"))))))</x:f>
        <x:v>8-14 Days</x:v>
      </x:c>
      <x:c r="AF22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91-120 Days</x:v>
      </x:c>
      <x:c r="AG229" s="33" t="n">
        <x:f>--(WorkforceData[[#This Row],[Total Days Worked]]&gt;=121)</x:f>
        <x:v>0</x:v>
      </x:c>
    </x:row>
    <x:row r="230">
      <x:c r="A230" s="236" t="str">
        <x:v>TRN-0229</x:v>
      </x:c>
      <x:c r="B230" s="243"/>
      <x:c r="C230" s="243"/>
      <x:c r="D230" s="243"/>
      <x:c r="E230" s="243"/>
      <x:c r="F230" s="14" t="str">
        <x:v>Recruiter A</x:v>
      </x:c>
      <x:c r="G230" s="14" t="str">
        <x:v>Training Center A</x:v>
      </x:c>
      <x:c r="H230" s="28">
        <x:v>45558</x:v>
      </x:c>
      <x:c r="I230" s="14">
        <x:v>2024</x:v>
      </x:c>
      <x:c r="J230" s="14" t="s">
        <x:v>127</x:v>
      </x:c>
      <x:c r="K230" s="14">
        <x:v>22</x:v>
      </x:c>
      <x:c r="L230" s="29" t="s">
        <x:v>101</x:v>
      </x:c>
      <x:c r="M230" s="28">
        <x:v>45556</x:v>
      </x:c>
      <x:c r="N230" s="14"/>
      <x:c r="O230" s="14">
        <x:v>695</x:v>
      </x:c>
      <x:c r="P230" s="14" t="s">
        <x:v>120</x:v>
      </x:c>
      <x:c r="Q230" s="14" t="s">
        <x:v>38</x:v>
      </x:c>
      <x:c r="R230" s="14"/>
      <x:c r="S230" s="14" t="s">
        <x:v>108</x:v>
      </x:c>
      <x:c r="T230" s="14" t="str">
        <x:v>Region C</x:v>
      </x:c>
      <x:c r="U230" s="28">
        <x:v>45561</x:v>
      </x:c>
      <x:c r="V230" s="30">
        <x:v>3</x:v>
      </x:c>
      <x:c r="W230" s="14" t="s">
        <x:v>109</x:v>
      </x:c>
      <x:c r="X230" s="14" t="s">
        <x:v>106</x:v>
      </x:c>
      <x:c r="Y230" s="32" t="str">
        <x:v>TRN-0229|20240923</x:v>
      </x:c>
      <x:c r="Z230" s="32" t="str" cm="1">
        <x:f t="array" ref="Z23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230" s="33" t="n">
        <x:f>--OR(WorkforceData[[#This Row],[Status]]="Active",WorkforceData[[#This Row],[Promoted]]="Yes",WorkforceData[[#This Row],[Total Days Worked]]&gt;=121)</x:f>
        <x:v>1</x:v>
      </x:c>
      <x:c r="AB230" s="33" t="n">
        <x:f>IF(AND(Q230="Terminated",R230="",O230=0),1,0)</x:f>
        <x:v>0</x:v>
      </x:c>
      <x:c r="AC230" s="33" t="n">
        <x:f>--OR(WorkforceData[[#This Row],[Status]]="Resigned",WorkforceData[[#This Row],[Status After Training]]="Withdrew")</x:f>
        <x:v>0</x:v>
      </x:c>
      <x:c r="AD230" s="34" t="n">
        <x:f>EOMONTH(WorkforceData[[#This Row],[Training Date]],0)</x:f>
        <x:v>45565</x:v>
      </x:c>
      <x:c r="AE230" s="32" t="str">
        <x:f>IF(M230&lt;H230,"Existing Employee",IF(U230="","No Assignment",IF(V230=0,"0 Days",IF(V230&lt;=7,"1-7 Days",IF(V230&lt;=14,"8-14 Days",IF(V230&lt;=21,"15-21 Days","21+ Days"))))))</x:f>
        <x:v>Existing Employee</x:v>
      </x:c>
      <x:c r="AF23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30" s="33" t="n">
        <x:f>--(WorkforceData[[#This Row],[Total Days Worked]]&gt;=121)</x:f>
        <x:v>1</x:v>
      </x:c>
    </x:row>
    <x:row r="231">
      <x:c r="A231" s="236" t="str">
        <x:v>TRN-0230</x:v>
      </x:c>
      <x:c r="B231" s="243"/>
      <x:c r="C231" s="243"/>
      <x:c r="D231" s="243"/>
      <x:c r="E231" s="243"/>
      <x:c r="F231" s="14" t="str">
        <x:v>Recruiter G</x:v>
      </x:c>
      <x:c r="G231" s="14" t="str">
        <x:v>Training Center A</x:v>
      </x:c>
      <x:c r="H231" s="28">
        <x:v>45558</x:v>
      </x:c>
      <x:c r="I231" s="14">
        <x:v>2024</x:v>
      </x:c>
      <x:c r="J231" s="14" t="s">
        <x:v>127</x:v>
      </x:c>
      <x:c r="K231" s="14">
        <x:v>22</x:v>
      </x:c>
      <x:c r="L231" s="29" t="s">
        <x:v>101</x:v>
      </x:c>
      <x:c r="M231" s="28">
        <x:v>45558</x:v>
      </x:c>
      <x:c r="N231" s="14"/>
      <x:c r="O231" s="14">
        <x:v>693</x:v>
      </x:c>
      <x:c r="P231" s="14" t="s">
        <x:v>120</x:v>
      </x:c>
      <x:c r="Q231" s="14" t="s">
        <x:v>25</x:v>
      </x:c>
      <x:c r="R231" s="14"/>
      <x:c r="S231" s="14" t="s">
        <x:v>108</x:v>
      </x:c>
      <x:c r="T231" s="14" t="str">
        <x:v>Region C</x:v>
      </x:c>
      <x:c r="U231" s="28">
        <x:v>45570</x:v>
      </x:c>
      <x:c r="V231" s="30">
        <x:v>12</x:v>
      </x:c>
      <x:c r="W231" s="14" t="s">
        <x:v>45</x:v>
      </x:c>
      <x:c r="X231" s="14" t="s">
        <x:v>106</x:v>
      </x:c>
      <x:c r="Y231" s="32" t="str">
        <x:v>TRN-0230|20240923</x:v>
      </x:c>
      <x:c r="Z231" s="32" t="str" cm="1">
        <x:f t="array" ref="Z23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231" s="33" t="n">
        <x:f>--OR(WorkforceData[[#This Row],[Status]]="Active",WorkforceData[[#This Row],[Promoted]]="Yes",WorkforceData[[#This Row],[Total Days Worked]]&gt;=121)</x:f>
        <x:v>1</x:v>
      </x:c>
      <x:c r="AB231" s="33" t="n">
        <x:f>IF(AND(Q231="Terminated",R231="",O231=0),1,0)</x:f>
        <x:v>0</x:v>
      </x:c>
      <x:c r="AC231" s="33" t="n">
        <x:f>--OR(WorkforceData[[#This Row],[Status]]="Resigned",WorkforceData[[#This Row],[Status After Training]]="Withdrew")</x:f>
        <x:v>0</x:v>
      </x:c>
      <x:c r="AD231" s="34" t="n">
        <x:f>EOMONTH(WorkforceData[[#This Row],[Training Date]],0)</x:f>
        <x:v>45565</x:v>
      </x:c>
      <x:c r="AE231" s="32" t="str">
        <x:f>IF(M231&lt;H231,"Existing Employee",IF(U231="","No Assignment",IF(V231=0,"0 Days",IF(V231&lt;=7,"1-7 Days",IF(V231&lt;=14,"8-14 Days",IF(V231&lt;=21,"15-21 Days","21+ Days"))))))</x:f>
        <x:v>8-14 Days</x:v>
      </x:c>
      <x:c r="AF23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31" s="33" t="n">
        <x:f>--(WorkforceData[[#This Row],[Total Days Worked]]&gt;=121)</x:f>
        <x:v>1</x:v>
      </x:c>
    </x:row>
    <x:row r="232">
      <x:c r="A232" s="236" t="str">
        <x:v>TRN-0231</x:v>
      </x:c>
      <x:c r="B232" s="243"/>
      <x:c r="C232" s="243"/>
      <x:c r="D232" s="243"/>
      <x:c r="E232" s="243"/>
      <x:c r="F232" s="14" t="str">
        <x:v>Recruiter F</x:v>
      </x:c>
      <x:c r="G232" s="14" t="str">
        <x:v>Training Center A</x:v>
      </x:c>
      <x:c r="H232" s="28">
        <x:v>45558</x:v>
      </x:c>
      <x:c r="I232" s="14">
        <x:v>2024</x:v>
      </x:c>
      <x:c r="J232" s="14" t="s">
        <x:v>127</x:v>
      </x:c>
      <x:c r="K232" s="14">
        <x:v>22</x:v>
      </x:c>
      <x:c r="L232" s="29" t="s">
        <x:v>101</x:v>
      </x:c>
      <x:c r="M232" s="28">
        <x:v>45548</x:v>
      </x:c>
      <x:c r="N232" s="28">
        <x:v>45621</x:v>
      </x:c>
      <x:c r="O232" s="14">
        <x:v>73</x:v>
      </x:c>
      <x:c r="P232" s="14" t="s">
        <x:v>110</x:v>
      </x:c>
      <x:c r="Q232" s="14" t="s">
        <x:v>103</x:v>
      </x:c>
      <x:c r="R232" s="14" t="s">
        <x:v>111</x:v>
      </x:c>
      <x:c r="S232" s="14" t="s">
        <x:v>105</x:v>
      </x:c>
      <x:c r="T232" s="14" t="str">
        <x:v>Region B</x:v>
      </x:c>
      <x:c r="U232" s="28">
        <x:v>45572</x:v>
      </x:c>
      <x:c r="V232" s="30">
        <x:v>14</x:v>
      </x:c>
      <x:c r="W232" s="14" t="s">
        <x:v>45</x:v>
      </x:c>
      <x:c r="X232" s="14" t="s">
        <x:v>106</x:v>
      </x:c>
      <x:c r="Y232" s="32" t="str">
        <x:v>TRN-0231|20240923</x:v>
      </x:c>
      <x:c r="Z232" s="32" t="str" cm="1">
        <x:f t="array" ref="Z23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232" s="33" t="n">
        <x:f>--OR(WorkforceData[[#This Row],[Status]]="Active",WorkforceData[[#This Row],[Promoted]]="Yes",WorkforceData[[#This Row],[Total Days Worked]]&gt;=121)</x:f>
        <x:v>0</x:v>
      </x:c>
      <x:c r="AB232" s="33" t="n">
        <x:f>IF(AND(Q232="Terminated",R232="",O232=0),1,0)</x:f>
        <x:v>0</x:v>
      </x:c>
      <x:c r="AC232" s="33" t="n">
        <x:f>--OR(WorkforceData[[#This Row],[Status]]="Resigned",WorkforceData[[#This Row],[Status After Training]]="Withdrew")</x:f>
        <x:v>1</x:v>
      </x:c>
      <x:c r="AD232" s="34" t="n">
        <x:f>EOMONTH(WorkforceData[[#This Row],[Training Date]],0)</x:f>
        <x:v>45565</x:v>
      </x:c>
      <x:c r="AE232" s="32" t="str">
        <x:f>IF(M232&lt;H232,"Existing Employee",IF(U232="","No Assignment",IF(V232=0,"0 Days",IF(V232&lt;=7,"1-7 Days",IF(V232&lt;=14,"8-14 Days",IF(V232&lt;=21,"15-21 Days","21+ Days"))))))</x:f>
        <x:v>Existing Employee</x:v>
      </x:c>
      <x:c r="AF23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61-90 Days</x:v>
      </x:c>
      <x:c r="AG232" s="33" t="n">
        <x:f>--(WorkforceData[[#This Row],[Total Days Worked]]&gt;=121)</x:f>
        <x:v>0</x:v>
      </x:c>
    </x:row>
    <x:row r="233">
      <x:c r="A233" s="236" t="str">
        <x:v>TRN-0232</x:v>
      </x:c>
      <x:c r="B233" s="243"/>
      <x:c r="C233" s="243"/>
      <x:c r="D233" s="243"/>
      <x:c r="E233" s="243"/>
      <x:c r="F233" s="14" t="str">
        <x:v>Recruiter G</x:v>
      </x:c>
      <x:c r="G233" s="14" t="str">
        <x:v>Training Center A</x:v>
      </x:c>
      <x:c r="H233" s="28">
        <x:v>45558</x:v>
      </x:c>
      <x:c r="I233" s="14">
        <x:v>2024</x:v>
      </x:c>
      <x:c r="J233" s="14" t="s">
        <x:v>127</x:v>
      </x:c>
      <x:c r="K233" s="14">
        <x:v>22</x:v>
      </x:c>
      <x:c r="L233" s="29" t="s">
        <x:v>101</x:v>
      </x:c>
      <x:c r="M233" s="28">
        <x:v>45553</x:v>
      </x:c>
      <x:c r="N233" s="28">
        <x:v>45596</x:v>
      </x:c>
      <x:c r="O233" s="14">
        <x:v>43</x:v>
      </x:c>
      <x:c r="P233" s="14" t="s">
        <x:v>110</x:v>
      </x:c>
      <x:c r="Q233" s="14" t="s">
        <x:v>103</x:v>
      </x:c>
      <x:c r="R233" s="14" t="s">
        <x:v>104</x:v>
      </x:c>
      <x:c r="S233" s="14" t="s">
        <x:v>105</x:v>
      </x:c>
      <x:c r="T233" s="14" t="str">
        <x:v>Region C</x:v>
      </x:c>
      <x:c r="U233" s="28">
        <x:v>45596</x:v>
      </x:c>
      <x:c r="V233" s="30">
        <x:v>38</x:v>
      </x:c>
      <x:c r="W233" s="14" t="s">
        <x:v>63</x:v>
      </x:c>
      <x:c r="X233" s="14" t="s">
        <x:v>117</x:v>
      </x:c>
      <x:c r="Y233" s="32" t="str">
        <x:v>TRN-0232|20240923</x:v>
      </x:c>
      <x:c r="Z233" s="32" t="str" cm="1">
        <x:f t="array" ref="Z23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233" s="33" t="n">
        <x:f>--OR(WorkforceData[[#This Row],[Status]]="Active",WorkforceData[[#This Row],[Promoted]]="Yes",WorkforceData[[#This Row],[Total Days Worked]]&gt;=121)</x:f>
        <x:v>0</x:v>
      </x:c>
      <x:c r="AB233" s="33" t="n">
        <x:f>IF(AND(Q233="Terminated",R233="",O233=0),1,0)</x:f>
        <x:v>0</x:v>
      </x:c>
      <x:c r="AC233" s="33" t="n">
        <x:f>--OR(WorkforceData[[#This Row],[Status]]="Resigned",WorkforceData[[#This Row],[Status After Training]]="Withdrew")</x:f>
        <x:v>1</x:v>
      </x:c>
      <x:c r="AD233" s="34" t="n">
        <x:f>EOMONTH(WorkforceData[[#This Row],[Training Date]],0)</x:f>
        <x:v>45565</x:v>
      </x:c>
      <x:c r="AE233" s="32" t="str">
        <x:f>IF(M233&lt;H233,"Existing Employee",IF(U233="","No Assignment",IF(V233=0,"0 Days",IF(V233&lt;=7,"1-7 Days",IF(V233&lt;=14,"8-14 Days",IF(V233&lt;=21,"15-21 Days","21+ Days"))))))</x:f>
        <x:v>Existing Employee</x:v>
      </x:c>
      <x:c r="AF23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233" s="33" t="n">
        <x:f>--(WorkforceData[[#This Row],[Total Days Worked]]&gt;=121)</x:f>
        <x:v>0</x:v>
      </x:c>
    </x:row>
    <x:row r="234">
      <x:c r="A234" s="236" t="str">
        <x:v>TRN-0233</x:v>
      </x:c>
      <x:c r="B234" s="243"/>
      <x:c r="C234" s="243"/>
      <x:c r="D234" s="243"/>
      <x:c r="E234" s="243"/>
      <x:c r="F234" s="14" t="str">
        <x:v>Recruiter B</x:v>
      </x:c>
      <x:c r="G234" s="14" t="str">
        <x:v>Training Center A</x:v>
      </x:c>
      <x:c r="H234" s="28">
        <x:v>45558</x:v>
      </x:c>
      <x:c r="I234" s="14">
        <x:v>2024</x:v>
      </x:c>
      <x:c r="J234" s="14" t="s">
        <x:v>127</x:v>
      </x:c>
      <x:c r="K234" s="14">
        <x:v>22</x:v>
      </x:c>
      <x:c r="L234" s="29" t="s">
        <x:v>101</x:v>
      </x:c>
      <x:c r="M234" s="28">
        <x:v>45556</x:v>
      </x:c>
      <x:c r="N234" s="14"/>
      <x:c r="O234" s="14">
        <x:v>695</x:v>
      </x:c>
      <x:c r="P234" s="14" t="s">
        <x:v>120</x:v>
      </x:c>
      <x:c r="Q234" s="14" t="s">
        <x:v>25</x:v>
      </x:c>
      <x:c r="R234" s="14"/>
      <x:c r="S234" s="14" t="s">
        <x:v>108</x:v>
      </x:c>
      <x:c r="T234" s="14" t="str">
        <x:v>Region A</x:v>
      </x:c>
      <x:c r="U234" s="28">
        <x:v>45580</x:v>
      </x:c>
      <x:c r="V234" s="30">
        <x:v>22</x:v>
      </x:c>
      <x:c r="W234" s="14" t="s">
        <x:v>112</x:v>
      </x:c>
      <x:c r="X234" s="14" t="s">
        <x:v>106</x:v>
      </x:c>
      <x:c r="Y234" s="32" t="str">
        <x:v>TRN-0233|20240923</x:v>
      </x:c>
      <x:c r="Z234" s="32" t="str" cm="1">
        <x:f t="array" ref="Z23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234" s="33" t="n">
        <x:f>--OR(WorkforceData[[#This Row],[Status]]="Active",WorkforceData[[#This Row],[Promoted]]="Yes",WorkforceData[[#This Row],[Total Days Worked]]&gt;=121)</x:f>
        <x:v>1</x:v>
      </x:c>
      <x:c r="AB234" s="33" t="n">
        <x:f>IF(AND(Q234="Terminated",R234="",O234=0),1,0)</x:f>
        <x:v>0</x:v>
      </x:c>
      <x:c r="AC234" s="33" t="n">
        <x:f>--OR(WorkforceData[[#This Row],[Status]]="Resigned",WorkforceData[[#This Row],[Status After Training]]="Withdrew")</x:f>
        <x:v>0</x:v>
      </x:c>
      <x:c r="AD234" s="34" t="n">
        <x:f>EOMONTH(WorkforceData[[#This Row],[Training Date]],0)</x:f>
        <x:v>45565</x:v>
      </x:c>
      <x:c r="AE234" s="32" t="str">
        <x:f>IF(M234&lt;H234,"Existing Employee",IF(U234="","No Assignment",IF(V234=0,"0 Days",IF(V234&lt;=7,"1-7 Days",IF(V234&lt;=14,"8-14 Days",IF(V234&lt;=21,"15-21 Days","21+ Days"))))))</x:f>
        <x:v>Existing Employee</x:v>
      </x:c>
      <x:c r="AF23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34" s="33" t="n">
        <x:f>--(WorkforceData[[#This Row],[Total Days Worked]]&gt;=121)</x:f>
        <x:v>1</x:v>
      </x:c>
    </x:row>
    <x:row r="235">
      <x:c r="A235" s="236" t="str">
        <x:v>TRN-0234</x:v>
      </x:c>
      <x:c r="B235" s="243"/>
      <x:c r="C235" s="243"/>
      <x:c r="D235" s="243"/>
      <x:c r="E235" s="243"/>
      <x:c r="F235" s="14" t="str">
        <x:v>Recruiter C</x:v>
      </x:c>
      <x:c r="G235" s="14" t="str">
        <x:v>Training Center A</x:v>
      </x:c>
      <x:c r="H235" s="28">
        <x:v>45558</x:v>
      </x:c>
      <x:c r="I235" s="14">
        <x:v>2024</x:v>
      </x:c>
      <x:c r="J235" s="14" t="s">
        <x:v>127</x:v>
      </x:c>
      <x:c r="K235" s="14">
        <x:v>22</x:v>
      </x:c>
      <x:c r="L235" s="29" t="s">
        <x:v>101</x:v>
      </x:c>
      <x:c r="M235" s="28">
        <x:v>45558</x:v>
      </x:c>
      <x:c r="N235" s="28">
        <x:v>45632</x:v>
      </x:c>
      <x:c r="O235" s="14">
        <x:v>74</x:v>
      </x:c>
      <x:c r="P235" s="14" t="s">
        <x:v>110</x:v>
      </x:c>
      <x:c r="Q235" s="14" t="s">
        <x:v>103</x:v>
      </x:c>
      <x:c r="R235" s="14" t="s">
        <x:v>104</x:v>
      </x:c>
      <x:c r="S235" s="14" t="s">
        <x:v>105</x:v>
      </x:c>
      <x:c r="T235" s="14"/>
      <x:c r="U235" s="28"/>
      <x:c r="V235" s="30"/>
      <x:c r="W235" s="14"/>
      <x:c r="X235" s="14" t="s">
        <x:v>71</x:v>
      </x:c>
      <x:c r="Y235" s="32" t="str">
        <x:v>TRN-0234|20240923</x:v>
      </x:c>
      <x:c r="Z235" s="32" t="str" cm="1">
        <x:f t="array" ref="Z23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235" s="33" t="n">
        <x:f>--OR(WorkforceData[[#This Row],[Status]]="Active",WorkforceData[[#This Row],[Promoted]]="Yes",WorkforceData[[#This Row],[Total Days Worked]]&gt;=121)</x:f>
        <x:v>0</x:v>
      </x:c>
      <x:c r="AB235" s="33" t="n">
        <x:f>IF(AND(Q235="Terminated",R235="",O235=0),1,0)</x:f>
        <x:v>0</x:v>
      </x:c>
      <x:c r="AC235" s="33" t="n">
        <x:f>--OR(WorkforceData[[#This Row],[Status]]="Resigned",WorkforceData[[#This Row],[Status After Training]]="Withdrew")</x:f>
        <x:v>1</x:v>
      </x:c>
      <x:c r="AD235" s="34" t="n">
        <x:f>EOMONTH(WorkforceData[[#This Row],[Training Date]],0)</x:f>
        <x:v>45565</x:v>
      </x:c>
      <x:c r="AE235" s="32" t="str">
        <x:f>IF(M235&lt;H235,"Existing Employee",IF(U235="","No Assignment",IF(V235=0,"0 Days",IF(V235&lt;=7,"1-7 Days",IF(V235&lt;=14,"8-14 Days",IF(V235&lt;=21,"15-21 Days","21+ Days"))))))</x:f>
        <x:v>No Assignment</x:v>
      </x:c>
      <x:c r="AF23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61-90 Days</x:v>
      </x:c>
      <x:c r="AG235" s="33" t="n">
        <x:f>--(WorkforceData[[#This Row],[Total Days Worked]]&gt;=121)</x:f>
        <x:v>0</x:v>
      </x:c>
    </x:row>
    <x:row r="236">
      <x:c r="A236" s="236" t="str">
        <x:v>TRN-0235</x:v>
      </x:c>
      <x:c r="B236" s="243"/>
      <x:c r="C236" s="243"/>
      <x:c r="D236" s="243"/>
      <x:c r="E236" s="243"/>
      <x:c r="F236" s="14" t="str">
        <x:v>Recruiter C</x:v>
      </x:c>
      <x:c r="G236" s="14" t="str">
        <x:v>Training Center A</x:v>
      </x:c>
      <x:c r="H236" s="28">
        <x:v>45388</x:v>
      </x:c>
      <x:c r="I236" s="14">
        <x:v>2024</x:v>
      </x:c>
      <x:c r="J236" s="14" t="s">
        <x:v>126</x:v>
      </x:c>
      <x:c r="K236" s="14">
        <x:v>31</x:v>
      </x:c>
      <x:c r="L236" s="29" t="s">
        <x:v>128</x:v>
      </x:c>
      <x:c r="M236" s="28">
        <x:v>45385</x:v>
      </x:c>
      <x:c r="N236" s="28">
        <x:v>45607</x:v>
      </x:c>
      <x:c r="O236" s="14">
        <x:v>222</x:v>
      </x:c>
      <x:c r="P236" s="14" t="s">
        <x:v>107</x:v>
      </x:c>
      <x:c r="Q236" s="14" t="s">
        <x:v>103</x:v>
      </x:c>
      <x:c r="R236" s="14" t="s">
        <x:v>111</x:v>
      </x:c>
      <x:c r="S236" s="14" t="s">
        <x:v>108</x:v>
      </x:c>
      <x:c r="T236" s="14" t="str">
        <x:v>Region B</x:v>
      </x:c>
      <x:c r="U236" s="28">
        <x:v>45406</x:v>
      </x:c>
      <x:c r="V236" s="30">
        <x:v>18</x:v>
      </x:c>
      <x:c r="W236" s="14" t="s">
        <x:v>112</x:v>
      </x:c>
      <x:c r="X236" s="14" t="s">
        <x:v>125</x:v>
      </x:c>
      <x:c r="Y236" s="32" t="str">
        <x:v>TRN-0235|20240406</x:v>
      </x:c>
      <x:c r="Z236" s="32" t="str" cm="1">
        <x:f t="array" ref="Z23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236" s="33" t="n">
        <x:f>--OR(WorkforceData[[#This Row],[Status]]="Active",WorkforceData[[#This Row],[Promoted]]="Yes",WorkforceData[[#This Row],[Total Days Worked]]&gt;=121)</x:f>
        <x:v>1</x:v>
      </x:c>
      <x:c r="AB236" s="33" t="n">
        <x:f>IF(AND(Q236="Terminated",R236="",O236=0),1,0)</x:f>
        <x:v>0</x:v>
      </x:c>
      <x:c r="AC236" s="33" t="n">
        <x:f>--OR(WorkforceData[[#This Row],[Status]]="Resigned",WorkforceData[[#This Row],[Status After Training]]="Withdrew")</x:f>
        <x:v>1</x:v>
      </x:c>
      <x:c r="AD236" s="34" t="n">
        <x:f>EOMONTH(WorkforceData[[#This Row],[Training Date]],0)</x:f>
        <x:v>45412</x:v>
      </x:c>
      <x:c r="AE236" s="32" t="str">
        <x:f>IF(M236&lt;H236,"Existing Employee",IF(U236="","No Assignment",IF(V236=0,"0 Days",IF(V236&lt;=7,"1-7 Days",IF(V236&lt;=14,"8-14 Days",IF(V236&lt;=21,"15-21 Days","21+ Days"))))))</x:f>
        <x:v>Existing Employee</x:v>
      </x:c>
      <x:c r="AF23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36" s="33" t="n">
        <x:f>--(WorkforceData[[#This Row],[Total Days Worked]]&gt;=121)</x:f>
        <x:v>1</x:v>
      </x:c>
    </x:row>
    <x:row r="237">
      <x:c r="A237" s="236" t="str">
        <x:v>TRN-0236</x:v>
      </x:c>
      <x:c r="B237" s="243"/>
      <x:c r="C237" s="243"/>
      <x:c r="D237" s="243"/>
      <x:c r="E237" s="243"/>
      <x:c r="F237" s="14" t="str">
        <x:v>Recruiter H</x:v>
      </x:c>
      <x:c r="G237" s="14" t="str">
        <x:v>Training Center A</x:v>
      </x:c>
      <x:c r="H237" s="28">
        <x:v>45388</x:v>
      </x:c>
      <x:c r="I237" s="14">
        <x:v>2024</x:v>
      </x:c>
      <x:c r="J237" s="14" t="s">
        <x:v>126</x:v>
      </x:c>
      <x:c r="K237" s="14">
        <x:v>31</x:v>
      </x:c>
      <x:c r="L237" s="29" t="s">
        <x:v>128</x:v>
      </x:c>
      <x:c r="M237" s="28">
        <x:v>45381</x:v>
      </x:c>
      <x:c r="N237" s="14"/>
      <x:c r="O237" s="14">
        <x:v>870</x:v>
      </x:c>
      <x:c r="P237" s="14" t="s">
        <x:v>122</x:v>
      </x:c>
      <x:c r="Q237" s="14" t="s">
        <x:v>25</x:v>
      </x:c>
      <x:c r="R237" s="14"/>
      <x:c r="S237" s="14" t="s">
        <x:v>108</x:v>
      </x:c>
      <x:c r="T237" s="14" t="str">
        <x:v>Region D</x:v>
      </x:c>
      <x:c r="U237" s="28">
        <x:v>45408</x:v>
      </x:c>
      <x:c r="V237" s="30">
        <x:v>20</x:v>
      </x:c>
      <x:c r="W237" s="14" t="s">
        <x:v>112</x:v>
      </x:c>
      <x:c r="X237" s="14" t="s">
        <x:v>106</x:v>
      </x:c>
      <x:c r="Y237" s="32" t="str">
        <x:v>TRN-0236|20240406</x:v>
      </x:c>
      <x:c r="Z237" s="32" t="str" cm="1">
        <x:f t="array" ref="Z23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237" s="33" t="n">
        <x:f>--OR(WorkforceData[[#This Row],[Status]]="Active",WorkforceData[[#This Row],[Promoted]]="Yes",WorkforceData[[#This Row],[Total Days Worked]]&gt;=121)</x:f>
        <x:v>1</x:v>
      </x:c>
      <x:c r="AB237" s="33" t="n">
        <x:f>IF(AND(Q237="Terminated",R237="",O237=0),1,0)</x:f>
        <x:v>0</x:v>
      </x:c>
      <x:c r="AC237" s="33" t="n">
        <x:f>--OR(WorkforceData[[#This Row],[Status]]="Resigned",WorkforceData[[#This Row],[Status After Training]]="Withdrew")</x:f>
        <x:v>0</x:v>
      </x:c>
      <x:c r="AD237" s="34" t="n">
        <x:f>EOMONTH(WorkforceData[[#This Row],[Training Date]],0)</x:f>
        <x:v>45412</x:v>
      </x:c>
      <x:c r="AE237" s="32" t="str">
        <x:f>IF(M237&lt;H237,"Existing Employee",IF(U237="","No Assignment",IF(V237=0,"0 Days",IF(V237&lt;=7,"1-7 Days",IF(V237&lt;=14,"8-14 Days",IF(V237&lt;=21,"15-21 Days","21+ Days"))))))</x:f>
        <x:v>Existing Employee</x:v>
      </x:c>
      <x:c r="AF23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37" s="33" t="n">
        <x:f>--(WorkforceData[[#This Row],[Total Days Worked]]&gt;=121)</x:f>
        <x:v>1</x:v>
      </x:c>
    </x:row>
    <x:row r="238">
      <x:c r="A238" s="236" t="str">
        <x:v>TRN-0237</x:v>
      </x:c>
      <x:c r="B238" s="243"/>
      <x:c r="C238" s="243"/>
      <x:c r="D238" s="243"/>
      <x:c r="E238" s="243"/>
      <x:c r="F238" s="14" t="str">
        <x:v>Recruiter D</x:v>
      </x:c>
      <x:c r="G238" s="14" t="str">
        <x:v>Training Center A</x:v>
      </x:c>
      <x:c r="H238" s="28">
        <x:v>45388</x:v>
      </x:c>
      <x:c r="I238" s="14">
        <x:v>2024</x:v>
      </x:c>
      <x:c r="J238" s="14" t="s">
        <x:v>126</x:v>
      </x:c>
      <x:c r="K238" s="14">
        <x:v>31</x:v>
      </x:c>
      <x:c r="L238" s="29" t="s">
        <x:v>128</x:v>
      </x:c>
      <x:c r="M238" s="28">
        <x:v>45378</x:v>
      </x:c>
      <x:c r="N238" s="28">
        <x:v>45411</x:v>
      </x:c>
      <x:c r="O238" s="14">
        <x:v>33</x:v>
      </x:c>
      <x:c r="P238" s="14" t="s">
        <x:v>110</x:v>
      </x:c>
      <x:c r="Q238" s="14" t="s">
        <x:v>33</x:v>
      </x:c>
      <x:c r="R238" s="14" t="s">
        <x:v>116</x:v>
      </x:c>
      <x:c r="S238" s="14" t="s">
        <x:v>105</x:v>
      </x:c>
      <x:c r="T238" s="14"/>
      <x:c r="U238" s="28"/>
      <x:c r="V238" s="30"/>
      <x:c r="W238" s="14"/>
      <x:c r="X238" s="14" t="s">
        <x:v>71</x:v>
      </x:c>
      <x:c r="Y238" s="32" t="str">
        <x:v>TRN-0237|20240406</x:v>
      </x:c>
      <x:c r="Z238" s="32" t="str" cm="1">
        <x:f t="array" ref="Z23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238" s="33" t="n">
        <x:f>--OR(WorkforceData[[#This Row],[Status]]="Active",WorkforceData[[#This Row],[Promoted]]="Yes",WorkforceData[[#This Row],[Total Days Worked]]&gt;=121)</x:f>
        <x:v>0</x:v>
      </x:c>
      <x:c r="AB238" s="33" t="n">
        <x:f>IF(AND(Q238="Terminated",R238="",O238=0),1,0)</x:f>
        <x:v>0</x:v>
      </x:c>
      <x:c r="AC238" s="33" t="n">
        <x:f>--OR(WorkforceData[[#This Row],[Status]]="Resigned",WorkforceData[[#This Row],[Status After Training]]="Withdrew")</x:f>
        <x:v>0</x:v>
      </x:c>
      <x:c r="AD238" s="34" t="n">
        <x:f>EOMONTH(WorkforceData[[#This Row],[Training Date]],0)</x:f>
        <x:v>45412</x:v>
      </x:c>
      <x:c r="AE238" s="32" t="str">
        <x:f>IF(M238&lt;H238,"Existing Employee",IF(U238="","No Assignment",IF(V238=0,"0 Days",IF(V238&lt;=7,"1-7 Days",IF(V238&lt;=14,"8-14 Days",IF(V238&lt;=21,"15-21 Days","21+ Days"))))))</x:f>
        <x:v>Existing Employee</x:v>
      </x:c>
      <x:c r="AF23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238" s="33" t="n">
        <x:f>--(WorkforceData[[#This Row],[Total Days Worked]]&gt;=121)</x:f>
        <x:v>0</x:v>
      </x:c>
    </x:row>
    <x:row r="239">
      <x:c r="A239" s="236" t="str">
        <x:v>TRN-0238</x:v>
      </x:c>
      <x:c r="B239" s="243"/>
      <x:c r="C239" s="243"/>
      <x:c r="D239" s="243"/>
      <x:c r="E239" s="243"/>
      <x:c r="F239" s="14" t="str">
        <x:v>Recruiter C</x:v>
      </x:c>
      <x:c r="G239" s="14" t="str">
        <x:v>Training Center A</x:v>
      </x:c>
      <x:c r="H239" s="28">
        <x:v>45388</x:v>
      </x:c>
      <x:c r="I239" s="14">
        <x:v>2024</x:v>
      </x:c>
      <x:c r="J239" s="14" t="s">
        <x:v>126</x:v>
      </x:c>
      <x:c r="K239" s="14">
        <x:v>31</x:v>
      </x:c>
      <x:c r="L239" s="29" t="s">
        <x:v>128</x:v>
      </x:c>
      <x:c r="M239" s="28">
        <x:v>45388</x:v>
      </x:c>
      <x:c r="N239" s="14"/>
      <x:c r="O239" s="14">
        <x:v>863</x:v>
      </x:c>
      <x:c r="P239" s="14" t="s">
        <x:v>122</x:v>
      </x:c>
      <x:c r="Q239" s="14" t="s">
        <x:v>25</x:v>
      </x:c>
      <x:c r="R239" s="14"/>
      <x:c r="S239" s="14" t="s">
        <x:v>108</x:v>
      </x:c>
      <x:c r="T239" s="14" t="str">
        <x:v>Region A</x:v>
      </x:c>
      <x:c r="U239" s="28">
        <x:v>45394</x:v>
      </x:c>
      <x:c r="V239" s="30">
        <x:v>6</x:v>
      </x:c>
      <x:c r="W239" s="14" t="s">
        <x:v>109</x:v>
      </x:c>
      <x:c r="X239" s="14" t="s">
        <x:v>106</x:v>
      </x:c>
      <x:c r="Y239" s="32" t="str">
        <x:v>TRN-0238|20240406</x:v>
      </x:c>
      <x:c r="Z239" s="32" t="str" cm="1">
        <x:f t="array" ref="Z23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239" s="33" t="n">
        <x:f>--OR(WorkforceData[[#This Row],[Status]]="Active",WorkforceData[[#This Row],[Promoted]]="Yes",WorkforceData[[#This Row],[Total Days Worked]]&gt;=121)</x:f>
        <x:v>1</x:v>
      </x:c>
      <x:c r="AB239" s="33" t="n">
        <x:f>IF(AND(Q239="Terminated",R239="",O239=0),1,0)</x:f>
        <x:v>0</x:v>
      </x:c>
      <x:c r="AC239" s="33" t="n">
        <x:f>--OR(WorkforceData[[#This Row],[Status]]="Resigned",WorkforceData[[#This Row],[Status After Training]]="Withdrew")</x:f>
        <x:v>0</x:v>
      </x:c>
      <x:c r="AD239" s="34" t="n">
        <x:f>EOMONTH(WorkforceData[[#This Row],[Training Date]],0)</x:f>
        <x:v>45412</x:v>
      </x:c>
      <x:c r="AE239" s="32" t="str">
        <x:f>IF(M239&lt;H239,"Existing Employee",IF(U239="","No Assignment",IF(V239=0,"0 Days",IF(V239&lt;=7,"1-7 Days",IF(V239&lt;=14,"8-14 Days",IF(V239&lt;=21,"15-21 Days","21+ Days"))))))</x:f>
        <x:v>1-7 Days</x:v>
      </x:c>
      <x:c r="AF23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39" s="33" t="n">
        <x:f>--(WorkforceData[[#This Row],[Total Days Worked]]&gt;=121)</x:f>
        <x:v>1</x:v>
      </x:c>
    </x:row>
    <x:row r="240">
      <x:c r="A240" s="236" t="str">
        <x:v>TRN-0239</x:v>
      </x:c>
      <x:c r="B240" s="243"/>
      <x:c r="C240" s="243"/>
      <x:c r="D240" s="243"/>
      <x:c r="E240" s="243"/>
      <x:c r="F240" s="14" t="str">
        <x:v>Recruiter B</x:v>
      </x:c>
      <x:c r="G240" s="14" t="str">
        <x:v>Training Center A</x:v>
      </x:c>
      <x:c r="H240" s="28">
        <x:v>45388</x:v>
      </x:c>
      <x:c r="I240" s="14">
        <x:v>2024</x:v>
      </x:c>
      <x:c r="J240" s="14" t="s">
        <x:v>126</x:v>
      </x:c>
      <x:c r="K240" s="14">
        <x:v>31</x:v>
      </x:c>
      <x:c r="L240" s="29" t="s">
        <x:v>128</x:v>
      </x:c>
      <x:c r="M240" s="28">
        <x:v>45378</x:v>
      </x:c>
      <x:c r="N240" s="28">
        <x:v>45405</x:v>
      </x:c>
      <x:c r="O240" s="14">
        <x:v>27</x:v>
      </x:c>
      <x:c r="P240" s="14" t="s">
        <x:v>102</x:v>
      </x:c>
      <x:c r="Q240" s="14" t="s">
        <x:v>103</x:v>
      </x:c>
      <x:c r="R240" s="14" t="s">
        <x:v>104</x:v>
      </x:c>
      <x:c r="S240" s="14" t="s">
        <x:v>105</x:v>
      </x:c>
      <x:c r="T240" s="14" t="str">
        <x:v>Region C</x:v>
      </x:c>
      <x:c r="U240" s="28">
        <x:v>45388</x:v>
      </x:c>
      <x:c r="V240" s="30">
        <x:v>0</x:v>
      </x:c>
      <x:c r="W240" s="14" t="s">
        <x:v>109</x:v>
      </x:c>
      <x:c r="X240" s="14" t="s">
        <x:v>106</x:v>
      </x:c>
      <x:c r="Y240" s="32" t="str">
        <x:v>TRN-0239|20240406</x:v>
      </x:c>
      <x:c r="Z240" s="32" t="str" cm="1">
        <x:f t="array" ref="Z24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240" s="33" t="n">
        <x:f>--OR(WorkforceData[[#This Row],[Status]]="Active",WorkforceData[[#This Row],[Promoted]]="Yes",WorkforceData[[#This Row],[Total Days Worked]]&gt;=121)</x:f>
        <x:v>0</x:v>
      </x:c>
      <x:c r="AB240" s="33" t="n">
        <x:f>IF(AND(Q240="Terminated",R240="",O240=0),1,0)</x:f>
        <x:v>0</x:v>
      </x:c>
      <x:c r="AC240" s="33" t="n">
        <x:f>--OR(WorkforceData[[#This Row],[Status]]="Resigned",WorkforceData[[#This Row],[Status After Training]]="Withdrew")</x:f>
        <x:v>1</x:v>
      </x:c>
      <x:c r="AD240" s="34" t="n">
        <x:f>EOMONTH(WorkforceData[[#This Row],[Training Date]],0)</x:f>
        <x:v>45412</x:v>
      </x:c>
      <x:c r="AE240" s="32" t="str">
        <x:f>IF(M240&lt;H240,"Existing Employee",IF(U240="","No Assignment",IF(V240=0,"0 Days",IF(V240&lt;=7,"1-7 Days",IF(V240&lt;=14,"8-14 Days",IF(V240&lt;=21,"15-21 Days","21+ Days"))))))</x:f>
        <x:v>Existing Employee</x:v>
      </x:c>
      <x:c r="AF24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240" s="33" t="n">
        <x:f>--(WorkforceData[[#This Row],[Total Days Worked]]&gt;=121)</x:f>
        <x:v>0</x:v>
      </x:c>
    </x:row>
    <x:row r="241">
      <x:c r="A241" s="236" t="str">
        <x:v>TRN-0240</x:v>
      </x:c>
      <x:c r="B241" s="243"/>
      <x:c r="C241" s="243"/>
      <x:c r="D241" s="243"/>
      <x:c r="E241" s="243"/>
      <x:c r="F241" s="14" t="str">
        <x:v>Recruiter F</x:v>
      </x:c>
      <x:c r="G241" s="14" t="str">
        <x:v>Training Center A</x:v>
      </x:c>
      <x:c r="H241" s="28">
        <x:v>45388</x:v>
      </x:c>
      <x:c r="I241" s="14">
        <x:v>2024</x:v>
      </x:c>
      <x:c r="J241" s="14" t="s">
        <x:v>126</x:v>
      </x:c>
      <x:c r="K241" s="14">
        <x:v>31</x:v>
      </x:c>
      <x:c r="L241" s="29" t="s">
        <x:v>128</x:v>
      </x:c>
      <x:c r="M241" s="28">
        <x:v>45388</x:v>
      </x:c>
      <x:c r="N241" s="28">
        <x:v>45488</x:v>
      </x:c>
      <x:c r="O241" s="14">
        <x:v>100</x:v>
      </x:c>
      <x:c r="P241" s="14" t="s">
        <x:v>113</x:v>
      </x:c>
      <x:c r="Q241" s="14" t="s">
        <x:v>103</x:v>
      </x:c>
      <x:c r="R241" s="14" t="s">
        <x:v>104</x:v>
      </x:c>
      <x:c r="S241" s="14" t="s">
        <x:v>105</x:v>
      </x:c>
      <x:c r="T241" s="14" t="str">
        <x:v>Region E</x:v>
      </x:c>
      <x:c r="U241" s="28">
        <x:v>45398</x:v>
      </x:c>
      <x:c r="V241" s="30">
        <x:v>10</x:v>
      </x:c>
      <x:c r="W241" s="14" t="s">
        <x:v>45</x:v>
      </x:c>
      <x:c r="X241" s="14" t="s">
        <x:v>106</x:v>
      </x:c>
      <x:c r="Y241" s="32" t="str">
        <x:v>TRN-0240|20240406</x:v>
      </x:c>
      <x:c r="Z241" s="32" t="str" cm="1">
        <x:f t="array" ref="Z24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241" s="33" t="n">
        <x:f>--OR(WorkforceData[[#This Row],[Status]]="Active",WorkforceData[[#This Row],[Promoted]]="Yes",WorkforceData[[#This Row],[Total Days Worked]]&gt;=121)</x:f>
        <x:v>0</x:v>
      </x:c>
      <x:c r="AB241" s="33" t="n">
        <x:f>IF(AND(Q241="Terminated",R241="",O241=0),1,0)</x:f>
        <x:v>0</x:v>
      </x:c>
      <x:c r="AC241" s="33" t="n">
        <x:f>--OR(WorkforceData[[#This Row],[Status]]="Resigned",WorkforceData[[#This Row],[Status After Training]]="Withdrew")</x:f>
        <x:v>1</x:v>
      </x:c>
      <x:c r="AD241" s="34" t="n">
        <x:f>EOMONTH(WorkforceData[[#This Row],[Training Date]],0)</x:f>
        <x:v>45412</x:v>
      </x:c>
      <x:c r="AE241" s="32" t="str">
        <x:f>IF(M241&lt;H241,"Existing Employee",IF(U241="","No Assignment",IF(V241=0,"0 Days",IF(V241&lt;=7,"1-7 Days",IF(V241&lt;=14,"8-14 Days",IF(V241&lt;=21,"15-21 Days","21+ Days"))))))</x:f>
        <x:v>8-14 Days</x:v>
      </x:c>
      <x:c r="AF24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91-120 Days</x:v>
      </x:c>
      <x:c r="AG241" s="33" t="n">
        <x:f>--(WorkforceData[[#This Row],[Total Days Worked]]&gt;=121)</x:f>
        <x:v>0</x:v>
      </x:c>
    </x:row>
    <x:row r="242">
      <x:c r="A242" s="236" t="str">
        <x:v>TRN-0241</x:v>
      </x:c>
      <x:c r="B242" s="243"/>
      <x:c r="C242" s="243"/>
      <x:c r="D242" s="243"/>
      <x:c r="E242" s="243"/>
      <x:c r="F242" s="14" t="str">
        <x:v>Recruiter D</x:v>
      </x:c>
      <x:c r="G242" s="14" t="str">
        <x:v>Training Center A</x:v>
      </x:c>
      <x:c r="H242" s="28">
        <x:v>45388</x:v>
      </x:c>
      <x:c r="I242" s="14">
        <x:v>2024</x:v>
      </x:c>
      <x:c r="J242" s="14" t="s">
        <x:v>126</x:v>
      </x:c>
      <x:c r="K242" s="14">
        <x:v>31</x:v>
      </x:c>
      <x:c r="L242" s="29" t="s">
        <x:v>128</x:v>
      </x:c>
      <x:c r="M242" s="28">
        <x:v>45388</x:v>
      </x:c>
      <x:c r="N242" s="28">
        <x:v>45428</x:v>
      </x:c>
      <x:c r="O242" s="14">
        <x:v>40</x:v>
      </x:c>
      <x:c r="P242" s="14" t="s">
        <x:v>110</x:v>
      </x:c>
      <x:c r="Q242" s="14" t="s">
        <x:v>103</x:v>
      </x:c>
      <x:c r="R242" s="14" t="s">
        <x:v>123</x:v>
      </x:c>
      <x:c r="S242" s="14" t="s">
        <x:v>105</x:v>
      </x:c>
      <x:c r="T242" s="14"/>
      <x:c r="U242" s="28"/>
      <x:c r="V242" s="30"/>
      <x:c r="W242" s="14"/>
      <x:c r="X242" s="14" t="s">
        <x:v>71</x:v>
      </x:c>
      <x:c r="Y242" s="32" t="str">
        <x:v>TRN-0241|20240406</x:v>
      </x:c>
      <x:c r="Z242" s="32" t="str" cm="1">
        <x:f t="array" ref="Z24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242" s="33" t="n">
        <x:f>--OR(WorkforceData[[#This Row],[Status]]="Active",WorkforceData[[#This Row],[Promoted]]="Yes",WorkforceData[[#This Row],[Total Days Worked]]&gt;=121)</x:f>
        <x:v>0</x:v>
      </x:c>
      <x:c r="AB242" s="33" t="n">
        <x:f>IF(AND(Q242="Terminated",R242="",O242=0),1,0)</x:f>
        <x:v>0</x:v>
      </x:c>
      <x:c r="AC242" s="33" t="n">
        <x:f>--OR(WorkforceData[[#This Row],[Status]]="Resigned",WorkforceData[[#This Row],[Status After Training]]="Withdrew")</x:f>
        <x:v>1</x:v>
      </x:c>
      <x:c r="AD242" s="34" t="n">
        <x:f>EOMONTH(WorkforceData[[#This Row],[Training Date]],0)</x:f>
        <x:v>45412</x:v>
      </x:c>
      <x:c r="AE242" s="32" t="str">
        <x:f>IF(M242&lt;H242,"Existing Employee",IF(U242="","No Assignment",IF(V242=0,"0 Days",IF(V242&lt;=7,"1-7 Days",IF(V242&lt;=14,"8-14 Days",IF(V242&lt;=21,"15-21 Days","21+ Days"))))))</x:f>
        <x:v>No Assignment</x:v>
      </x:c>
      <x:c r="AF24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242" s="33" t="n">
        <x:f>--(WorkforceData[[#This Row],[Total Days Worked]]&gt;=121)</x:f>
        <x:v>0</x:v>
      </x:c>
    </x:row>
    <x:row r="243">
      <x:c r="A243" s="236" t="str">
        <x:v>TRN-0242</x:v>
      </x:c>
      <x:c r="B243" s="243"/>
      <x:c r="C243" s="243"/>
      <x:c r="D243" s="243"/>
      <x:c r="E243" s="243"/>
      <x:c r="F243" s="14" t="str">
        <x:v>Recruiter F</x:v>
      </x:c>
      <x:c r="G243" s="14" t="str">
        <x:v>Training Center A</x:v>
      </x:c>
      <x:c r="H243" s="28">
        <x:v>45388</x:v>
      </x:c>
      <x:c r="I243" s="14">
        <x:v>2024</x:v>
      </x:c>
      <x:c r="J243" s="14" t="s">
        <x:v>126</x:v>
      </x:c>
      <x:c r="K243" s="14">
        <x:v>31</x:v>
      </x:c>
      <x:c r="L243" s="29" t="s">
        <x:v>128</x:v>
      </x:c>
      <x:c r="M243" s="28">
        <x:v>45388</x:v>
      </x:c>
      <x:c r="N243" s="14"/>
      <x:c r="O243" s="14">
        <x:v>863</x:v>
      </x:c>
      <x:c r="P243" s="14" t="s">
        <x:v>122</x:v>
      </x:c>
      <x:c r="Q243" s="14" t="s">
        <x:v>25</x:v>
      </x:c>
      <x:c r="R243" s="14"/>
      <x:c r="S243" s="14" t="s">
        <x:v>108</x:v>
      </x:c>
      <x:c r="T243" s="14" t="str">
        <x:v>Region B</x:v>
      </x:c>
      <x:c r="U243" s="28">
        <x:v>45412</x:v>
      </x:c>
      <x:c r="V243" s="30">
        <x:v>24</x:v>
      </x:c>
      <x:c r="W243" s="14" t="s">
        <x:v>112</x:v>
      </x:c>
      <x:c r="X243" s="14" t="s">
        <x:v>106</x:v>
      </x:c>
      <x:c r="Y243" s="32" t="str">
        <x:v>TRN-0242|20240406</x:v>
      </x:c>
      <x:c r="Z243" s="32" t="str" cm="1">
        <x:f t="array" ref="Z24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243" s="33" t="n">
        <x:f>--OR(WorkforceData[[#This Row],[Status]]="Active",WorkforceData[[#This Row],[Promoted]]="Yes",WorkforceData[[#This Row],[Total Days Worked]]&gt;=121)</x:f>
        <x:v>1</x:v>
      </x:c>
      <x:c r="AB243" s="33" t="n">
        <x:f>IF(AND(Q243="Terminated",R243="",O243=0),1,0)</x:f>
        <x:v>0</x:v>
      </x:c>
      <x:c r="AC243" s="33" t="n">
        <x:f>--OR(WorkforceData[[#This Row],[Status]]="Resigned",WorkforceData[[#This Row],[Status After Training]]="Withdrew")</x:f>
        <x:v>0</x:v>
      </x:c>
      <x:c r="AD243" s="34" t="n">
        <x:f>EOMONTH(WorkforceData[[#This Row],[Training Date]],0)</x:f>
        <x:v>45412</x:v>
      </x:c>
      <x:c r="AE243" s="32" t="str">
        <x:f>IF(M243&lt;H243,"Existing Employee",IF(U243="","No Assignment",IF(V243=0,"0 Days",IF(V243&lt;=7,"1-7 Days",IF(V243&lt;=14,"8-14 Days",IF(V243&lt;=21,"15-21 Days","21+ Days"))))))</x:f>
        <x:v>21+ Days</x:v>
      </x:c>
      <x:c r="AF24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43" s="33" t="n">
        <x:f>--(WorkforceData[[#This Row],[Total Days Worked]]&gt;=121)</x:f>
        <x:v>1</x:v>
      </x:c>
    </x:row>
    <x:row r="244">
      <x:c r="A244" s="236" t="str">
        <x:v>TRN-0243</x:v>
      </x:c>
      <x:c r="B244" s="243"/>
      <x:c r="C244" s="243"/>
      <x:c r="D244" s="243"/>
      <x:c r="E244" s="243"/>
      <x:c r="F244" s="14" t="str">
        <x:v>Recruiter C</x:v>
      </x:c>
      <x:c r="G244" s="14" t="str">
        <x:v>Training Center A</x:v>
      </x:c>
      <x:c r="H244" s="28">
        <x:v>45388</x:v>
      </x:c>
      <x:c r="I244" s="14">
        <x:v>2024</x:v>
      </x:c>
      <x:c r="J244" s="14" t="s">
        <x:v>126</x:v>
      </x:c>
      <x:c r="K244" s="14">
        <x:v>31</x:v>
      </x:c>
      <x:c r="L244" s="29" t="s">
        <x:v>128</x:v>
      </x:c>
      <x:c r="M244" s="28">
        <x:v>45386</x:v>
      </x:c>
      <x:c r="N244" s="28">
        <x:v>45457</x:v>
      </x:c>
      <x:c r="O244" s="14">
        <x:v>71</x:v>
      </x:c>
      <x:c r="P244" s="14" t="s">
        <x:v>110</x:v>
      </x:c>
      <x:c r="Q244" s="14" t="s">
        <x:v>33</x:v>
      </x:c>
      <x:c r="R244" s="14" t="s">
        <x:v>121</x:v>
      </x:c>
      <x:c r="S244" s="14" t="s">
        <x:v>105</x:v>
      </x:c>
      <x:c r="T244" s="14" t="str">
        <x:v>Region B</x:v>
      </x:c>
      <x:c r="U244" s="28">
        <x:v>45402</x:v>
      </x:c>
      <x:c r="V244" s="30">
        <x:v>14</x:v>
      </x:c>
      <x:c r="W244" s="14" t="s">
        <x:v>45</x:v>
      </x:c>
      <x:c r="X244" s="14" t="s">
        <x:v>106</x:v>
      </x:c>
      <x:c r="Y244" s="32" t="str">
        <x:v>TRN-0243|20240406</x:v>
      </x:c>
      <x:c r="Z244" s="32" t="str" cm="1">
        <x:f t="array" ref="Z24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244" s="33" t="n">
        <x:f>--OR(WorkforceData[[#This Row],[Status]]="Active",WorkforceData[[#This Row],[Promoted]]="Yes",WorkforceData[[#This Row],[Total Days Worked]]&gt;=121)</x:f>
        <x:v>0</x:v>
      </x:c>
      <x:c r="AB244" s="33" t="n">
        <x:f>IF(AND(Q244="Terminated",R244="",O244=0),1,0)</x:f>
        <x:v>0</x:v>
      </x:c>
      <x:c r="AC244" s="33" t="n">
        <x:f>--OR(WorkforceData[[#This Row],[Status]]="Resigned",WorkforceData[[#This Row],[Status After Training]]="Withdrew")</x:f>
        <x:v>0</x:v>
      </x:c>
      <x:c r="AD244" s="34" t="n">
        <x:f>EOMONTH(WorkforceData[[#This Row],[Training Date]],0)</x:f>
        <x:v>45412</x:v>
      </x:c>
      <x:c r="AE244" s="32" t="str">
        <x:f>IF(M244&lt;H244,"Existing Employee",IF(U244="","No Assignment",IF(V244=0,"0 Days",IF(V244&lt;=7,"1-7 Days",IF(V244&lt;=14,"8-14 Days",IF(V244&lt;=21,"15-21 Days","21+ Days"))))))</x:f>
        <x:v>Existing Employee</x:v>
      </x:c>
      <x:c r="AF24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61-90 Days</x:v>
      </x:c>
      <x:c r="AG244" s="33" t="n">
        <x:f>--(WorkforceData[[#This Row],[Total Days Worked]]&gt;=121)</x:f>
        <x:v>0</x:v>
      </x:c>
    </x:row>
    <x:row r="245">
      <x:c r="A245" s="236" t="str">
        <x:v>TRN-0244</x:v>
      </x:c>
      <x:c r="B245" s="243"/>
      <x:c r="C245" s="243"/>
      <x:c r="D245" s="243"/>
      <x:c r="E245" s="243"/>
      <x:c r="F245" s="14" t="str">
        <x:v>Recruiter B</x:v>
      </x:c>
      <x:c r="G245" s="14" t="str">
        <x:v>Training Center A</x:v>
      </x:c>
      <x:c r="H245" s="28">
        <x:v>45388</x:v>
      </x:c>
      <x:c r="I245" s="14">
        <x:v>2024</x:v>
      </x:c>
      <x:c r="J245" s="14" t="s">
        <x:v>126</x:v>
      </x:c>
      <x:c r="K245" s="14">
        <x:v>31</x:v>
      </x:c>
      <x:c r="L245" s="29" t="s">
        <x:v>128</x:v>
      </x:c>
      <x:c r="M245" s="28">
        <x:v>45388</x:v>
      </x:c>
      <x:c r="N245" s="14"/>
      <x:c r="O245" s="14">
        <x:v>863</x:v>
      </x:c>
      <x:c r="P245" s="14" t="s">
        <x:v>122</x:v>
      </x:c>
      <x:c r="Q245" s="14" t="s">
        <x:v>25</x:v>
      </x:c>
      <x:c r="R245" s="14"/>
      <x:c r="S245" s="14" t="s">
        <x:v>108</x:v>
      </x:c>
      <x:c r="T245" s="14" t="str">
        <x:v>Region B</x:v>
      </x:c>
      <x:c r="U245" s="28">
        <x:v>45412</x:v>
      </x:c>
      <x:c r="V245" s="30">
        <x:v>24</x:v>
      </x:c>
      <x:c r="W245" s="14" t="s">
        <x:v>112</x:v>
      </x:c>
      <x:c r="X245" s="14" t="s">
        <x:v>106</x:v>
      </x:c>
      <x:c r="Y245" s="32" t="str">
        <x:v>TRN-0244|20240406</x:v>
      </x:c>
      <x:c r="Z245" s="32" t="str" cm="1">
        <x:f t="array" ref="Z24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245" s="33" t="n">
        <x:f>--OR(WorkforceData[[#This Row],[Status]]="Active",WorkforceData[[#This Row],[Promoted]]="Yes",WorkforceData[[#This Row],[Total Days Worked]]&gt;=121)</x:f>
        <x:v>1</x:v>
      </x:c>
      <x:c r="AB245" s="33" t="n">
        <x:f>IF(AND(Q245="Terminated",R245="",O245=0),1,0)</x:f>
        <x:v>0</x:v>
      </x:c>
      <x:c r="AC245" s="33" t="n">
        <x:f>--OR(WorkforceData[[#This Row],[Status]]="Resigned",WorkforceData[[#This Row],[Status After Training]]="Withdrew")</x:f>
        <x:v>0</x:v>
      </x:c>
      <x:c r="AD245" s="34" t="n">
        <x:f>EOMONTH(WorkforceData[[#This Row],[Training Date]],0)</x:f>
        <x:v>45412</x:v>
      </x:c>
      <x:c r="AE245" s="32" t="str">
        <x:f>IF(M245&lt;H245,"Existing Employee",IF(U245="","No Assignment",IF(V245=0,"0 Days",IF(V245&lt;=7,"1-7 Days",IF(V245&lt;=14,"8-14 Days",IF(V245&lt;=21,"15-21 Days","21+ Days"))))))</x:f>
        <x:v>21+ Days</x:v>
      </x:c>
      <x:c r="AF24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45" s="33" t="n">
        <x:f>--(WorkforceData[[#This Row],[Total Days Worked]]&gt;=121)</x:f>
        <x:v>1</x:v>
      </x:c>
    </x:row>
    <x:row r="246">
      <x:c r="A246" s="236" t="str">
        <x:v>TRN-0245</x:v>
      </x:c>
      <x:c r="B246" s="243"/>
      <x:c r="C246" s="243"/>
      <x:c r="D246" s="243"/>
      <x:c r="E246" s="243"/>
      <x:c r="F246" s="14" t="str">
        <x:v>Recruiter F</x:v>
      </x:c>
      <x:c r="G246" s="14" t="str">
        <x:v>Training Center A</x:v>
      </x:c>
      <x:c r="H246" s="28">
        <x:v>45388</x:v>
      </x:c>
      <x:c r="I246" s="14">
        <x:v>2024</x:v>
      </x:c>
      <x:c r="J246" s="14" t="s">
        <x:v>126</x:v>
      </x:c>
      <x:c r="K246" s="14">
        <x:v>31</x:v>
      </x:c>
      <x:c r="L246" s="29" t="s">
        <x:v>128</x:v>
      </x:c>
      <x:c r="M246" s="28">
        <x:v>45381</x:v>
      </x:c>
      <x:c r="N246" s="28">
        <x:v>45404</x:v>
      </x:c>
      <x:c r="O246" s="14">
        <x:v>23</x:v>
      </x:c>
      <x:c r="P246" s="14" t="s">
        <x:v>102</x:v>
      </x:c>
      <x:c r="Q246" s="14" t="s">
        <x:v>103</x:v>
      </x:c>
      <x:c r="R246" s="14" t="s">
        <x:v>104</x:v>
      </x:c>
      <x:c r="S246" s="14" t="s">
        <x:v>105</x:v>
      </x:c>
      <x:c r="T246" s="14" t="str">
        <x:v>Region D</x:v>
      </x:c>
      <x:c r="U246" s="28">
        <x:v>45389</x:v>
      </x:c>
      <x:c r="V246" s="30">
        <x:v>1</x:v>
      </x:c>
      <x:c r="W246" s="14" t="s">
        <x:v>109</x:v>
      </x:c>
      <x:c r="X246" s="14" t="s">
        <x:v>106</x:v>
      </x:c>
      <x:c r="Y246" s="32" t="str">
        <x:v>TRN-0245|20240406</x:v>
      </x:c>
      <x:c r="Z246" s="32" t="str" cm="1">
        <x:f t="array" ref="Z24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246" s="33" t="n">
        <x:f>--OR(WorkforceData[[#This Row],[Status]]="Active",WorkforceData[[#This Row],[Promoted]]="Yes",WorkforceData[[#This Row],[Total Days Worked]]&gt;=121)</x:f>
        <x:v>0</x:v>
      </x:c>
      <x:c r="AB246" s="33" t="n">
        <x:f>IF(AND(Q246="Terminated",R246="",O246=0),1,0)</x:f>
        <x:v>0</x:v>
      </x:c>
      <x:c r="AC246" s="33" t="n">
        <x:f>--OR(WorkforceData[[#This Row],[Status]]="Resigned",WorkforceData[[#This Row],[Status After Training]]="Withdrew")</x:f>
        <x:v>1</x:v>
      </x:c>
      <x:c r="AD246" s="34" t="n">
        <x:f>EOMONTH(WorkforceData[[#This Row],[Training Date]],0)</x:f>
        <x:v>45412</x:v>
      </x:c>
      <x:c r="AE246" s="32" t="str">
        <x:f>IF(M246&lt;H246,"Existing Employee",IF(U246="","No Assignment",IF(V246=0,"0 Days",IF(V246&lt;=7,"1-7 Days",IF(V246&lt;=14,"8-14 Days",IF(V246&lt;=21,"15-21 Days","21+ Days"))))))</x:f>
        <x:v>Existing Employee</x:v>
      </x:c>
      <x:c r="AF24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246" s="33" t="n">
        <x:f>--(WorkforceData[[#This Row],[Total Days Worked]]&gt;=121)</x:f>
        <x:v>0</x:v>
      </x:c>
    </x:row>
    <x:row r="247">
      <x:c r="A247" s="236" t="str">
        <x:v>TRN-0246</x:v>
      </x:c>
      <x:c r="B247" s="243"/>
      <x:c r="C247" s="243"/>
      <x:c r="D247" s="243"/>
      <x:c r="E247" s="243"/>
      <x:c r="F247" s="14" t="str">
        <x:v>Recruiter D</x:v>
      </x:c>
      <x:c r="G247" s="14" t="str">
        <x:v>Training Center A</x:v>
      </x:c>
      <x:c r="H247" s="28">
        <x:v>45388</x:v>
      </x:c>
      <x:c r="I247" s="14">
        <x:v>2024</x:v>
      </x:c>
      <x:c r="J247" s="14" t="s">
        <x:v>126</x:v>
      </x:c>
      <x:c r="K247" s="14">
        <x:v>31</x:v>
      </x:c>
      <x:c r="L247" s="29" t="s">
        <x:v>128</x:v>
      </x:c>
      <x:c r="M247" s="28">
        <x:v>45381</x:v>
      </x:c>
      <x:c r="N247" s="14"/>
      <x:c r="O247" s="14">
        <x:v>870</x:v>
      </x:c>
      <x:c r="P247" s="14" t="s">
        <x:v>122</x:v>
      </x:c>
      <x:c r="Q247" s="14" t="s">
        <x:v>25</x:v>
      </x:c>
      <x:c r="R247" s="14"/>
      <x:c r="S247" s="14" t="s">
        <x:v>108</x:v>
      </x:c>
      <x:c r="T247" s="14" t="str">
        <x:v>Region B</x:v>
      </x:c>
      <x:c r="U247" s="28">
        <x:v>45392</x:v>
      </x:c>
      <x:c r="V247" s="30">
        <x:v>4</x:v>
      </x:c>
      <x:c r="W247" s="14" t="s">
        <x:v>109</x:v>
      </x:c>
      <x:c r="X247" s="14" t="s">
        <x:v>106</x:v>
      </x:c>
      <x:c r="Y247" s="32" t="str">
        <x:v>TRN-0246|20240406</x:v>
      </x:c>
      <x:c r="Z247" s="32" t="str" cm="1">
        <x:f t="array" ref="Z24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247" s="33" t="n">
        <x:f>--OR(WorkforceData[[#This Row],[Status]]="Active",WorkforceData[[#This Row],[Promoted]]="Yes",WorkforceData[[#This Row],[Total Days Worked]]&gt;=121)</x:f>
        <x:v>1</x:v>
      </x:c>
      <x:c r="AB247" s="33" t="n">
        <x:f>IF(AND(Q247="Terminated",R247="",O247=0),1,0)</x:f>
        <x:v>0</x:v>
      </x:c>
      <x:c r="AC247" s="33" t="n">
        <x:f>--OR(WorkforceData[[#This Row],[Status]]="Resigned",WorkforceData[[#This Row],[Status After Training]]="Withdrew")</x:f>
        <x:v>0</x:v>
      </x:c>
      <x:c r="AD247" s="34" t="n">
        <x:f>EOMONTH(WorkforceData[[#This Row],[Training Date]],0)</x:f>
        <x:v>45412</x:v>
      </x:c>
      <x:c r="AE247" s="32" t="str">
        <x:f>IF(M247&lt;H247,"Existing Employee",IF(U247="","No Assignment",IF(V247=0,"0 Days",IF(V247&lt;=7,"1-7 Days",IF(V247&lt;=14,"8-14 Days",IF(V247&lt;=21,"15-21 Days","21+ Days"))))))</x:f>
        <x:v>Existing Employee</x:v>
      </x:c>
      <x:c r="AF24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47" s="33" t="n">
        <x:f>--(WorkforceData[[#This Row],[Total Days Worked]]&gt;=121)</x:f>
        <x:v>1</x:v>
      </x:c>
    </x:row>
    <x:row r="248">
      <x:c r="A248" s="236" t="str">
        <x:v>TRN-0247</x:v>
      </x:c>
      <x:c r="B248" s="243"/>
      <x:c r="C248" s="243"/>
      <x:c r="D248" s="243"/>
      <x:c r="E248" s="243"/>
      <x:c r="F248" s="14" t="str">
        <x:v>Recruiter D</x:v>
      </x:c>
      <x:c r="G248" s="14" t="str">
        <x:v>Training Center A</x:v>
      </x:c>
      <x:c r="H248" s="28">
        <x:v>45388</x:v>
      </x:c>
      <x:c r="I248" s="14">
        <x:v>2024</x:v>
      </x:c>
      <x:c r="J248" s="14" t="s">
        <x:v>126</x:v>
      </x:c>
      <x:c r="K248" s="14">
        <x:v>31</x:v>
      </x:c>
      <x:c r="L248" s="29" t="s">
        <x:v>128</x:v>
      </x:c>
      <x:c r="M248" s="28">
        <x:v>45385</x:v>
      </x:c>
      <x:c r="N248" s="14"/>
      <x:c r="O248" s="14">
        <x:v>866</x:v>
      </x:c>
      <x:c r="P248" s="14" t="s">
        <x:v>122</x:v>
      </x:c>
      <x:c r="Q248" s="14" t="s">
        <x:v>38</x:v>
      </x:c>
      <x:c r="R248" s="14"/>
      <x:c r="S248" s="14" t="s">
        <x:v>108</x:v>
      </x:c>
      <x:c r="T248" s="14" t="str">
        <x:v>Region B</x:v>
      </x:c>
      <x:c r="U248" s="28">
        <x:v>45398</x:v>
      </x:c>
      <x:c r="V248" s="30">
        <x:v>10</x:v>
      </x:c>
      <x:c r="W248" s="14" t="s">
        <x:v>45</x:v>
      </x:c>
      <x:c r="X248" s="14" t="s">
        <x:v>106</x:v>
      </x:c>
      <x:c r="Y248" s="32" t="str">
        <x:v>TRN-0247|20240406</x:v>
      </x:c>
      <x:c r="Z248" s="32" t="str" cm="1">
        <x:f t="array" ref="Z24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248" s="33" t="n">
        <x:f>--OR(WorkforceData[[#This Row],[Status]]="Active",WorkforceData[[#This Row],[Promoted]]="Yes",WorkforceData[[#This Row],[Total Days Worked]]&gt;=121)</x:f>
        <x:v>1</x:v>
      </x:c>
      <x:c r="AB248" s="33" t="n">
        <x:f>IF(AND(Q248="Terminated",R248="",O248=0),1,0)</x:f>
        <x:v>0</x:v>
      </x:c>
      <x:c r="AC248" s="33" t="n">
        <x:f>--OR(WorkforceData[[#This Row],[Status]]="Resigned",WorkforceData[[#This Row],[Status After Training]]="Withdrew")</x:f>
        <x:v>0</x:v>
      </x:c>
      <x:c r="AD248" s="34" t="n">
        <x:f>EOMONTH(WorkforceData[[#This Row],[Training Date]],0)</x:f>
        <x:v>45412</x:v>
      </x:c>
      <x:c r="AE248" s="32" t="str">
        <x:f>IF(M248&lt;H248,"Existing Employee",IF(U248="","No Assignment",IF(V248=0,"0 Days",IF(V248&lt;=7,"1-7 Days",IF(V248&lt;=14,"8-14 Days",IF(V248&lt;=21,"15-21 Days","21+ Days"))))))</x:f>
        <x:v>Existing Employee</x:v>
      </x:c>
      <x:c r="AF24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48" s="33" t="n">
        <x:f>--(WorkforceData[[#This Row],[Total Days Worked]]&gt;=121)</x:f>
        <x:v>1</x:v>
      </x:c>
    </x:row>
    <x:row r="249">
      <x:c r="A249" s="236" t="str">
        <x:v>TRN-0248</x:v>
      </x:c>
      <x:c r="B249" s="243"/>
      <x:c r="C249" s="243"/>
      <x:c r="D249" s="243"/>
      <x:c r="E249" s="243"/>
      <x:c r="F249" s="14" t="str">
        <x:v>Recruiter G</x:v>
      </x:c>
      <x:c r="G249" s="14" t="str">
        <x:v>Training Center A</x:v>
      </x:c>
      <x:c r="H249" s="28">
        <x:v>45388</x:v>
      </x:c>
      <x:c r="I249" s="14">
        <x:v>2024</x:v>
      </x:c>
      <x:c r="J249" s="14" t="s">
        <x:v>126</x:v>
      </x:c>
      <x:c r="K249" s="14">
        <x:v>31</x:v>
      </x:c>
      <x:c r="L249" s="29" t="s">
        <x:v>128</x:v>
      </x:c>
      <x:c r="M249" s="28">
        <x:v>45381</x:v>
      </x:c>
      <x:c r="N249" s="28">
        <x:v>45420</x:v>
      </x:c>
      <x:c r="O249" s="14">
        <x:v>39</x:v>
      </x:c>
      <x:c r="P249" s="14" t="s">
        <x:v>110</x:v>
      </x:c>
      <x:c r="Q249" s="14" t="s">
        <x:v>103</x:v>
      </x:c>
      <x:c r="R249" s="14" t="s">
        <x:v>104</x:v>
      </x:c>
      <x:c r="S249" s="14" t="s">
        <x:v>105</x:v>
      </x:c>
      <x:c r="T249" s="14" t="str">
        <x:v>Region B</x:v>
      </x:c>
      <x:c r="U249" s="28">
        <x:v>45391</x:v>
      </x:c>
      <x:c r="V249" s="30">
        <x:v>3</x:v>
      </x:c>
      <x:c r="W249" s="14" t="s">
        <x:v>109</x:v>
      </x:c>
      <x:c r="X249" s="14" t="s">
        <x:v>106</x:v>
      </x:c>
      <x:c r="Y249" s="32" t="str">
        <x:v>TRN-0248|20240406</x:v>
      </x:c>
      <x:c r="Z249" s="32" t="str" cm="1">
        <x:f t="array" ref="Z24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249" s="33" t="n">
        <x:f>--OR(WorkforceData[[#This Row],[Status]]="Active",WorkforceData[[#This Row],[Promoted]]="Yes",WorkforceData[[#This Row],[Total Days Worked]]&gt;=121)</x:f>
        <x:v>0</x:v>
      </x:c>
      <x:c r="AB249" s="33" t="n">
        <x:f>IF(AND(Q249="Terminated",R249="",O249=0),1,0)</x:f>
        <x:v>0</x:v>
      </x:c>
      <x:c r="AC249" s="33" t="n">
        <x:f>--OR(WorkforceData[[#This Row],[Status]]="Resigned",WorkforceData[[#This Row],[Status After Training]]="Withdrew")</x:f>
        <x:v>1</x:v>
      </x:c>
      <x:c r="AD249" s="34" t="n">
        <x:f>EOMONTH(WorkforceData[[#This Row],[Training Date]],0)</x:f>
        <x:v>45412</x:v>
      </x:c>
      <x:c r="AE249" s="32" t="str">
        <x:f>IF(M249&lt;H249,"Existing Employee",IF(U249="","No Assignment",IF(V249=0,"0 Days",IF(V249&lt;=7,"1-7 Days",IF(V249&lt;=14,"8-14 Days",IF(V249&lt;=21,"15-21 Days","21+ Days"))))))</x:f>
        <x:v>Existing Employee</x:v>
      </x:c>
      <x:c r="AF24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249" s="33" t="n">
        <x:f>--(WorkforceData[[#This Row],[Total Days Worked]]&gt;=121)</x:f>
        <x:v>0</x:v>
      </x:c>
    </x:row>
    <x:row r="250">
      <x:c r="A250" s="236" t="str">
        <x:v>TRN-0249</x:v>
      </x:c>
      <x:c r="B250" s="243"/>
      <x:c r="C250" s="243"/>
      <x:c r="D250" s="243"/>
      <x:c r="E250" s="243"/>
      <x:c r="F250" s="14" t="str">
        <x:v>Recruiter G</x:v>
      </x:c>
      <x:c r="G250" s="14" t="str">
        <x:v>Training Center A</x:v>
      </x:c>
      <x:c r="H250" s="28">
        <x:v>45388</x:v>
      </x:c>
      <x:c r="I250" s="14">
        <x:v>2024</x:v>
      </x:c>
      <x:c r="J250" s="14" t="s">
        <x:v>126</x:v>
      </x:c>
      <x:c r="K250" s="14">
        <x:v>31</x:v>
      </x:c>
      <x:c r="L250" s="29" t="s">
        <x:v>128</x:v>
      </x:c>
      <x:c r="M250" s="28">
        <x:v>45385</x:v>
      </x:c>
      <x:c r="N250" s="14"/>
      <x:c r="O250" s="14">
        <x:v>866</x:v>
      </x:c>
      <x:c r="P250" s="14" t="s">
        <x:v>122</x:v>
      </x:c>
      <x:c r="Q250" s="14" t="s">
        <x:v>25</x:v>
      </x:c>
      <x:c r="R250" s="14"/>
      <x:c r="S250" s="14" t="s">
        <x:v>108</x:v>
      </x:c>
      <x:c r="T250" s="14" t="str">
        <x:v>Region B</x:v>
      </x:c>
      <x:c r="U250" s="28">
        <x:v>45501</x:v>
      </x:c>
      <x:c r="V250" s="30">
        <x:v>113</x:v>
      </x:c>
      <x:c r="W250" s="14" t="s">
        <x:v>114</x:v>
      </x:c>
      <x:c r="X250" s="14" t="s">
        <x:v>117</x:v>
      </x:c>
      <x:c r="Y250" s="32" t="str">
        <x:v>TRN-0249|20240406</x:v>
      </x:c>
      <x:c r="Z250" s="32" t="str" cm="1">
        <x:f t="array" ref="Z25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250" s="33" t="n">
        <x:f>--OR(WorkforceData[[#This Row],[Status]]="Active",WorkforceData[[#This Row],[Promoted]]="Yes",WorkforceData[[#This Row],[Total Days Worked]]&gt;=121)</x:f>
        <x:v>1</x:v>
      </x:c>
      <x:c r="AB250" s="33" t="n">
        <x:f>IF(AND(Q250="Terminated",R250="",O250=0),1,0)</x:f>
        <x:v>0</x:v>
      </x:c>
      <x:c r="AC250" s="33" t="n">
        <x:f>--OR(WorkforceData[[#This Row],[Status]]="Resigned",WorkforceData[[#This Row],[Status After Training]]="Withdrew")</x:f>
        <x:v>0</x:v>
      </x:c>
      <x:c r="AD250" s="34" t="n">
        <x:f>EOMONTH(WorkforceData[[#This Row],[Training Date]],0)</x:f>
        <x:v>45412</x:v>
      </x:c>
      <x:c r="AE250" s="32" t="str">
        <x:f>IF(M250&lt;H250,"Existing Employee",IF(U250="","No Assignment",IF(V250=0,"0 Days",IF(V250&lt;=7,"1-7 Days",IF(V250&lt;=14,"8-14 Days",IF(V250&lt;=21,"15-21 Days","21+ Days"))))))</x:f>
        <x:v>Existing Employee</x:v>
      </x:c>
      <x:c r="AF25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50" s="33" t="n">
        <x:f>--(WorkforceData[[#This Row],[Total Days Worked]]&gt;=121)</x:f>
        <x:v>1</x:v>
      </x:c>
    </x:row>
    <x:row r="251">
      <x:c r="A251" s="236" t="str">
        <x:v>TRN-0250</x:v>
      </x:c>
      <x:c r="B251" s="243"/>
      <x:c r="C251" s="243"/>
      <x:c r="D251" s="243"/>
      <x:c r="E251" s="243"/>
      <x:c r="F251" s="14" t="str">
        <x:v>Recruiter B</x:v>
      </x:c>
      <x:c r="G251" s="14" t="str">
        <x:v>Training Center A</x:v>
      </x:c>
      <x:c r="H251" s="28">
        <x:v>45388</x:v>
      </x:c>
      <x:c r="I251" s="14">
        <x:v>2024</x:v>
      </x:c>
      <x:c r="J251" s="14" t="s">
        <x:v>126</x:v>
      </x:c>
      <x:c r="K251" s="14">
        <x:v>31</x:v>
      </x:c>
      <x:c r="L251" s="29" t="s">
        <x:v>128</x:v>
      </x:c>
      <x:c r="M251" s="28">
        <x:v>45385</x:v>
      </x:c>
      <x:c r="N251" s="14"/>
      <x:c r="O251" s="14">
        <x:v>866</x:v>
      </x:c>
      <x:c r="P251" s="14" t="s">
        <x:v>122</x:v>
      </x:c>
      <x:c r="Q251" s="14" t="s">
        <x:v>25</x:v>
      </x:c>
      <x:c r="R251" s="14"/>
      <x:c r="S251" s="14" t="s">
        <x:v>108</x:v>
      </x:c>
      <x:c r="T251" s="14" t="str">
        <x:v>Region A</x:v>
      </x:c>
      <x:c r="U251" s="28">
        <x:v>45395</x:v>
      </x:c>
      <x:c r="V251" s="30">
        <x:v>7</x:v>
      </x:c>
      <x:c r="W251" s="14" t="s">
        <x:v>109</x:v>
      </x:c>
      <x:c r="X251" s="14" t="s">
        <x:v>106</x:v>
      </x:c>
      <x:c r="Y251" s="32" t="str">
        <x:v>TRN-0250|20240406</x:v>
      </x:c>
      <x:c r="Z251" s="32" t="str" cm="1">
        <x:f t="array" ref="Z25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251" s="33" t="n">
        <x:f>--OR(WorkforceData[[#This Row],[Status]]="Active",WorkforceData[[#This Row],[Promoted]]="Yes",WorkforceData[[#This Row],[Total Days Worked]]&gt;=121)</x:f>
        <x:v>1</x:v>
      </x:c>
      <x:c r="AB251" s="33" t="n">
        <x:f>IF(AND(Q251="Terminated",R251="",O251=0),1,0)</x:f>
        <x:v>0</x:v>
      </x:c>
      <x:c r="AC251" s="33" t="n">
        <x:f>--OR(WorkforceData[[#This Row],[Status]]="Resigned",WorkforceData[[#This Row],[Status After Training]]="Withdrew")</x:f>
        <x:v>0</x:v>
      </x:c>
      <x:c r="AD251" s="34" t="n">
        <x:f>EOMONTH(WorkforceData[[#This Row],[Training Date]],0)</x:f>
        <x:v>45412</x:v>
      </x:c>
      <x:c r="AE251" s="32" t="str">
        <x:f>IF(M251&lt;H251,"Existing Employee",IF(U251="","No Assignment",IF(V251=0,"0 Days",IF(V251&lt;=7,"1-7 Days",IF(V251&lt;=14,"8-14 Days",IF(V251&lt;=21,"15-21 Days","21+ Days"))))))</x:f>
        <x:v>Existing Employee</x:v>
      </x:c>
      <x:c r="AF25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51" s="33" t="n">
        <x:f>--(WorkforceData[[#This Row],[Total Days Worked]]&gt;=121)</x:f>
        <x:v>1</x:v>
      </x:c>
    </x:row>
    <x:row r="252">
      <x:c r="A252" s="236" t="str">
        <x:v>TRN-0251</x:v>
      </x:c>
      <x:c r="B252" s="243"/>
      <x:c r="C252" s="243"/>
      <x:c r="D252" s="243"/>
      <x:c r="E252" s="243"/>
      <x:c r="F252" s="14" t="str">
        <x:v>Recruiter G</x:v>
      </x:c>
      <x:c r="G252" s="14" t="str">
        <x:v>Training Center A</x:v>
      </x:c>
      <x:c r="H252" s="28">
        <x:v>45388</x:v>
      </x:c>
      <x:c r="I252" s="14">
        <x:v>2024</x:v>
      </x:c>
      <x:c r="J252" s="14" t="s">
        <x:v>126</x:v>
      </x:c>
      <x:c r="K252" s="14">
        <x:v>31</x:v>
      </x:c>
      <x:c r="L252" s="29" t="s">
        <x:v>128</x:v>
      </x:c>
      <x:c r="M252" s="28">
        <x:v>45388</x:v>
      </x:c>
      <x:c r="N252" s="14"/>
      <x:c r="O252" s="14">
        <x:v>863</x:v>
      </x:c>
      <x:c r="P252" s="14" t="s">
        <x:v>122</x:v>
      </x:c>
      <x:c r="Q252" s="14" t="s">
        <x:v>25</x:v>
      </x:c>
      <x:c r="R252" s="14"/>
      <x:c r="S252" s="14" t="s">
        <x:v>108</x:v>
      </x:c>
      <x:c r="T252" s="14" t="str">
        <x:v>Region D</x:v>
      </x:c>
      <x:c r="U252" s="28">
        <x:v>45505</x:v>
      </x:c>
      <x:c r="V252" s="30">
        <x:v>117</x:v>
      </x:c>
      <x:c r="W252" s="14" t="s">
        <x:v>114</x:v>
      </x:c>
      <x:c r="X252" s="14" t="s">
        <x:v>117</x:v>
      </x:c>
      <x:c r="Y252" s="32" t="str">
        <x:v>TRN-0251|20240406</x:v>
      </x:c>
      <x:c r="Z252" s="32" t="str" cm="1">
        <x:f t="array" ref="Z25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252" s="33" t="n">
        <x:f>--OR(WorkforceData[[#This Row],[Status]]="Active",WorkforceData[[#This Row],[Promoted]]="Yes",WorkforceData[[#This Row],[Total Days Worked]]&gt;=121)</x:f>
        <x:v>1</x:v>
      </x:c>
      <x:c r="AB252" s="33" t="n">
        <x:f>IF(AND(Q252="Terminated",R252="",O252=0),1,0)</x:f>
        <x:v>0</x:v>
      </x:c>
      <x:c r="AC252" s="33" t="n">
        <x:f>--OR(WorkforceData[[#This Row],[Status]]="Resigned",WorkforceData[[#This Row],[Status After Training]]="Withdrew")</x:f>
        <x:v>0</x:v>
      </x:c>
      <x:c r="AD252" s="34" t="n">
        <x:f>EOMONTH(WorkforceData[[#This Row],[Training Date]],0)</x:f>
        <x:v>45412</x:v>
      </x:c>
      <x:c r="AE252" s="32" t="str">
        <x:f>IF(M252&lt;H252,"Existing Employee",IF(U252="","No Assignment",IF(V252=0,"0 Days",IF(V252&lt;=7,"1-7 Days",IF(V252&lt;=14,"8-14 Days",IF(V252&lt;=21,"15-21 Days","21+ Days"))))))</x:f>
        <x:v>21+ Days</x:v>
      </x:c>
      <x:c r="AF25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52" s="33" t="n">
        <x:f>--(WorkforceData[[#This Row],[Total Days Worked]]&gt;=121)</x:f>
        <x:v>1</x:v>
      </x:c>
    </x:row>
    <x:row r="253">
      <x:c r="A253" s="236" t="str">
        <x:v>TRN-0252</x:v>
      </x:c>
      <x:c r="B253" s="243"/>
      <x:c r="C253" s="243"/>
      <x:c r="D253" s="243"/>
      <x:c r="E253" s="243"/>
      <x:c r="F253" s="14" t="str">
        <x:v>Recruiter G</x:v>
      </x:c>
      <x:c r="G253" s="14" t="str">
        <x:v>Training Center A</x:v>
      </x:c>
      <x:c r="H253" s="28">
        <x:v>45388</x:v>
      </x:c>
      <x:c r="I253" s="14">
        <x:v>2024</x:v>
      </x:c>
      <x:c r="J253" s="14" t="s">
        <x:v>126</x:v>
      </x:c>
      <x:c r="K253" s="14">
        <x:v>31</x:v>
      </x:c>
      <x:c r="L253" s="29" t="s">
        <x:v>128</x:v>
      </x:c>
      <x:c r="M253" s="28">
        <x:v>45378</x:v>
      </x:c>
      <x:c r="N253" s="14"/>
      <x:c r="O253" s="14">
        <x:v>873</x:v>
      </x:c>
      <x:c r="P253" s="14" t="s">
        <x:v>122</x:v>
      </x:c>
      <x:c r="Q253" s="14" t="s">
        <x:v>25</x:v>
      </x:c>
      <x:c r="R253" s="14"/>
      <x:c r="S253" s="14" t="s">
        <x:v>108</x:v>
      </x:c>
      <x:c r="T253" s="14" t="str">
        <x:v>Region B</x:v>
      </x:c>
      <x:c r="U253" s="28">
        <x:v>45389</x:v>
      </x:c>
      <x:c r="V253" s="30">
        <x:v>1</x:v>
      </x:c>
      <x:c r="W253" s="14" t="s">
        <x:v>109</x:v>
      </x:c>
      <x:c r="X253" s="14" t="s">
        <x:v>106</x:v>
      </x:c>
      <x:c r="Y253" s="32" t="str">
        <x:v>TRN-0252|20240406</x:v>
      </x:c>
      <x:c r="Z253" s="32" t="str" cm="1">
        <x:f t="array" ref="Z25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253" s="33" t="n">
        <x:f>--OR(WorkforceData[[#This Row],[Status]]="Active",WorkforceData[[#This Row],[Promoted]]="Yes",WorkforceData[[#This Row],[Total Days Worked]]&gt;=121)</x:f>
        <x:v>1</x:v>
      </x:c>
      <x:c r="AB253" s="33" t="n">
        <x:f>IF(AND(Q253="Terminated",R253="",O253=0),1,0)</x:f>
        <x:v>0</x:v>
      </x:c>
      <x:c r="AC253" s="33" t="n">
        <x:f>--OR(WorkforceData[[#This Row],[Status]]="Resigned",WorkforceData[[#This Row],[Status After Training]]="Withdrew")</x:f>
        <x:v>0</x:v>
      </x:c>
      <x:c r="AD253" s="34" t="n">
        <x:f>EOMONTH(WorkforceData[[#This Row],[Training Date]],0)</x:f>
        <x:v>45412</x:v>
      </x:c>
      <x:c r="AE253" s="32" t="str">
        <x:f>IF(M253&lt;H253,"Existing Employee",IF(U253="","No Assignment",IF(V253=0,"0 Days",IF(V253&lt;=7,"1-7 Days",IF(V253&lt;=14,"8-14 Days",IF(V253&lt;=21,"15-21 Days","21+ Days"))))))</x:f>
        <x:v>Existing Employee</x:v>
      </x:c>
      <x:c r="AF25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53" s="33" t="n">
        <x:f>--(WorkforceData[[#This Row],[Total Days Worked]]&gt;=121)</x:f>
        <x:v>1</x:v>
      </x:c>
    </x:row>
    <x:row r="254">
      <x:c r="A254" s="236" t="str">
        <x:v>TRN-0253</x:v>
      </x:c>
      <x:c r="B254" s="243"/>
      <x:c r="C254" s="243"/>
      <x:c r="D254" s="243"/>
      <x:c r="E254" s="243"/>
      <x:c r="F254" s="14" t="str">
        <x:v>Recruiter G</x:v>
      </x:c>
      <x:c r="G254" s="14" t="str">
        <x:v>Training Center A</x:v>
      </x:c>
      <x:c r="H254" s="28">
        <x:v>45388</x:v>
      </x:c>
      <x:c r="I254" s="14">
        <x:v>2024</x:v>
      </x:c>
      <x:c r="J254" s="14" t="s">
        <x:v>126</x:v>
      </x:c>
      <x:c r="K254" s="14">
        <x:v>31</x:v>
      </x:c>
      <x:c r="L254" s="29" t="s">
        <x:v>128</x:v>
      </x:c>
      <x:c r="M254" s="28">
        <x:v>45385</x:v>
      </x:c>
      <x:c r="N254" s="28">
        <x:v>45475</x:v>
      </x:c>
      <x:c r="O254" s="14">
        <x:v>90</x:v>
      </x:c>
      <x:c r="P254" s="14" t="s">
        <x:v>110</x:v>
      </x:c>
      <x:c r="Q254" s="14" t="s">
        <x:v>103</x:v>
      </x:c>
      <x:c r="R254" s="14" t="s">
        <x:v>111</x:v>
      </x:c>
      <x:c r="S254" s="14" t="s">
        <x:v>105</x:v>
      </x:c>
      <x:c r="T254" s="14" t="str">
        <x:v>Region D</x:v>
      </x:c>
      <x:c r="U254" s="28">
        <x:v>45431</x:v>
      </x:c>
      <x:c r="V254" s="30">
        <x:v>43</x:v>
      </x:c>
      <x:c r="W254" s="14" t="s">
        <x:v>63</x:v>
      </x:c>
      <x:c r="X254" s="14" t="s">
        <x:v>117</x:v>
      </x:c>
      <x:c r="Y254" s="32" t="str">
        <x:v>TRN-0253|20240406</x:v>
      </x:c>
      <x:c r="Z254" s="32" t="str" cm="1">
        <x:f t="array" ref="Z25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254" s="33" t="n">
        <x:f>--OR(WorkforceData[[#This Row],[Status]]="Active",WorkforceData[[#This Row],[Promoted]]="Yes",WorkforceData[[#This Row],[Total Days Worked]]&gt;=121)</x:f>
        <x:v>0</x:v>
      </x:c>
      <x:c r="AB254" s="33" t="n">
        <x:f>IF(AND(Q254="Terminated",R254="",O254=0),1,0)</x:f>
        <x:v>0</x:v>
      </x:c>
      <x:c r="AC254" s="33" t="n">
        <x:f>--OR(WorkforceData[[#This Row],[Status]]="Resigned",WorkforceData[[#This Row],[Status After Training]]="Withdrew")</x:f>
        <x:v>1</x:v>
      </x:c>
      <x:c r="AD254" s="34" t="n">
        <x:f>EOMONTH(WorkforceData[[#This Row],[Training Date]],0)</x:f>
        <x:v>45412</x:v>
      </x:c>
      <x:c r="AE254" s="32" t="str">
        <x:f>IF(M254&lt;H254,"Existing Employee",IF(U254="","No Assignment",IF(V254=0,"0 Days",IF(V254&lt;=7,"1-7 Days",IF(V254&lt;=14,"8-14 Days",IF(V254&lt;=21,"15-21 Days","21+ Days"))))))</x:f>
        <x:v>Existing Employee</x:v>
      </x:c>
      <x:c r="AF25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61-90 Days</x:v>
      </x:c>
      <x:c r="AG254" s="33" t="n">
        <x:f>--(WorkforceData[[#This Row],[Total Days Worked]]&gt;=121)</x:f>
        <x:v>0</x:v>
      </x:c>
    </x:row>
    <x:row r="255">
      <x:c r="A255" s="236" t="str">
        <x:v>TRN-0254</x:v>
      </x:c>
      <x:c r="B255" s="243"/>
      <x:c r="C255" s="243"/>
      <x:c r="D255" s="243"/>
      <x:c r="E255" s="243"/>
      <x:c r="F255" s="14" t="str">
        <x:v>Recruiter H</x:v>
      </x:c>
      <x:c r="G255" s="14" t="str">
        <x:v>Training Center A</x:v>
      </x:c>
      <x:c r="H255" s="28">
        <x:v>45388</x:v>
      </x:c>
      <x:c r="I255" s="14">
        <x:v>2024</x:v>
      </x:c>
      <x:c r="J255" s="14" t="s">
        <x:v>126</x:v>
      </x:c>
      <x:c r="K255" s="14">
        <x:v>31</x:v>
      </x:c>
      <x:c r="L255" s="29" t="s">
        <x:v>128</x:v>
      </x:c>
      <x:c r="M255" s="28">
        <x:v>45378</x:v>
      </x:c>
      <x:c r="N255" s="14"/>
      <x:c r="O255" s="14">
        <x:v>873</x:v>
      </x:c>
      <x:c r="P255" s="14" t="s">
        <x:v>122</x:v>
      </x:c>
      <x:c r="Q255" s="14" t="s">
        <x:v>25</x:v>
      </x:c>
      <x:c r="R255" s="14"/>
      <x:c r="S255" s="14" t="s">
        <x:v>108</x:v>
      </x:c>
      <x:c r="T255" s="14" t="str">
        <x:v>Region C</x:v>
      </x:c>
      <x:c r="U255" s="28">
        <x:v>45406</x:v>
      </x:c>
      <x:c r="V255" s="30">
        <x:v>18</x:v>
      </x:c>
      <x:c r="W255" s="14" t="s">
        <x:v>112</x:v>
      </x:c>
      <x:c r="X255" s="14" t="s">
        <x:v>106</x:v>
      </x:c>
      <x:c r="Y255" s="32" t="str">
        <x:v>TRN-0254|20240406</x:v>
      </x:c>
      <x:c r="Z255" s="32" t="str" cm="1">
        <x:f t="array" ref="Z25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255" s="33" t="n">
        <x:f>--OR(WorkforceData[[#This Row],[Status]]="Active",WorkforceData[[#This Row],[Promoted]]="Yes",WorkforceData[[#This Row],[Total Days Worked]]&gt;=121)</x:f>
        <x:v>1</x:v>
      </x:c>
      <x:c r="AB255" s="33" t="n">
        <x:f>IF(AND(Q255="Terminated",R255="",O255=0),1,0)</x:f>
        <x:v>0</x:v>
      </x:c>
      <x:c r="AC255" s="33" t="n">
        <x:f>--OR(WorkforceData[[#This Row],[Status]]="Resigned",WorkforceData[[#This Row],[Status After Training]]="Withdrew")</x:f>
        <x:v>0</x:v>
      </x:c>
      <x:c r="AD255" s="34" t="n">
        <x:f>EOMONTH(WorkforceData[[#This Row],[Training Date]],0)</x:f>
        <x:v>45412</x:v>
      </x:c>
      <x:c r="AE255" s="32" t="str">
        <x:f>IF(M255&lt;H255,"Existing Employee",IF(U255="","No Assignment",IF(V255=0,"0 Days",IF(V255&lt;=7,"1-7 Days",IF(V255&lt;=14,"8-14 Days",IF(V255&lt;=21,"15-21 Days","21+ Days"))))))</x:f>
        <x:v>Existing Employee</x:v>
      </x:c>
      <x:c r="AF25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55" s="33" t="n">
        <x:f>--(WorkforceData[[#This Row],[Total Days Worked]]&gt;=121)</x:f>
        <x:v>1</x:v>
      </x:c>
    </x:row>
    <x:row r="256">
      <x:c r="A256" s="236" t="str">
        <x:v>TRN-0255</x:v>
      </x:c>
      <x:c r="B256" s="243"/>
      <x:c r="C256" s="243"/>
      <x:c r="D256" s="243"/>
      <x:c r="E256" s="243"/>
      <x:c r="F256" s="14" t="str">
        <x:v>Recruiter D</x:v>
      </x:c>
      <x:c r="G256" s="14" t="str">
        <x:v>Training Center A</x:v>
      </x:c>
      <x:c r="H256" s="28">
        <x:v>45388</x:v>
      </x:c>
      <x:c r="I256" s="14">
        <x:v>2024</x:v>
      </x:c>
      <x:c r="J256" s="14" t="s">
        <x:v>126</x:v>
      </x:c>
      <x:c r="K256" s="14">
        <x:v>31</x:v>
      </x:c>
      <x:c r="L256" s="29" t="s">
        <x:v>128</x:v>
      </x:c>
      <x:c r="M256" s="28">
        <x:v>45383</x:v>
      </x:c>
      <x:c r="N256" s="14"/>
      <x:c r="O256" s="14">
        <x:v>868</x:v>
      </x:c>
      <x:c r="P256" s="14" t="s">
        <x:v>122</x:v>
      </x:c>
      <x:c r="Q256" s="14" t="s">
        <x:v>38</x:v>
      </x:c>
      <x:c r="R256" s="14"/>
      <x:c r="S256" s="14" t="s">
        <x:v>108</x:v>
      </x:c>
      <x:c r="T256" s="14" t="str">
        <x:v>Region B</x:v>
      </x:c>
      <x:c r="U256" s="28">
        <x:v>45397</x:v>
      </x:c>
      <x:c r="V256" s="30">
        <x:v>9</x:v>
      </x:c>
      <x:c r="W256" s="14" t="s">
        <x:v>45</x:v>
      </x:c>
      <x:c r="X256" s="14" t="s">
        <x:v>106</x:v>
      </x:c>
      <x:c r="Y256" s="32" t="str">
        <x:v>TRN-0255|20240406</x:v>
      </x:c>
      <x:c r="Z256" s="32" t="str" cm="1">
        <x:f t="array" ref="Z25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256" s="33" t="n">
        <x:f>--OR(WorkforceData[[#This Row],[Status]]="Active",WorkforceData[[#This Row],[Promoted]]="Yes",WorkforceData[[#This Row],[Total Days Worked]]&gt;=121)</x:f>
        <x:v>1</x:v>
      </x:c>
      <x:c r="AB256" s="33" t="n">
        <x:f>IF(AND(Q256="Terminated",R256="",O256=0),1,0)</x:f>
        <x:v>0</x:v>
      </x:c>
      <x:c r="AC256" s="33" t="n">
        <x:f>--OR(WorkforceData[[#This Row],[Status]]="Resigned",WorkforceData[[#This Row],[Status After Training]]="Withdrew")</x:f>
        <x:v>0</x:v>
      </x:c>
      <x:c r="AD256" s="34" t="n">
        <x:f>EOMONTH(WorkforceData[[#This Row],[Training Date]],0)</x:f>
        <x:v>45412</x:v>
      </x:c>
      <x:c r="AE256" s="32" t="str">
        <x:f>IF(M256&lt;H256,"Existing Employee",IF(U256="","No Assignment",IF(V256=0,"0 Days",IF(V256&lt;=7,"1-7 Days",IF(V256&lt;=14,"8-14 Days",IF(V256&lt;=21,"15-21 Days","21+ Days"))))))</x:f>
        <x:v>Existing Employee</x:v>
      </x:c>
      <x:c r="AF25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56" s="33" t="n">
        <x:f>--(WorkforceData[[#This Row],[Total Days Worked]]&gt;=121)</x:f>
        <x:v>1</x:v>
      </x:c>
    </x:row>
    <x:row r="257">
      <x:c r="A257" s="236" t="str">
        <x:v>TRN-0256</x:v>
      </x:c>
      <x:c r="B257" s="243"/>
      <x:c r="C257" s="243"/>
      <x:c r="D257" s="243"/>
      <x:c r="E257" s="243"/>
      <x:c r="F257" s="14" t="str">
        <x:v>Recruiter F</x:v>
      </x:c>
      <x:c r="G257" s="14" t="str">
        <x:v>Training Center A</x:v>
      </x:c>
      <x:c r="H257" s="28">
        <x:v>45388</x:v>
      </x:c>
      <x:c r="I257" s="14">
        <x:v>2024</x:v>
      </x:c>
      <x:c r="J257" s="14" t="s">
        <x:v>126</x:v>
      </x:c>
      <x:c r="K257" s="14">
        <x:v>31</x:v>
      </x:c>
      <x:c r="L257" s="29" t="s">
        <x:v>128</x:v>
      </x:c>
      <x:c r="M257" s="28">
        <x:v>45388</x:v>
      </x:c>
      <x:c r="N257" s="28">
        <x:v>45410</x:v>
      </x:c>
      <x:c r="O257" s="14">
        <x:v>22</x:v>
      </x:c>
      <x:c r="P257" s="14" t="s">
        <x:v>102</x:v>
      </x:c>
      <x:c r="Q257" s="14" t="s">
        <x:v>103</x:v>
      </x:c>
      <x:c r="R257" s="14" t="s">
        <x:v>104</x:v>
      </x:c>
      <x:c r="S257" s="14" t="s">
        <x:v>105</x:v>
      </x:c>
      <x:c r="T257" s="14" t="str">
        <x:v>Region C</x:v>
      </x:c>
      <x:c r="U257" s="28">
        <x:v>45402</x:v>
      </x:c>
      <x:c r="V257" s="30">
        <x:v>14</x:v>
      </x:c>
      <x:c r="W257" s="14" t="s">
        <x:v>45</x:v>
      </x:c>
      <x:c r="X257" s="14" t="s">
        <x:v>106</x:v>
      </x:c>
      <x:c r="Y257" s="32" t="str">
        <x:v>TRN-0256|20240406</x:v>
      </x:c>
      <x:c r="Z257" s="32" t="str" cm="1">
        <x:f t="array" ref="Z25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257" s="33" t="n">
        <x:f>--OR(WorkforceData[[#This Row],[Status]]="Active",WorkforceData[[#This Row],[Promoted]]="Yes",WorkforceData[[#This Row],[Total Days Worked]]&gt;=121)</x:f>
        <x:v>0</x:v>
      </x:c>
      <x:c r="AB257" s="33" t="n">
        <x:f>IF(AND(Q257="Terminated",R257="",O257=0),1,0)</x:f>
        <x:v>0</x:v>
      </x:c>
      <x:c r="AC257" s="33" t="n">
        <x:f>--OR(WorkforceData[[#This Row],[Status]]="Resigned",WorkforceData[[#This Row],[Status After Training]]="Withdrew")</x:f>
        <x:v>1</x:v>
      </x:c>
      <x:c r="AD257" s="34" t="n">
        <x:f>EOMONTH(WorkforceData[[#This Row],[Training Date]],0)</x:f>
        <x:v>45412</x:v>
      </x:c>
      <x:c r="AE257" s="32" t="str">
        <x:f>IF(M257&lt;H257,"Existing Employee",IF(U257="","No Assignment",IF(V257=0,"0 Days",IF(V257&lt;=7,"1-7 Days",IF(V257&lt;=14,"8-14 Days",IF(V257&lt;=21,"15-21 Days","21+ Days"))))))</x:f>
        <x:v>8-14 Days</x:v>
      </x:c>
      <x:c r="AF25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257" s="33" t="n">
        <x:f>--(WorkforceData[[#This Row],[Total Days Worked]]&gt;=121)</x:f>
        <x:v>0</x:v>
      </x:c>
    </x:row>
    <x:row r="258">
      <x:c r="A258" s="236" t="str">
        <x:v>TRN-0257</x:v>
      </x:c>
      <x:c r="B258" s="243"/>
      <x:c r="C258" s="243"/>
      <x:c r="D258" s="243"/>
      <x:c r="E258" s="243"/>
      <x:c r="F258" s="14" t="str">
        <x:v>Recruiter A</x:v>
      </x:c>
      <x:c r="G258" s="14" t="str">
        <x:v>Training Center A</x:v>
      </x:c>
      <x:c r="H258" s="28">
        <x:v>45388</x:v>
      </x:c>
      <x:c r="I258" s="14">
        <x:v>2024</x:v>
      </x:c>
      <x:c r="J258" s="14" t="s">
        <x:v>126</x:v>
      </x:c>
      <x:c r="K258" s="14">
        <x:v>31</x:v>
      </x:c>
      <x:c r="L258" s="29" t="s">
        <x:v>128</x:v>
      </x:c>
      <x:c r="M258" s="28">
        <x:v>45385</x:v>
      </x:c>
      <x:c r="N258" s="14"/>
      <x:c r="O258" s="14">
        <x:v>866</x:v>
      </x:c>
      <x:c r="P258" s="14" t="s">
        <x:v>122</x:v>
      </x:c>
      <x:c r="Q258" s="14" t="s">
        <x:v>25</x:v>
      </x:c>
      <x:c r="R258" s="14"/>
      <x:c r="S258" s="14" t="s">
        <x:v>108</x:v>
      </x:c>
      <x:c r="T258" s="14" t="str">
        <x:v>Region D</x:v>
      </x:c>
      <x:c r="U258" s="28">
        <x:v>45407</x:v>
      </x:c>
      <x:c r="V258" s="30">
        <x:v>19</x:v>
      </x:c>
      <x:c r="W258" s="14" t="s">
        <x:v>112</x:v>
      </x:c>
      <x:c r="X258" s="14" t="s">
        <x:v>106</x:v>
      </x:c>
      <x:c r="Y258" s="32" t="str">
        <x:v>TRN-0257|20240406</x:v>
      </x:c>
      <x:c r="Z258" s="32" t="str" cm="1">
        <x:f t="array" ref="Z25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258" s="33" t="n">
        <x:f>--OR(WorkforceData[[#This Row],[Status]]="Active",WorkforceData[[#This Row],[Promoted]]="Yes",WorkforceData[[#This Row],[Total Days Worked]]&gt;=121)</x:f>
        <x:v>1</x:v>
      </x:c>
      <x:c r="AB258" s="33" t="n">
        <x:f>IF(AND(Q258="Terminated",R258="",O258=0),1,0)</x:f>
        <x:v>0</x:v>
      </x:c>
      <x:c r="AC258" s="33" t="n">
        <x:f>--OR(WorkforceData[[#This Row],[Status]]="Resigned",WorkforceData[[#This Row],[Status After Training]]="Withdrew")</x:f>
        <x:v>0</x:v>
      </x:c>
      <x:c r="AD258" s="34" t="n">
        <x:f>EOMONTH(WorkforceData[[#This Row],[Training Date]],0)</x:f>
        <x:v>45412</x:v>
      </x:c>
      <x:c r="AE258" s="32" t="str">
        <x:f>IF(M258&lt;H258,"Existing Employee",IF(U258="","No Assignment",IF(V258=0,"0 Days",IF(V258&lt;=7,"1-7 Days",IF(V258&lt;=14,"8-14 Days",IF(V258&lt;=21,"15-21 Days","21+ Days"))))))</x:f>
        <x:v>Existing Employee</x:v>
      </x:c>
      <x:c r="AF25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58" s="33" t="n">
        <x:f>--(WorkforceData[[#This Row],[Total Days Worked]]&gt;=121)</x:f>
        <x:v>1</x:v>
      </x:c>
    </x:row>
    <x:row r="259">
      <x:c r="A259" s="236" t="str">
        <x:v>TRN-0258</x:v>
      </x:c>
      <x:c r="B259" s="243"/>
      <x:c r="C259" s="243"/>
      <x:c r="D259" s="243"/>
      <x:c r="E259" s="243"/>
      <x:c r="F259" s="14" t="str">
        <x:v>Recruiter A</x:v>
      </x:c>
      <x:c r="G259" s="14" t="str">
        <x:v>Training Center A</x:v>
      </x:c>
      <x:c r="H259" s="28">
        <x:v>45388</x:v>
      </x:c>
      <x:c r="I259" s="14">
        <x:v>2024</x:v>
      </x:c>
      <x:c r="J259" s="14" t="s">
        <x:v>126</x:v>
      </x:c>
      <x:c r="K259" s="14">
        <x:v>31</x:v>
      </x:c>
      <x:c r="L259" s="29" t="s">
        <x:v>128</x:v>
      </x:c>
      <x:c r="M259" s="28">
        <x:v>45388</x:v>
      </x:c>
      <x:c r="N259" s="28">
        <x:v>45588</x:v>
      </x:c>
      <x:c r="O259" s="14">
        <x:v>200</x:v>
      </x:c>
      <x:c r="P259" s="14" t="s">
        <x:v>107</x:v>
      </x:c>
      <x:c r="Q259" s="14" t="s">
        <x:v>103</x:v>
      </x:c>
      <x:c r="R259" s="14" t="s">
        <x:v>104</x:v>
      </x:c>
      <x:c r="S259" s="14" t="s">
        <x:v>108</x:v>
      </x:c>
      <x:c r="T259" s="14" t="str">
        <x:v>Region A</x:v>
      </x:c>
      <x:c r="U259" s="28">
        <x:v>45390</x:v>
      </x:c>
      <x:c r="V259" s="30">
        <x:v>2</x:v>
      </x:c>
      <x:c r="W259" s="14" t="s">
        <x:v>109</x:v>
      </x:c>
      <x:c r="X259" s="14" t="s">
        <x:v>106</x:v>
      </x:c>
      <x:c r="Y259" s="32" t="str">
        <x:v>TRN-0258|20240406</x:v>
      </x:c>
      <x:c r="Z259" s="32" t="str" cm="1">
        <x:f t="array" ref="Z25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259" s="33" t="n">
        <x:f>--OR(WorkforceData[[#This Row],[Status]]="Active",WorkforceData[[#This Row],[Promoted]]="Yes",WorkforceData[[#This Row],[Total Days Worked]]&gt;=121)</x:f>
        <x:v>1</x:v>
      </x:c>
      <x:c r="AB259" s="33" t="n">
        <x:f>IF(AND(Q259="Terminated",R259="",O259=0),1,0)</x:f>
        <x:v>0</x:v>
      </x:c>
      <x:c r="AC259" s="33" t="n">
        <x:f>--OR(WorkforceData[[#This Row],[Status]]="Resigned",WorkforceData[[#This Row],[Status After Training]]="Withdrew")</x:f>
        <x:v>1</x:v>
      </x:c>
      <x:c r="AD259" s="34" t="n">
        <x:f>EOMONTH(WorkforceData[[#This Row],[Training Date]],0)</x:f>
        <x:v>45412</x:v>
      </x:c>
      <x:c r="AE259" s="32" t="str">
        <x:f>IF(M259&lt;H259,"Existing Employee",IF(U259="","No Assignment",IF(V259=0,"0 Days",IF(V259&lt;=7,"1-7 Days",IF(V259&lt;=14,"8-14 Days",IF(V259&lt;=21,"15-21 Days","21+ Days"))))))</x:f>
        <x:v>1-7 Days</x:v>
      </x:c>
      <x:c r="AF25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59" s="33" t="n">
        <x:f>--(WorkforceData[[#This Row],[Total Days Worked]]&gt;=121)</x:f>
        <x:v>1</x:v>
      </x:c>
    </x:row>
    <x:row r="260">
      <x:c r="A260" s="236" t="str">
        <x:v>TRN-0259</x:v>
      </x:c>
      <x:c r="B260" s="243"/>
      <x:c r="C260" s="243"/>
      <x:c r="D260" s="243"/>
      <x:c r="E260" s="243"/>
      <x:c r="F260" s="14" t="str">
        <x:v>Recruiter F</x:v>
      </x:c>
      <x:c r="G260" s="14" t="str">
        <x:v>Training Center A</x:v>
      </x:c>
      <x:c r="H260" s="28">
        <x:v>45388</x:v>
      </x:c>
      <x:c r="I260" s="14">
        <x:v>2024</x:v>
      </x:c>
      <x:c r="J260" s="14" t="s">
        <x:v>126</x:v>
      </x:c>
      <x:c r="K260" s="14">
        <x:v>31</x:v>
      </x:c>
      <x:c r="L260" s="29" t="s">
        <x:v>128</x:v>
      </x:c>
      <x:c r="M260" s="28">
        <x:v>45386</x:v>
      </x:c>
      <x:c r="N260" s="28">
        <x:v>45403</x:v>
      </x:c>
      <x:c r="O260" s="14">
        <x:v>17</x:v>
      </x:c>
      <x:c r="P260" s="14" t="s">
        <x:v>102</x:v>
      </x:c>
      <x:c r="Q260" s="14" t="s">
        <x:v>103</x:v>
      </x:c>
      <x:c r="R260" s="14" t="s">
        <x:v>111</x:v>
      </x:c>
      <x:c r="S260" s="14" t="s">
        <x:v>105</x:v>
      </x:c>
      <x:c r="T260" s="14" t="str">
        <x:v>Region B</x:v>
      </x:c>
      <x:c r="U260" s="28">
        <x:v>45390</x:v>
      </x:c>
      <x:c r="V260" s="30">
        <x:v>2</x:v>
      </x:c>
      <x:c r="W260" s="14" t="s">
        <x:v>109</x:v>
      </x:c>
      <x:c r="X260" s="14" t="s">
        <x:v>106</x:v>
      </x:c>
      <x:c r="Y260" s="32" t="str">
        <x:v>TRN-0259|20240406</x:v>
      </x:c>
      <x:c r="Z260" s="32" t="str" cm="1">
        <x:f t="array" ref="Z26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260" s="33" t="n">
        <x:f>--OR(WorkforceData[[#This Row],[Status]]="Active",WorkforceData[[#This Row],[Promoted]]="Yes",WorkforceData[[#This Row],[Total Days Worked]]&gt;=121)</x:f>
        <x:v>0</x:v>
      </x:c>
      <x:c r="AB260" s="33" t="n">
        <x:f>IF(AND(Q260="Terminated",R260="",O260=0),1,0)</x:f>
        <x:v>0</x:v>
      </x:c>
      <x:c r="AC260" s="33" t="n">
        <x:f>--OR(WorkforceData[[#This Row],[Status]]="Resigned",WorkforceData[[#This Row],[Status After Training]]="Withdrew")</x:f>
        <x:v>1</x:v>
      </x:c>
      <x:c r="AD260" s="34" t="n">
        <x:f>EOMONTH(WorkforceData[[#This Row],[Training Date]],0)</x:f>
        <x:v>45412</x:v>
      </x:c>
      <x:c r="AE260" s="32" t="str">
        <x:f>IF(M260&lt;H260,"Existing Employee",IF(U260="","No Assignment",IF(V260=0,"0 Days",IF(V260&lt;=7,"1-7 Days",IF(V260&lt;=14,"8-14 Days",IF(V260&lt;=21,"15-21 Days","21+ Days"))))))</x:f>
        <x:v>Existing Employee</x:v>
      </x:c>
      <x:c r="AF26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260" s="33" t="n">
        <x:f>--(WorkforceData[[#This Row],[Total Days Worked]]&gt;=121)</x:f>
        <x:v>0</x:v>
      </x:c>
    </x:row>
    <x:row r="261">
      <x:c r="A261" s="236" t="str">
        <x:v>TRN-0260</x:v>
      </x:c>
      <x:c r="B261" s="243"/>
      <x:c r="C261" s="243"/>
      <x:c r="D261" s="243"/>
      <x:c r="E261" s="243"/>
      <x:c r="F261" s="14" t="str">
        <x:v>Recruiter D</x:v>
      </x:c>
      <x:c r="G261" s="14" t="str">
        <x:v>Training Center A</x:v>
      </x:c>
      <x:c r="H261" s="28">
        <x:v>45388</x:v>
      </x:c>
      <x:c r="I261" s="14">
        <x:v>2024</x:v>
      </x:c>
      <x:c r="J261" s="14" t="s">
        <x:v>126</x:v>
      </x:c>
      <x:c r="K261" s="14">
        <x:v>31</x:v>
      </x:c>
      <x:c r="L261" s="29" t="s">
        <x:v>128</x:v>
      </x:c>
      <x:c r="M261" s="28">
        <x:v>45388</x:v>
      </x:c>
      <x:c r="N261" s="28">
        <x:v>45774</x:v>
      </x:c>
      <x:c r="O261" s="14">
        <x:v>386</x:v>
      </x:c>
      <x:c r="P261" s="14" t="s">
        <x:v>120</x:v>
      </x:c>
      <x:c r="Q261" s="14" t="s">
        <x:v>103</x:v>
      </x:c>
      <x:c r="R261" s="14" t="s">
        <x:v>123</x:v>
      </x:c>
      <x:c r="S261" s="14" t="s">
        <x:v>108</x:v>
      </x:c>
      <x:c r="T261" s="14" t="str">
        <x:v>Region A</x:v>
      </x:c>
      <x:c r="U261" s="28">
        <x:v>45392</x:v>
      </x:c>
      <x:c r="V261" s="30">
        <x:v>4</x:v>
      </x:c>
      <x:c r="W261" s="14" t="s">
        <x:v>109</x:v>
      </x:c>
      <x:c r="X261" s="14" t="s">
        <x:v>106</x:v>
      </x:c>
      <x:c r="Y261" s="32" t="str">
        <x:v>TRN-0260|20240406</x:v>
      </x:c>
      <x:c r="Z261" s="32" t="str" cm="1">
        <x:f t="array" ref="Z26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261" s="33" t="n">
        <x:f>--OR(WorkforceData[[#This Row],[Status]]="Active",WorkforceData[[#This Row],[Promoted]]="Yes",WorkforceData[[#This Row],[Total Days Worked]]&gt;=121)</x:f>
        <x:v>1</x:v>
      </x:c>
      <x:c r="AB261" s="33" t="n">
        <x:f>IF(AND(Q261="Terminated",R261="",O261=0),1,0)</x:f>
        <x:v>0</x:v>
      </x:c>
      <x:c r="AC261" s="33" t="n">
        <x:f>--OR(WorkforceData[[#This Row],[Status]]="Resigned",WorkforceData[[#This Row],[Status After Training]]="Withdrew")</x:f>
        <x:v>1</x:v>
      </x:c>
      <x:c r="AD261" s="34" t="n">
        <x:f>EOMONTH(WorkforceData[[#This Row],[Training Date]],0)</x:f>
        <x:v>45412</x:v>
      </x:c>
      <x:c r="AE261" s="32" t="str">
        <x:f>IF(M261&lt;H261,"Existing Employee",IF(U261="","No Assignment",IF(V261=0,"0 Days",IF(V261&lt;=7,"1-7 Days",IF(V261&lt;=14,"8-14 Days",IF(V261&lt;=21,"15-21 Days","21+ Days"))))))</x:f>
        <x:v>1-7 Days</x:v>
      </x:c>
      <x:c r="AF26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61" s="33" t="n">
        <x:f>--(WorkforceData[[#This Row],[Total Days Worked]]&gt;=121)</x:f>
        <x:v>1</x:v>
      </x:c>
    </x:row>
    <x:row r="262">
      <x:c r="A262" s="236" t="str">
        <x:v>TRN-0261</x:v>
      </x:c>
      <x:c r="B262" s="243"/>
      <x:c r="C262" s="243"/>
      <x:c r="D262" s="243"/>
      <x:c r="E262" s="243"/>
      <x:c r="F262" s="14" t="str">
        <x:v>Recruiter C</x:v>
      </x:c>
      <x:c r="G262" s="14" t="str">
        <x:v>Training Center A</x:v>
      </x:c>
      <x:c r="H262" s="28">
        <x:v>45388</x:v>
      </x:c>
      <x:c r="I262" s="14">
        <x:v>2024</x:v>
      </x:c>
      <x:c r="J262" s="14" t="s">
        <x:v>126</x:v>
      </x:c>
      <x:c r="K262" s="14">
        <x:v>31</x:v>
      </x:c>
      <x:c r="L262" s="29" t="s">
        <x:v>128</x:v>
      </x:c>
      <x:c r="M262" s="28">
        <x:v>45385</x:v>
      </x:c>
      <x:c r="N262" s="28">
        <x:v>45388</x:v>
      </x:c>
      <x:c r="O262" s="14">
        <x:v>3</x:v>
      </x:c>
      <x:c r="P262" s="14" t="s">
        <x:v>102</x:v>
      </x:c>
      <x:c r="Q262" s="14" t="s">
        <x:v>103</x:v>
      </x:c>
      <x:c r="R262" s="14" t="s">
        <x:v>104</x:v>
      </x:c>
      <x:c r="S262" s="14" t="s">
        <x:v>105</x:v>
      </x:c>
      <x:c r="T262" s="14" t="str">
        <x:v>Region D</x:v>
      </x:c>
      <x:c r="U262" s="28">
        <x:v>45388</x:v>
      </x:c>
      <x:c r="V262" s="30">
        <x:v>0</x:v>
      </x:c>
      <x:c r="W262" s="14" t="s">
        <x:v>109</x:v>
      </x:c>
      <x:c r="X262" s="14" t="s">
        <x:v>106</x:v>
      </x:c>
      <x:c r="Y262" s="32" t="str">
        <x:v>TRN-0261|20240406</x:v>
      </x:c>
      <x:c r="Z262" s="32" t="str" cm="1">
        <x:f t="array" ref="Z26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262" s="33" t="n">
        <x:f>--OR(WorkforceData[[#This Row],[Status]]="Active",WorkforceData[[#This Row],[Promoted]]="Yes",WorkforceData[[#This Row],[Total Days Worked]]&gt;=121)</x:f>
        <x:v>0</x:v>
      </x:c>
      <x:c r="AB262" s="33" t="n">
        <x:f>IF(AND(Q262="Terminated",R262="",O262=0),1,0)</x:f>
        <x:v>0</x:v>
      </x:c>
      <x:c r="AC262" s="33" t="n">
        <x:f>--OR(WorkforceData[[#This Row],[Status]]="Resigned",WorkforceData[[#This Row],[Status After Training]]="Withdrew")</x:f>
        <x:v>1</x:v>
      </x:c>
      <x:c r="AD262" s="34" t="n">
        <x:f>EOMONTH(WorkforceData[[#This Row],[Training Date]],0)</x:f>
        <x:v>45412</x:v>
      </x:c>
      <x:c r="AE262" s="32" t="str">
        <x:f>IF(M262&lt;H262,"Existing Employee",IF(U262="","No Assignment",IF(V262=0,"0 Days",IF(V262&lt;=7,"1-7 Days",IF(V262&lt;=14,"8-14 Days",IF(V262&lt;=21,"15-21 Days","21+ Days"))))))</x:f>
        <x:v>Existing Employee</x:v>
      </x:c>
      <x:c r="AF26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1-7 Days</x:v>
      </x:c>
      <x:c r="AG262" s="33" t="n">
        <x:f>--(WorkforceData[[#This Row],[Total Days Worked]]&gt;=121)</x:f>
        <x:v>0</x:v>
      </x:c>
    </x:row>
    <x:row r="263">
      <x:c r="A263" s="236" t="str">
        <x:v>TRN-0262</x:v>
      </x:c>
      <x:c r="B263" s="243"/>
      <x:c r="C263" s="243"/>
      <x:c r="D263" s="243"/>
      <x:c r="E263" s="243"/>
      <x:c r="F263" s="14" t="str">
        <x:v>Recruiter F</x:v>
      </x:c>
      <x:c r="G263" s="14" t="str">
        <x:v>Training Center A</x:v>
      </x:c>
      <x:c r="H263" s="28">
        <x:v>45388</x:v>
      </x:c>
      <x:c r="I263" s="14">
        <x:v>2024</x:v>
      </x:c>
      <x:c r="J263" s="14" t="s">
        <x:v>126</x:v>
      </x:c>
      <x:c r="K263" s="14">
        <x:v>31</x:v>
      </x:c>
      <x:c r="L263" s="29" t="s">
        <x:v>128</x:v>
      </x:c>
      <x:c r="M263" s="28">
        <x:v>45381</x:v>
      </x:c>
      <x:c r="N263" s="14"/>
      <x:c r="O263" s="14">
        <x:v>870</x:v>
      </x:c>
      <x:c r="P263" s="14" t="s">
        <x:v>122</x:v>
      </x:c>
      <x:c r="Q263" s="14" t="s">
        <x:v>25</x:v>
      </x:c>
      <x:c r="R263" s="14"/>
      <x:c r="S263" s="14" t="s">
        <x:v>105</x:v>
      </x:c>
      <x:c r="T263" s="14"/>
      <x:c r="U263" s="28"/>
      <x:c r="V263" s="30"/>
      <x:c r="W263" s="14"/>
      <x:c r="X263" s="14" t="s">
        <x:v>71</x:v>
      </x:c>
      <x:c r="Y263" s="32" t="str">
        <x:v>TRN-0262|20240406</x:v>
      </x:c>
      <x:c r="Z263" s="32" t="str" cm="1">
        <x:f t="array" ref="Z26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263" s="33" t="n">
        <x:f>--OR(WorkforceData[[#This Row],[Status]]="Active",WorkforceData[[#This Row],[Promoted]]="Yes",WorkforceData[[#This Row],[Total Days Worked]]&gt;=121)</x:f>
        <x:v>1</x:v>
      </x:c>
      <x:c r="AB263" s="33" t="n">
        <x:f>IF(AND(Q263="Terminated",R263="",O263=0),1,0)</x:f>
        <x:v>0</x:v>
      </x:c>
      <x:c r="AC263" s="33" t="n">
        <x:f>--OR(WorkforceData[[#This Row],[Status]]="Resigned",WorkforceData[[#This Row],[Status After Training]]="Withdrew")</x:f>
        <x:v>0</x:v>
      </x:c>
      <x:c r="AD263" s="34" t="n">
        <x:f>EOMONTH(WorkforceData[[#This Row],[Training Date]],0)</x:f>
        <x:v>45412</x:v>
      </x:c>
      <x:c r="AE263" s="32" t="str">
        <x:f>IF(M263&lt;H263,"Existing Employee",IF(U263="","No Assignment",IF(V263=0,"0 Days",IF(V263&lt;=7,"1-7 Days",IF(V263&lt;=14,"8-14 Days",IF(V263&lt;=21,"15-21 Days","21+ Days"))))))</x:f>
        <x:v>Existing Employee</x:v>
      </x:c>
      <x:c r="AF26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63" s="33" t="n">
        <x:f>--(WorkforceData[[#This Row],[Total Days Worked]]&gt;=121)</x:f>
        <x:v>1</x:v>
      </x:c>
    </x:row>
    <x:row r="264">
      <x:c r="A264" s="236" t="str">
        <x:v>TRN-0263</x:v>
      </x:c>
      <x:c r="B264" s="243"/>
      <x:c r="C264" s="243"/>
      <x:c r="D264" s="243"/>
      <x:c r="E264" s="243"/>
      <x:c r="F264" s="14" t="str">
        <x:v>Recruiter E</x:v>
      </x:c>
      <x:c r="G264" s="14" t="str">
        <x:v>Training Center A</x:v>
      </x:c>
      <x:c r="H264" s="28">
        <x:v>45388</x:v>
      </x:c>
      <x:c r="I264" s="14">
        <x:v>2024</x:v>
      </x:c>
      <x:c r="J264" s="14" t="s">
        <x:v>126</x:v>
      </x:c>
      <x:c r="K264" s="14">
        <x:v>31</x:v>
      </x:c>
      <x:c r="L264" s="29" t="s">
        <x:v>128</x:v>
      </x:c>
      <x:c r="M264" s="28">
        <x:v>45388</x:v>
      </x:c>
      <x:c r="N264" s="14"/>
      <x:c r="O264" s="14">
        <x:v>863</x:v>
      </x:c>
      <x:c r="P264" s="14" t="s">
        <x:v>122</x:v>
      </x:c>
      <x:c r="Q264" s="14" t="s">
        <x:v>25</x:v>
      </x:c>
      <x:c r="R264" s="14"/>
      <x:c r="S264" s="14" t="s">
        <x:v>108</x:v>
      </x:c>
      <x:c r="T264" s="14" t="str">
        <x:v>Region A</x:v>
      </x:c>
      <x:c r="U264" s="28">
        <x:v>45399</x:v>
      </x:c>
      <x:c r="V264" s="30">
        <x:v>11</x:v>
      </x:c>
      <x:c r="W264" s="14" t="s">
        <x:v>45</x:v>
      </x:c>
      <x:c r="X264" s="14" t="s">
        <x:v>106</x:v>
      </x:c>
      <x:c r="Y264" s="32" t="str">
        <x:v>TRN-0263|20240406</x:v>
      </x:c>
      <x:c r="Z264" s="32" t="str" cm="1">
        <x:f t="array" ref="Z26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264" s="33" t="n">
        <x:f>--OR(WorkforceData[[#This Row],[Status]]="Active",WorkforceData[[#This Row],[Promoted]]="Yes",WorkforceData[[#This Row],[Total Days Worked]]&gt;=121)</x:f>
        <x:v>1</x:v>
      </x:c>
      <x:c r="AB264" s="33" t="n">
        <x:f>IF(AND(Q264="Terminated",R264="",O264=0),1,0)</x:f>
        <x:v>0</x:v>
      </x:c>
      <x:c r="AC264" s="33" t="n">
        <x:f>--OR(WorkforceData[[#This Row],[Status]]="Resigned",WorkforceData[[#This Row],[Status After Training]]="Withdrew")</x:f>
        <x:v>0</x:v>
      </x:c>
      <x:c r="AD264" s="34" t="n">
        <x:f>EOMONTH(WorkforceData[[#This Row],[Training Date]],0)</x:f>
        <x:v>45412</x:v>
      </x:c>
      <x:c r="AE264" s="32" t="str">
        <x:f>IF(M264&lt;H264,"Existing Employee",IF(U264="","No Assignment",IF(V264=0,"0 Days",IF(V264&lt;=7,"1-7 Days",IF(V264&lt;=14,"8-14 Days",IF(V264&lt;=21,"15-21 Days","21+ Days"))))))</x:f>
        <x:v>8-14 Days</x:v>
      </x:c>
      <x:c r="AF26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64" s="33" t="n">
        <x:f>--(WorkforceData[[#This Row],[Total Days Worked]]&gt;=121)</x:f>
        <x:v>1</x:v>
      </x:c>
    </x:row>
    <x:row r="265">
      <x:c r="A265" s="236" t="str">
        <x:v>TRN-0264</x:v>
      </x:c>
      <x:c r="B265" s="243"/>
      <x:c r="C265" s="243"/>
      <x:c r="D265" s="243"/>
      <x:c r="E265" s="243"/>
      <x:c r="F265" s="14" t="str">
        <x:v>Recruiter F</x:v>
      </x:c>
      <x:c r="G265" s="14" t="str">
        <x:v>Training Center A</x:v>
      </x:c>
      <x:c r="H265" s="28">
        <x:v>45388</x:v>
      </x:c>
      <x:c r="I265" s="14">
        <x:v>2024</x:v>
      </x:c>
      <x:c r="J265" s="14" t="s">
        <x:v>126</x:v>
      </x:c>
      <x:c r="K265" s="14">
        <x:v>31</x:v>
      </x:c>
      <x:c r="L265" s="29" t="s">
        <x:v>128</x:v>
      </x:c>
      <x:c r="M265" s="28">
        <x:v>45378</x:v>
      </x:c>
      <x:c r="N265" s="28">
        <x:v>45513</x:v>
      </x:c>
      <x:c r="O265" s="14">
        <x:v>135</x:v>
      </x:c>
      <x:c r="P265" s="14" t="s">
        <x:v>113</x:v>
      </x:c>
      <x:c r="Q265" s="14" t="s">
        <x:v>103</x:v>
      </x:c>
      <x:c r="R265" s="14" t="s">
        <x:v>104</x:v>
      </x:c>
      <x:c r="S265" s="14" t="s">
        <x:v>105</x:v>
      </x:c>
      <x:c r="T265" s="14" t="str">
        <x:v>Region D</x:v>
      </x:c>
      <x:c r="U265" s="28">
        <x:v>45395</x:v>
      </x:c>
      <x:c r="V265" s="30">
        <x:v>7</x:v>
      </x:c>
      <x:c r="W265" s="14" t="s">
        <x:v>109</x:v>
      </x:c>
      <x:c r="X265" s="14" t="s">
        <x:v>106</x:v>
      </x:c>
      <x:c r="Y265" s="32" t="str">
        <x:v>TRN-0264|20240406</x:v>
      </x:c>
      <x:c r="Z265" s="32" t="str" cm="1">
        <x:f t="array" ref="Z26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Complete</x:v>
      </x:c>
      <x:c r="AA265" s="33" t="n">
        <x:f>--OR(WorkforceData[[#This Row],[Status]]="Active",WorkforceData[[#This Row],[Promoted]]="Yes",WorkforceData[[#This Row],[Total Days Worked]]&gt;=121)</x:f>
        <x:v>1</x:v>
      </x:c>
      <x:c r="AB265" s="33" t="n">
        <x:f>IF(AND(Q265="Terminated",R265="",O265=0),1,0)</x:f>
        <x:v>0</x:v>
      </x:c>
      <x:c r="AC265" s="33" t="n">
        <x:f>--OR(WorkforceData[[#This Row],[Status]]="Resigned",WorkforceData[[#This Row],[Status After Training]]="Withdrew")</x:f>
        <x:v>1</x:v>
      </x:c>
      <x:c r="AD265" s="34" t="n">
        <x:f>EOMONTH(WorkforceData[[#This Row],[Training Date]],0)</x:f>
        <x:v>45412</x:v>
      </x:c>
      <x:c r="AE265" s="32" t="str">
        <x:f>IF(M265&lt;H265,"Existing Employee",IF(U265="","No Assignment",IF(V265=0,"0 Days",IF(V265&lt;=7,"1-7 Days",IF(V265&lt;=14,"8-14 Days",IF(V265&lt;=21,"15-21 Days","21+ Days"))))))</x:f>
        <x:v>Existing Employee</x:v>
      </x:c>
      <x:c r="AF26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65" s="33" t="n">
        <x:f>--(WorkforceData[[#This Row],[Total Days Worked]]&gt;=121)</x:f>
        <x:v>1</x:v>
      </x:c>
    </x:row>
    <x:row r="266">
      <x:c r="A266" s="236" t="str">
        <x:v>TRN-0265</x:v>
      </x:c>
      <x:c r="B266" s="243"/>
      <x:c r="C266" s="243"/>
      <x:c r="D266" s="243"/>
      <x:c r="E266" s="243"/>
      <x:c r="F266" s="14" t="str">
        <x:v>Recruiter F</x:v>
      </x:c>
      <x:c r="G266" s="14" t="str">
        <x:v>Training Center A</x:v>
      </x:c>
      <x:c r="H266" s="28">
        <x:v>45388</x:v>
      </x:c>
      <x:c r="I266" s="14">
        <x:v>2024</x:v>
      </x:c>
      <x:c r="J266" s="14" t="s">
        <x:v>126</x:v>
      </x:c>
      <x:c r="K266" s="14">
        <x:v>31</x:v>
      </x:c>
      <x:c r="L266" s="29" t="s">
        <x:v>128</x:v>
      </x:c>
      <x:c r="M266" s="28">
        <x:v>45388</x:v>
      </x:c>
      <x:c r="N266" s="14"/>
      <x:c r="O266" s="14">
        <x:v>863</x:v>
      </x:c>
      <x:c r="P266" s="14" t="s">
        <x:v>122</x:v>
      </x:c>
      <x:c r="Q266" s="14" t="s">
        <x:v>38</x:v>
      </x:c>
      <x:c r="R266" s="14"/>
      <x:c r="S266" s="14" t="s">
        <x:v>108</x:v>
      </x:c>
      <x:c r="T266" s="14" t="str">
        <x:v>Region B</x:v>
      </x:c>
      <x:c r="U266" s="28">
        <x:v>45390</x:v>
      </x:c>
      <x:c r="V266" s="30">
        <x:v>2</x:v>
      </x:c>
      <x:c r="W266" s="14" t="s">
        <x:v>109</x:v>
      </x:c>
      <x:c r="X266" s="14" t="s">
        <x:v>106</x:v>
      </x:c>
      <x:c r="Y266" s="32" t="str">
        <x:v>TRN-0265|20240406</x:v>
      </x:c>
      <x:c r="Z266" s="32" t="str" cm="1">
        <x:f t="array" ref="Z26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266" s="33" t="n">
        <x:f>--OR(WorkforceData[[#This Row],[Status]]="Active",WorkforceData[[#This Row],[Promoted]]="Yes",WorkforceData[[#This Row],[Total Days Worked]]&gt;=121)</x:f>
        <x:v>1</x:v>
      </x:c>
      <x:c r="AB266" s="33" t="n">
        <x:f>IF(AND(Q266="Terminated",R266="",O266=0),1,0)</x:f>
        <x:v>0</x:v>
      </x:c>
      <x:c r="AC266" s="33" t="n">
        <x:f>--OR(WorkforceData[[#This Row],[Status]]="Resigned",WorkforceData[[#This Row],[Status After Training]]="Withdrew")</x:f>
        <x:v>0</x:v>
      </x:c>
      <x:c r="AD266" s="34" t="n">
        <x:f>EOMONTH(WorkforceData[[#This Row],[Training Date]],0)</x:f>
        <x:v>45412</x:v>
      </x:c>
      <x:c r="AE266" s="32" t="str">
        <x:f>IF(M266&lt;H266,"Existing Employee",IF(U266="","No Assignment",IF(V266=0,"0 Days",IF(V266&lt;=7,"1-7 Days",IF(V266&lt;=14,"8-14 Days",IF(V266&lt;=21,"15-21 Days","21+ Days"))))))</x:f>
        <x:v>1-7 Days</x:v>
      </x:c>
      <x:c r="AF26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66" s="33" t="n">
        <x:f>--(WorkforceData[[#This Row],[Total Days Worked]]&gt;=121)</x:f>
        <x:v>1</x:v>
      </x:c>
    </x:row>
    <x:row r="267">
      <x:c r="A267" s="236" t="str">
        <x:v>TRN-0266</x:v>
      </x:c>
      <x:c r="B267" s="243"/>
      <x:c r="C267" s="243"/>
      <x:c r="D267" s="243"/>
      <x:c r="E267" s="243"/>
      <x:c r="F267" s="14" t="str">
        <x:v>Recruiter A</x:v>
      </x:c>
      <x:c r="G267" s="14" t="str">
        <x:v>Training Center A</x:v>
      </x:c>
      <x:c r="H267" s="28">
        <x:v>45739</x:v>
      </x:c>
      <x:c r="I267" s="14">
        <x:v>2025</x:v>
      </x:c>
      <x:c r="J267" s="14" t="s">
        <x:v>130</x:v>
      </x:c>
      <x:c r="K267" s="14">
        <x:v>18</x:v>
      </x:c>
      <x:c r="L267" s="29" t="s">
        <x:v>119</x:v>
      </x:c>
      <x:c r="M267" s="28">
        <x:v>45734</x:v>
      </x:c>
      <x:c r="N267" s="28">
        <x:v>45740</x:v>
      </x:c>
      <x:c r="O267" s="14">
        <x:v>6</x:v>
      </x:c>
      <x:c r="P267" s="14" t="s">
        <x:v>102</x:v>
      </x:c>
      <x:c r="Q267" s="14" t="s">
        <x:v>103</x:v>
      </x:c>
      <x:c r="R267" s="14" t="s">
        <x:v>111</x:v>
      </x:c>
      <x:c r="S267" s="14" t="s">
        <x:v>105</x:v>
      </x:c>
      <x:c r="T267" s="14" t="str">
        <x:v>Region B</x:v>
      </x:c>
      <x:c r="U267" s="28">
        <x:v>45740</x:v>
      </x:c>
      <x:c r="V267" s="30">
        <x:v>1</x:v>
      </x:c>
      <x:c r="W267" s="14" t="s">
        <x:v>109</x:v>
      </x:c>
      <x:c r="X267" s="14" t="s">
        <x:v>106</x:v>
      </x:c>
      <x:c r="Y267" s="32" t="str">
        <x:v>TRN-0266|20250323</x:v>
      </x:c>
      <x:c r="Z267" s="32" t="str" cm="1">
        <x:f t="array" ref="Z26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267" s="33" t="n">
        <x:f>--OR(WorkforceData[[#This Row],[Status]]="Active",WorkforceData[[#This Row],[Promoted]]="Yes",WorkforceData[[#This Row],[Total Days Worked]]&gt;=121)</x:f>
        <x:v>0</x:v>
      </x:c>
      <x:c r="AB267" s="33" t="n">
        <x:f>IF(AND(Q267="Terminated",R267="",O267=0),1,0)</x:f>
        <x:v>0</x:v>
      </x:c>
      <x:c r="AC267" s="33" t="n">
        <x:f>--OR(WorkforceData[[#This Row],[Status]]="Resigned",WorkforceData[[#This Row],[Status After Training]]="Withdrew")</x:f>
        <x:v>1</x:v>
      </x:c>
      <x:c r="AD267" s="34" t="n">
        <x:f>EOMONTH(WorkforceData[[#This Row],[Training Date]],0)</x:f>
        <x:v>45747</x:v>
      </x:c>
      <x:c r="AE267" s="32" t="str">
        <x:f>IF(M267&lt;H267,"Existing Employee",IF(U267="","No Assignment",IF(V267=0,"0 Days",IF(V267&lt;=7,"1-7 Days",IF(V267&lt;=14,"8-14 Days",IF(V267&lt;=21,"15-21 Days","21+ Days"))))))</x:f>
        <x:v>Existing Employee</x:v>
      </x:c>
      <x:c r="AF26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1-7 Days</x:v>
      </x:c>
      <x:c r="AG267" s="33" t="n">
        <x:f>--(WorkforceData[[#This Row],[Total Days Worked]]&gt;=121)</x:f>
        <x:v>0</x:v>
      </x:c>
    </x:row>
    <x:row r="268">
      <x:c r="A268" s="236" t="str">
        <x:v>TRN-0267</x:v>
      </x:c>
      <x:c r="B268" s="243"/>
      <x:c r="C268" s="243"/>
      <x:c r="D268" s="243"/>
      <x:c r="E268" s="243"/>
      <x:c r="F268" s="14" t="str">
        <x:v>Recruiter E</x:v>
      </x:c>
      <x:c r="G268" s="14" t="str">
        <x:v>Training Center A</x:v>
      </x:c>
      <x:c r="H268" s="28">
        <x:v>45739</x:v>
      </x:c>
      <x:c r="I268" s="14">
        <x:v>2025</x:v>
      </x:c>
      <x:c r="J268" s="14" t="s">
        <x:v>130</x:v>
      </x:c>
      <x:c r="K268" s="14">
        <x:v>18</x:v>
      </x:c>
      <x:c r="L268" s="29" t="s">
        <x:v>119</x:v>
      </x:c>
      <x:c r="M268" s="28">
        <x:v>45737</x:v>
      </x:c>
      <x:c r="N268" s="28">
        <x:v>45846</x:v>
      </x:c>
      <x:c r="O268" s="14">
        <x:v>109</x:v>
      </x:c>
      <x:c r="P268" s="14" t="s">
        <x:v>113</x:v>
      </x:c>
      <x:c r="Q268" s="14" t="s">
        <x:v>103</x:v>
      </x:c>
      <x:c r="R268" s="14" t="s">
        <x:v>104</x:v>
      </x:c>
      <x:c r="S268" s="14" t="s">
        <x:v>105</x:v>
      </x:c>
      <x:c r="T268" s="14" t="str">
        <x:v>Region B</x:v>
      </x:c>
      <x:c r="U268" s="28">
        <x:v>45769</x:v>
      </x:c>
      <x:c r="V268" s="30">
        <x:v>30</x:v>
      </x:c>
      <x:c r="W268" s="14" t="s">
        <x:v>112</x:v>
      </x:c>
      <x:c r="X268" s="14" t="s">
        <x:v>106</x:v>
      </x:c>
      <x:c r="Y268" s="32" t="str">
        <x:v>TRN-0267|20250323</x:v>
      </x:c>
      <x:c r="Z268" s="32" t="str" cm="1">
        <x:f t="array" ref="Z26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268" s="33" t="n">
        <x:f>--OR(WorkforceData[[#This Row],[Status]]="Active",WorkforceData[[#This Row],[Promoted]]="Yes",WorkforceData[[#This Row],[Total Days Worked]]&gt;=121)</x:f>
        <x:v>0</x:v>
      </x:c>
      <x:c r="AB268" s="33" t="n">
        <x:f>IF(AND(Q268="Terminated",R268="",O268=0),1,0)</x:f>
        <x:v>0</x:v>
      </x:c>
      <x:c r="AC268" s="33" t="n">
        <x:f>--OR(WorkforceData[[#This Row],[Status]]="Resigned",WorkforceData[[#This Row],[Status After Training]]="Withdrew")</x:f>
        <x:v>1</x:v>
      </x:c>
      <x:c r="AD268" s="34" t="n">
        <x:f>EOMONTH(WorkforceData[[#This Row],[Training Date]],0)</x:f>
        <x:v>45747</x:v>
      </x:c>
      <x:c r="AE268" s="32" t="str">
        <x:f>IF(M268&lt;H268,"Existing Employee",IF(U268="","No Assignment",IF(V268=0,"0 Days",IF(V268&lt;=7,"1-7 Days",IF(V268&lt;=14,"8-14 Days",IF(V268&lt;=21,"15-21 Days","21+ Days"))))))</x:f>
        <x:v>Existing Employee</x:v>
      </x:c>
      <x:c r="AF26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91-120 Days</x:v>
      </x:c>
      <x:c r="AG268" s="33" t="n">
        <x:f>--(WorkforceData[[#This Row],[Total Days Worked]]&gt;=121)</x:f>
        <x:v>0</x:v>
      </x:c>
    </x:row>
    <x:row r="269">
      <x:c r="A269" s="236" t="str">
        <x:v>TRN-0268</x:v>
      </x:c>
      <x:c r="B269" s="243"/>
      <x:c r="C269" s="243"/>
      <x:c r="D269" s="243"/>
      <x:c r="E269" s="243"/>
      <x:c r="F269" s="14" t="str">
        <x:v>Recruiter B</x:v>
      </x:c>
      <x:c r="G269" s="14" t="str">
        <x:v>Training Center A</x:v>
      </x:c>
      <x:c r="H269" s="28">
        <x:v>45739</x:v>
      </x:c>
      <x:c r="I269" s="14">
        <x:v>2025</x:v>
      </x:c>
      <x:c r="J269" s="14" t="s">
        <x:v>130</x:v>
      </x:c>
      <x:c r="K269" s="14">
        <x:v>18</x:v>
      </x:c>
      <x:c r="L269" s="29" t="s">
        <x:v>119</x:v>
      </x:c>
      <x:c r="M269" s="28">
        <x:v>45739</x:v>
      </x:c>
      <x:c r="N269" s="14"/>
      <x:c r="O269" s="14">
        <x:v>512</x:v>
      </x:c>
      <x:c r="P269" s="14" t="s">
        <x:v>120</x:v>
      </x:c>
      <x:c r="Q269" s="14" t="s">
        <x:v>25</x:v>
      </x:c>
      <x:c r="R269" s="14"/>
      <x:c r="S269" s="14" t="s">
        <x:v>108</x:v>
      </x:c>
      <x:c r="T269" s="14" t="str">
        <x:v>Region A</x:v>
      </x:c>
      <x:c r="U269" s="28">
        <x:v>45747</x:v>
      </x:c>
      <x:c r="V269" s="30">
        <x:v>8</x:v>
      </x:c>
      <x:c r="W269" s="14" t="s">
        <x:v>45</x:v>
      </x:c>
      <x:c r="X269" s="14" t="s">
        <x:v>106</x:v>
      </x:c>
      <x:c r="Y269" s="32" t="str">
        <x:v>TRN-0268|20250323</x:v>
      </x:c>
      <x:c r="Z269" s="32" t="str" cm="1">
        <x:f t="array" ref="Z26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269" s="33" t="n">
        <x:f>--OR(WorkforceData[[#This Row],[Status]]="Active",WorkforceData[[#This Row],[Promoted]]="Yes",WorkforceData[[#This Row],[Total Days Worked]]&gt;=121)</x:f>
        <x:v>1</x:v>
      </x:c>
      <x:c r="AB269" s="33" t="n">
        <x:f>IF(AND(Q269="Terminated",R269="",O269=0),1,0)</x:f>
        <x:v>0</x:v>
      </x:c>
      <x:c r="AC269" s="33" t="n">
        <x:f>--OR(WorkforceData[[#This Row],[Status]]="Resigned",WorkforceData[[#This Row],[Status After Training]]="Withdrew")</x:f>
        <x:v>0</x:v>
      </x:c>
      <x:c r="AD269" s="34" t="n">
        <x:f>EOMONTH(WorkforceData[[#This Row],[Training Date]],0)</x:f>
        <x:v>45747</x:v>
      </x:c>
      <x:c r="AE269" s="32" t="str">
        <x:f>IF(M269&lt;H269,"Existing Employee",IF(U269="","No Assignment",IF(V269=0,"0 Days",IF(V269&lt;=7,"1-7 Days",IF(V269&lt;=14,"8-14 Days",IF(V269&lt;=21,"15-21 Days","21+ Days"))))))</x:f>
        <x:v>8-14 Days</x:v>
      </x:c>
      <x:c r="AF26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69" s="33" t="n">
        <x:f>--(WorkforceData[[#This Row],[Total Days Worked]]&gt;=121)</x:f>
        <x:v>1</x:v>
      </x:c>
    </x:row>
    <x:row r="270">
      <x:c r="A270" s="236" t="str">
        <x:v>TRN-0269</x:v>
      </x:c>
      <x:c r="B270" s="243"/>
      <x:c r="C270" s="243"/>
      <x:c r="D270" s="243"/>
      <x:c r="E270" s="243"/>
      <x:c r="F270" s="14" t="str">
        <x:v>Recruiter B</x:v>
      </x:c>
      <x:c r="G270" s="14" t="str">
        <x:v>Training Center A</x:v>
      </x:c>
      <x:c r="H270" s="28">
        <x:v>45739</x:v>
      </x:c>
      <x:c r="I270" s="14">
        <x:v>2025</x:v>
      </x:c>
      <x:c r="J270" s="14" t="s">
        <x:v>130</x:v>
      </x:c>
      <x:c r="K270" s="14">
        <x:v>18</x:v>
      </x:c>
      <x:c r="L270" s="29" t="s">
        <x:v>119</x:v>
      </x:c>
      <x:c r="M270" s="28">
        <x:v>45729</x:v>
      </x:c>
      <x:c r="N270" s="28">
        <x:v>45885</x:v>
      </x:c>
      <x:c r="O270" s="14">
        <x:v>156</x:v>
      </x:c>
      <x:c r="P270" s="14" t="s">
        <x:v>113</x:v>
      </x:c>
      <x:c r="Q270" s="14" t="s">
        <x:v>103</x:v>
      </x:c>
      <x:c r="R270" s="14" t="s">
        <x:v>104</x:v>
      </x:c>
      <x:c r="S270" s="14" t="s">
        <x:v>105</x:v>
      </x:c>
      <x:c r="T270" s="14" t="str">
        <x:v>Region D</x:v>
      </x:c>
      <x:c r="U270" s="28">
        <x:v>45765</x:v>
      </x:c>
      <x:c r="V270" s="30">
        <x:v>26</x:v>
      </x:c>
      <x:c r="W270" s="14" t="s">
        <x:v>112</x:v>
      </x:c>
      <x:c r="X270" s="14" t="s">
        <x:v>106</x:v>
      </x:c>
      <x:c r="Y270" s="32" t="str">
        <x:v>TRN-0269|20250323</x:v>
      </x:c>
      <x:c r="Z270" s="32" t="str" cm="1">
        <x:f t="array" ref="Z27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Complete</x:v>
      </x:c>
      <x:c r="AA270" s="33" t="n">
        <x:f>--OR(WorkforceData[[#This Row],[Status]]="Active",WorkforceData[[#This Row],[Promoted]]="Yes",WorkforceData[[#This Row],[Total Days Worked]]&gt;=121)</x:f>
        <x:v>1</x:v>
      </x:c>
      <x:c r="AB270" s="33" t="n">
        <x:f>IF(AND(Q270="Terminated",R270="",O270=0),1,0)</x:f>
        <x:v>0</x:v>
      </x:c>
      <x:c r="AC270" s="33" t="n">
        <x:f>--OR(WorkforceData[[#This Row],[Status]]="Resigned",WorkforceData[[#This Row],[Status After Training]]="Withdrew")</x:f>
        <x:v>1</x:v>
      </x:c>
      <x:c r="AD270" s="34" t="n">
        <x:f>EOMONTH(WorkforceData[[#This Row],[Training Date]],0)</x:f>
        <x:v>45747</x:v>
      </x:c>
      <x:c r="AE270" s="32" t="str">
        <x:f>IF(M270&lt;H270,"Existing Employee",IF(U270="","No Assignment",IF(V270=0,"0 Days",IF(V270&lt;=7,"1-7 Days",IF(V270&lt;=14,"8-14 Days",IF(V270&lt;=21,"15-21 Days","21+ Days"))))))</x:f>
        <x:v>Existing Employee</x:v>
      </x:c>
      <x:c r="AF27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70" s="33" t="n">
        <x:f>--(WorkforceData[[#This Row],[Total Days Worked]]&gt;=121)</x:f>
        <x:v>1</x:v>
      </x:c>
    </x:row>
    <x:row r="271">
      <x:c r="A271" s="236" t="str">
        <x:v>TRN-0270</x:v>
      </x:c>
      <x:c r="B271" s="243"/>
      <x:c r="C271" s="243"/>
      <x:c r="D271" s="243"/>
      <x:c r="E271" s="243"/>
      <x:c r="F271" s="14" t="str">
        <x:v>Recruiter B</x:v>
      </x:c>
      <x:c r="G271" s="14" t="str">
        <x:v>Training Center A</x:v>
      </x:c>
      <x:c r="H271" s="28">
        <x:v>45739</x:v>
      </x:c>
      <x:c r="I271" s="14">
        <x:v>2025</x:v>
      </x:c>
      <x:c r="J271" s="14" t="s">
        <x:v>130</x:v>
      </x:c>
      <x:c r="K271" s="14">
        <x:v>18</x:v>
      </x:c>
      <x:c r="L271" s="29" t="s">
        <x:v>119</x:v>
      </x:c>
      <x:c r="M271" s="28">
        <x:v>45739</x:v>
      </x:c>
      <x:c r="N271" s="28">
        <x:v>46251</x:v>
      </x:c>
      <x:c r="O271" s="14">
        <x:v>512</x:v>
      </x:c>
      <x:c r="P271" s="14" t="s">
        <x:v>120</x:v>
      </x:c>
      <x:c r="Q271" s="14" t="s">
        <x:v>103</x:v>
      </x:c>
      <x:c r="R271" s="14" t="s">
        <x:v>111</x:v>
      </x:c>
      <x:c r="S271" s="14" t="s">
        <x:v>108</x:v>
      </x:c>
      <x:c r="T271" s="14" t="str">
        <x:v>Region D</x:v>
      </x:c>
      <x:c r="U271" s="28">
        <x:v>45753</x:v>
      </x:c>
      <x:c r="V271" s="30">
        <x:v>14</x:v>
      </x:c>
      <x:c r="W271" s="14" t="s">
        <x:v>45</x:v>
      </x:c>
      <x:c r="X271" s="14" t="s">
        <x:v>106</x:v>
      </x:c>
      <x:c r="Y271" s="32" t="str">
        <x:v>TRN-0270|20250323</x:v>
      </x:c>
      <x:c r="Z271" s="32" t="str" cm="1">
        <x:f t="array" ref="Z27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271" s="33" t="n">
        <x:f>--OR(WorkforceData[[#This Row],[Status]]="Active",WorkforceData[[#This Row],[Promoted]]="Yes",WorkforceData[[#This Row],[Total Days Worked]]&gt;=121)</x:f>
        <x:v>1</x:v>
      </x:c>
      <x:c r="AB271" s="33" t="n">
        <x:f>IF(AND(Q271="Terminated",R271="",O271=0),1,0)</x:f>
        <x:v>0</x:v>
      </x:c>
      <x:c r="AC271" s="33" t="n">
        <x:f>--OR(WorkforceData[[#This Row],[Status]]="Resigned",WorkforceData[[#This Row],[Status After Training]]="Withdrew")</x:f>
        <x:v>1</x:v>
      </x:c>
      <x:c r="AD271" s="34" t="n">
        <x:f>EOMONTH(WorkforceData[[#This Row],[Training Date]],0)</x:f>
        <x:v>45747</x:v>
      </x:c>
      <x:c r="AE271" s="32" t="str">
        <x:f>IF(M271&lt;H271,"Existing Employee",IF(U271="","No Assignment",IF(V271=0,"0 Days",IF(V271&lt;=7,"1-7 Days",IF(V271&lt;=14,"8-14 Days",IF(V271&lt;=21,"15-21 Days","21+ Days"))))))</x:f>
        <x:v>8-14 Days</x:v>
      </x:c>
      <x:c r="AF27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71" s="33" t="n">
        <x:f>--(WorkforceData[[#This Row],[Total Days Worked]]&gt;=121)</x:f>
        <x:v>1</x:v>
      </x:c>
    </x:row>
    <x:row r="272">
      <x:c r="A272" s="236" t="str">
        <x:v>TRN-0271</x:v>
      </x:c>
      <x:c r="B272" s="243"/>
      <x:c r="C272" s="243"/>
      <x:c r="D272" s="243"/>
      <x:c r="E272" s="243"/>
      <x:c r="F272" s="14" t="str">
        <x:v>Recruiter D</x:v>
      </x:c>
      <x:c r="G272" s="14" t="str">
        <x:v>Training Center A</x:v>
      </x:c>
      <x:c r="H272" s="28">
        <x:v>45739</x:v>
      </x:c>
      <x:c r="I272" s="14">
        <x:v>2025</x:v>
      </x:c>
      <x:c r="J272" s="14" t="s">
        <x:v>130</x:v>
      </x:c>
      <x:c r="K272" s="14">
        <x:v>18</x:v>
      </x:c>
      <x:c r="L272" s="29" t="s">
        <x:v>119</x:v>
      </x:c>
      <x:c r="M272" s="28">
        <x:v>45732</x:v>
      </x:c>
      <x:c r="N272" s="14"/>
      <x:c r="O272" s="14">
        <x:v>519</x:v>
      </x:c>
      <x:c r="P272" s="14" t="s">
        <x:v>120</x:v>
      </x:c>
      <x:c r="Q272" s="14" t="s">
        <x:v>25</x:v>
      </x:c>
      <x:c r="R272" s="14"/>
      <x:c r="S272" s="14" t="s">
        <x:v>108</x:v>
      </x:c>
      <x:c r="T272" s="14" t="str">
        <x:v>Region B</x:v>
      </x:c>
      <x:c r="U272" s="28">
        <x:v>45745</x:v>
      </x:c>
      <x:c r="V272" s="30">
        <x:v>6</x:v>
      </x:c>
      <x:c r="W272" s="14" t="s">
        <x:v>109</x:v>
      </x:c>
      <x:c r="X272" s="14" t="s">
        <x:v>106</x:v>
      </x:c>
      <x:c r="Y272" s="32" t="str">
        <x:v>TRN-0271|20250323</x:v>
      </x:c>
      <x:c r="Z272" s="32" t="str" cm="1">
        <x:f t="array" ref="Z27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272" s="33" t="n">
        <x:f>--OR(WorkforceData[[#This Row],[Status]]="Active",WorkforceData[[#This Row],[Promoted]]="Yes",WorkforceData[[#This Row],[Total Days Worked]]&gt;=121)</x:f>
        <x:v>1</x:v>
      </x:c>
      <x:c r="AB272" s="33" t="n">
        <x:f>IF(AND(Q272="Terminated",R272="",O272=0),1,0)</x:f>
        <x:v>0</x:v>
      </x:c>
      <x:c r="AC272" s="33" t="n">
        <x:f>--OR(WorkforceData[[#This Row],[Status]]="Resigned",WorkforceData[[#This Row],[Status After Training]]="Withdrew")</x:f>
        <x:v>0</x:v>
      </x:c>
      <x:c r="AD272" s="34" t="n">
        <x:f>EOMONTH(WorkforceData[[#This Row],[Training Date]],0)</x:f>
        <x:v>45747</x:v>
      </x:c>
      <x:c r="AE272" s="32" t="str">
        <x:f>IF(M272&lt;H272,"Existing Employee",IF(U272="","No Assignment",IF(V272=0,"0 Days",IF(V272&lt;=7,"1-7 Days",IF(V272&lt;=14,"8-14 Days",IF(V272&lt;=21,"15-21 Days","21+ Days"))))))</x:f>
        <x:v>Existing Employee</x:v>
      </x:c>
      <x:c r="AF27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72" s="33" t="n">
        <x:f>--(WorkforceData[[#This Row],[Total Days Worked]]&gt;=121)</x:f>
        <x:v>1</x:v>
      </x:c>
    </x:row>
    <x:row r="273">
      <x:c r="A273" s="236" t="str">
        <x:v>TRN-0272</x:v>
      </x:c>
      <x:c r="B273" s="243"/>
      <x:c r="C273" s="243"/>
      <x:c r="D273" s="243"/>
      <x:c r="E273" s="243"/>
      <x:c r="F273" s="14" t="str">
        <x:v>Recruiter B</x:v>
      </x:c>
      <x:c r="G273" s="14" t="str">
        <x:v>Training Center A</x:v>
      </x:c>
      <x:c r="H273" s="28">
        <x:v>45739</x:v>
      </x:c>
      <x:c r="I273" s="14">
        <x:v>2025</x:v>
      </x:c>
      <x:c r="J273" s="14" t="s">
        <x:v>130</x:v>
      </x:c>
      <x:c r="K273" s="14">
        <x:v>18</x:v>
      </x:c>
      <x:c r="L273" s="29" t="s">
        <x:v>119</x:v>
      </x:c>
      <x:c r="M273" s="28">
        <x:v>45732</x:v>
      </x:c>
      <x:c r="N273" s="28">
        <x:v>46024</x:v>
      </x:c>
      <x:c r="O273" s="14">
        <x:v>292</x:v>
      </x:c>
      <x:c r="P273" s="14" t="s">
        <x:v>107</x:v>
      </x:c>
      <x:c r="Q273" s="14" t="s">
        <x:v>103</x:v>
      </x:c>
      <x:c r="R273" s="14" t="s">
        <x:v>111</x:v>
      </x:c>
      <x:c r="S273" s="14" t="s">
        <x:v>108</x:v>
      </x:c>
      <x:c r="T273" s="14" t="str">
        <x:v>Region E</x:v>
      </x:c>
      <x:c r="U273" s="28">
        <x:v>45741</x:v>
      </x:c>
      <x:c r="V273" s="30">
        <x:v>2</x:v>
      </x:c>
      <x:c r="W273" s="14" t="s">
        <x:v>109</x:v>
      </x:c>
      <x:c r="X273" s="14" t="s">
        <x:v>106</x:v>
      </x:c>
      <x:c r="Y273" s="32" t="str">
        <x:v>TRN-0272|20250323</x:v>
      </x:c>
      <x:c r="Z273" s="32" t="str" cm="1">
        <x:f t="array" ref="Z27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273" s="33" t="n">
        <x:f>--OR(WorkforceData[[#This Row],[Status]]="Active",WorkforceData[[#This Row],[Promoted]]="Yes",WorkforceData[[#This Row],[Total Days Worked]]&gt;=121)</x:f>
        <x:v>1</x:v>
      </x:c>
      <x:c r="AB273" s="33" t="n">
        <x:f>IF(AND(Q273="Terminated",R273="",O273=0),1,0)</x:f>
        <x:v>0</x:v>
      </x:c>
      <x:c r="AC273" s="33" t="n">
        <x:f>--OR(WorkforceData[[#This Row],[Status]]="Resigned",WorkforceData[[#This Row],[Status After Training]]="Withdrew")</x:f>
        <x:v>1</x:v>
      </x:c>
      <x:c r="AD273" s="34" t="n">
        <x:f>EOMONTH(WorkforceData[[#This Row],[Training Date]],0)</x:f>
        <x:v>45747</x:v>
      </x:c>
      <x:c r="AE273" s="32" t="str">
        <x:f>IF(M273&lt;H273,"Existing Employee",IF(U273="","No Assignment",IF(V273=0,"0 Days",IF(V273&lt;=7,"1-7 Days",IF(V273&lt;=14,"8-14 Days",IF(V273&lt;=21,"15-21 Days","21+ Days"))))))</x:f>
        <x:v>Existing Employee</x:v>
      </x:c>
      <x:c r="AF27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73" s="33" t="n">
        <x:f>--(WorkforceData[[#This Row],[Total Days Worked]]&gt;=121)</x:f>
        <x:v>1</x:v>
      </x:c>
    </x:row>
    <x:row r="274">
      <x:c r="A274" s="236" t="str">
        <x:v>TRN-0273</x:v>
      </x:c>
      <x:c r="B274" s="243"/>
      <x:c r="C274" s="243"/>
      <x:c r="D274" s="243"/>
      <x:c r="E274" s="243"/>
      <x:c r="F274" s="14" t="str">
        <x:v>Recruiter F</x:v>
      </x:c>
      <x:c r="G274" s="14" t="str">
        <x:v>Training Center A</x:v>
      </x:c>
      <x:c r="H274" s="28">
        <x:v>45739</x:v>
      </x:c>
      <x:c r="I274" s="14">
        <x:v>2025</x:v>
      </x:c>
      <x:c r="J274" s="14" t="s">
        <x:v>130</x:v>
      </x:c>
      <x:c r="K274" s="14">
        <x:v>18</x:v>
      </x:c>
      <x:c r="L274" s="29" t="s">
        <x:v>119</x:v>
      </x:c>
      <x:c r="M274" s="28">
        <x:v>45739</x:v>
      </x:c>
      <x:c r="N274" s="28">
        <x:v>45783</x:v>
      </x:c>
      <x:c r="O274" s="14">
        <x:v>44</x:v>
      </x:c>
      <x:c r="P274" s="14" t="s">
        <x:v>110</x:v>
      </x:c>
      <x:c r="Q274" s="14" t="s">
        <x:v>103</x:v>
      </x:c>
      <x:c r="R274" s="14" t="s">
        <x:v>104</x:v>
      </x:c>
      <x:c r="S274" s="14" t="s">
        <x:v>105</x:v>
      </x:c>
      <x:c r="T274" s="14" t="str">
        <x:v>Region A</x:v>
      </x:c>
      <x:c r="U274" s="28">
        <x:v>45751</x:v>
      </x:c>
      <x:c r="V274" s="30">
        <x:v>12</x:v>
      </x:c>
      <x:c r="W274" s="14" t="s">
        <x:v>45</x:v>
      </x:c>
      <x:c r="X274" s="14" t="s">
        <x:v>106</x:v>
      </x:c>
      <x:c r="Y274" s="32" t="str">
        <x:v>TRN-0273|20250323</x:v>
      </x:c>
      <x:c r="Z274" s="32" t="str" cm="1">
        <x:f t="array" ref="Z27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274" s="33" t="n">
        <x:f>--OR(WorkforceData[[#This Row],[Status]]="Active",WorkforceData[[#This Row],[Promoted]]="Yes",WorkforceData[[#This Row],[Total Days Worked]]&gt;=121)</x:f>
        <x:v>0</x:v>
      </x:c>
      <x:c r="AB274" s="33" t="n">
        <x:f>IF(AND(Q274="Terminated",R274="",O274=0),1,0)</x:f>
        <x:v>0</x:v>
      </x:c>
      <x:c r="AC274" s="33" t="n">
        <x:f>--OR(WorkforceData[[#This Row],[Status]]="Resigned",WorkforceData[[#This Row],[Status After Training]]="Withdrew")</x:f>
        <x:v>1</x:v>
      </x:c>
      <x:c r="AD274" s="34" t="n">
        <x:f>EOMONTH(WorkforceData[[#This Row],[Training Date]],0)</x:f>
        <x:v>45747</x:v>
      </x:c>
      <x:c r="AE274" s="32" t="str">
        <x:f>IF(M274&lt;H274,"Existing Employee",IF(U274="","No Assignment",IF(V274=0,"0 Days",IF(V274&lt;=7,"1-7 Days",IF(V274&lt;=14,"8-14 Days",IF(V274&lt;=21,"15-21 Days","21+ Days"))))))</x:f>
        <x:v>8-14 Days</x:v>
      </x:c>
      <x:c r="AF27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274" s="33" t="n">
        <x:f>--(WorkforceData[[#This Row],[Total Days Worked]]&gt;=121)</x:f>
        <x:v>0</x:v>
      </x:c>
    </x:row>
    <x:row r="275">
      <x:c r="A275" s="236" t="str">
        <x:v>TRN-0274</x:v>
      </x:c>
      <x:c r="B275" s="243"/>
      <x:c r="C275" s="243"/>
      <x:c r="D275" s="243"/>
      <x:c r="E275" s="243"/>
      <x:c r="F275" s="14" t="str">
        <x:v>Recruiter B</x:v>
      </x:c>
      <x:c r="G275" s="14" t="str">
        <x:v>Training Center A</x:v>
      </x:c>
      <x:c r="H275" s="28">
        <x:v>45739</x:v>
      </x:c>
      <x:c r="I275" s="14">
        <x:v>2025</x:v>
      </x:c>
      <x:c r="J275" s="14" t="s">
        <x:v>130</x:v>
      </x:c>
      <x:c r="K275" s="14">
        <x:v>18</x:v>
      </x:c>
      <x:c r="L275" s="29" t="s">
        <x:v>119</x:v>
      </x:c>
      <x:c r="M275" s="28">
        <x:v>45734</x:v>
      </x:c>
      <x:c r="N275" s="28">
        <x:v>45852</x:v>
      </x:c>
      <x:c r="O275" s="14">
        <x:v>118</x:v>
      </x:c>
      <x:c r="P275" s="14" t="s">
        <x:v>113</x:v>
      </x:c>
      <x:c r="Q275" s="14" t="s">
        <x:v>103</x:v>
      </x:c>
      <x:c r="R275" s="14" t="s">
        <x:v>104</x:v>
      </x:c>
      <x:c r="S275" s="14" t="s">
        <x:v>105</x:v>
      </x:c>
      <x:c r="T275" s="14" t="str">
        <x:v>Region A</x:v>
      </x:c>
      <x:c r="U275" s="28">
        <x:v>45818</x:v>
      </x:c>
      <x:c r="V275" s="30">
        <x:v>79</x:v>
      </x:c>
      <x:c r="W275" s="14" t="s">
        <x:v>114</x:v>
      </x:c>
      <x:c r="X275" s="14" t="s">
        <x:v>115</x:v>
      </x:c>
      <x:c r="Y275" s="32" t="str">
        <x:v>TRN-0274|20250323</x:v>
      </x:c>
      <x:c r="Z275" s="32" t="str" cm="1">
        <x:f t="array" ref="Z27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275" s="33" t="n">
        <x:f>--OR(WorkforceData[[#This Row],[Status]]="Active",WorkforceData[[#This Row],[Promoted]]="Yes",WorkforceData[[#This Row],[Total Days Worked]]&gt;=121)</x:f>
        <x:v>0</x:v>
      </x:c>
      <x:c r="AB275" s="33" t="n">
        <x:f>IF(AND(Q275="Terminated",R275="",O275=0),1,0)</x:f>
        <x:v>0</x:v>
      </x:c>
      <x:c r="AC275" s="33" t="n">
        <x:f>--OR(WorkforceData[[#This Row],[Status]]="Resigned",WorkforceData[[#This Row],[Status After Training]]="Withdrew")</x:f>
        <x:v>1</x:v>
      </x:c>
      <x:c r="AD275" s="34" t="n">
        <x:f>EOMONTH(WorkforceData[[#This Row],[Training Date]],0)</x:f>
        <x:v>45747</x:v>
      </x:c>
      <x:c r="AE275" s="32" t="str">
        <x:f>IF(M275&lt;H275,"Existing Employee",IF(U275="","No Assignment",IF(V275=0,"0 Days",IF(V275&lt;=7,"1-7 Days",IF(V275&lt;=14,"8-14 Days",IF(V275&lt;=21,"15-21 Days","21+ Days"))))))</x:f>
        <x:v>Existing Employee</x:v>
      </x:c>
      <x:c r="AF27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91-120 Days</x:v>
      </x:c>
      <x:c r="AG275" s="33" t="n">
        <x:f>--(WorkforceData[[#This Row],[Total Days Worked]]&gt;=121)</x:f>
        <x:v>0</x:v>
      </x:c>
    </x:row>
    <x:row r="276">
      <x:c r="A276" s="236" t="str">
        <x:v>TRN-0275</x:v>
      </x:c>
      <x:c r="B276" s="243"/>
      <x:c r="C276" s="243"/>
      <x:c r="D276" s="243"/>
      <x:c r="E276" s="243"/>
      <x:c r="F276" s="14" t="str">
        <x:v>Recruiter A</x:v>
      </x:c>
      <x:c r="G276" s="14" t="str">
        <x:v>Training Center A</x:v>
      </x:c>
      <x:c r="H276" s="28">
        <x:v>45739</x:v>
      </x:c>
      <x:c r="I276" s="14">
        <x:v>2025</x:v>
      </x:c>
      <x:c r="J276" s="14" t="s">
        <x:v>130</x:v>
      </x:c>
      <x:c r="K276" s="14">
        <x:v>18</x:v>
      </x:c>
      <x:c r="L276" s="29" t="s">
        <x:v>119</x:v>
      </x:c>
      <x:c r="M276" s="28">
        <x:v>45739</x:v>
      </x:c>
      <x:c r="N276" s="28">
        <x:v>45749</x:v>
      </x:c>
      <x:c r="O276" s="14">
        <x:v>10</x:v>
      </x:c>
      <x:c r="P276" s="14" t="s">
        <x:v>102</x:v>
      </x:c>
      <x:c r="Q276" s="14" t="s">
        <x:v>103</x:v>
      </x:c>
      <x:c r="R276" s="14" t="s">
        <x:v>123</x:v>
      </x:c>
      <x:c r="S276" s="14" t="s">
        <x:v>105</x:v>
      </x:c>
      <x:c r="T276" s="14" t="str">
        <x:v>Region B</x:v>
      </x:c>
      <x:c r="U276" s="28">
        <x:v>45741</x:v>
      </x:c>
      <x:c r="V276" s="30">
        <x:v>2</x:v>
      </x:c>
      <x:c r="W276" s="14" t="s">
        <x:v>109</x:v>
      </x:c>
      <x:c r="X276" s="14" t="s">
        <x:v>106</x:v>
      </x:c>
      <x:c r="Y276" s="32" t="str">
        <x:v>TRN-0275|20250323</x:v>
      </x:c>
      <x:c r="Z276" s="32" t="str" cm="1">
        <x:f t="array" ref="Z27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276" s="33" t="n">
        <x:f>--OR(WorkforceData[[#This Row],[Status]]="Active",WorkforceData[[#This Row],[Promoted]]="Yes",WorkforceData[[#This Row],[Total Days Worked]]&gt;=121)</x:f>
        <x:v>0</x:v>
      </x:c>
      <x:c r="AB276" s="33" t="n">
        <x:f>IF(AND(Q276="Terminated",R276="",O276=0),1,0)</x:f>
        <x:v>0</x:v>
      </x:c>
      <x:c r="AC276" s="33" t="n">
        <x:f>--OR(WorkforceData[[#This Row],[Status]]="Resigned",WorkforceData[[#This Row],[Status After Training]]="Withdrew")</x:f>
        <x:v>1</x:v>
      </x:c>
      <x:c r="AD276" s="34" t="n">
        <x:f>EOMONTH(WorkforceData[[#This Row],[Training Date]],0)</x:f>
        <x:v>45747</x:v>
      </x:c>
      <x:c r="AE276" s="32" t="str">
        <x:f>IF(M276&lt;H276,"Existing Employee",IF(U276="","No Assignment",IF(V276=0,"0 Days",IF(V276&lt;=7,"1-7 Days",IF(V276&lt;=14,"8-14 Days",IF(V276&lt;=21,"15-21 Days","21+ Days"))))))</x:f>
        <x:v>1-7 Days</x:v>
      </x:c>
      <x:c r="AF27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276" s="33" t="n">
        <x:f>--(WorkforceData[[#This Row],[Total Days Worked]]&gt;=121)</x:f>
        <x:v>0</x:v>
      </x:c>
    </x:row>
    <x:row r="277">
      <x:c r="A277" s="236" t="str">
        <x:v>TRN-0276</x:v>
      </x:c>
      <x:c r="B277" s="243"/>
      <x:c r="C277" s="243"/>
      <x:c r="D277" s="243"/>
      <x:c r="E277" s="243"/>
      <x:c r="F277" s="14" t="str">
        <x:v>Recruiter A</x:v>
      </x:c>
      <x:c r="G277" s="14" t="str">
        <x:v>Training Center A</x:v>
      </x:c>
      <x:c r="H277" s="28">
        <x:v>45739</x:v>
      </x:c>
      <x:c r="I277" s="14">
        <x:v>2025</x:v>
      </x:c>
      <x:c r="J277" s="14" t="s">
        <x:v>130</x:v>
      </x:c>
      <x:c r="K277" s="14">
        <x:v>18</x:v>
      </x:c>
      <x:c r="L277" s="29" t="s">
        <x:v>119</x:v>
      </x:c>
      <x:c r="M277" s="28">
        <x:v>45736</x:v>
      </x:c>
      <x:c r="N277" s="14"/>
      <x:c r="O277" s="14">
        <x:v>515</x:v>
      </x:c>
      <x:c r="P277" s="14" t="s">
        <x:v>120</x:v>
      </x:c>
      <x:c r="Q277" s="14" t="s">
        <x:v>38</x:v>
      </x:c>
      <x:c r="R277" s="14"/>
      <x:c r="S277" s="14" t="s">
        <x:v>108</x:v>
      </x:c>
      <x:c r="T277" s="14" t="str">
        <x:v>Region C</x:v>
      </x:c>
      <x:c r="U277" s="28">
        <x:v>45762</x:v>
      </x:c>
      <x:c r="V277" s="30">
        <x:v>23</x:v>
      </x:c>
      <x:c r="W277" s="14" t="s">
        <x:v>112</x:v>
      </x:c>
      <x:c r="X277" s="14" t="s">
        <x:v>106</x:v>
      </x:c>
      <x:c r="Y277" s="32" t="str">
        <x:v>TRN-0276|20250323</x:v>
      </x:c>
      <x:c r="Z277" s="32" t="str" cm="1">
        <x:f t="array" ref="Z27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277" s="33" t="n">
        <x:f>--OR(WorkforceData[[#This Row],[Status]]="Active",WorkforceData[[#This Row],[Promoted]]="Yes",WorkforceData[[#This Row],[Total Days Worked]]&gt;=121)</x:f>
        <x:v>1</x:v>
      </x:c>
      <x:c r="AB277" s="33" t="n">
        <x:f>IF(AND(Q277="Terminated",R277="",O277=0),1,0)</x:f>
        <x:v>0</x:v>
      </x:c>
      <x:c r="AC277" s="33" t="n">
        <x:f>--OR(WorkforceData[[#This Row],[Status]]="Resigned",WorkforceData[[#This Row],[Status After Training]]="Withdrew")</x:f>
        <x:v>0</x:v>
      </x:c>
      <x:c r="AD277" s="34" t="n">
        <x:f>EOMONTH(WorkforceData[[#This Row],[Training Date]],0)</x:f>
        <x:v>45747</x:v>
      </x:c>
      <x:c r="AE277" s="32" t="str">
        <x:f>IF(M277&lt;H277,"Existing Employee",IF(U277="","No Assignment",IF(V277=0,"0 Days",IF(V277&lt;=7,"1-7 Days",IF(V277&lt;=14,"8-14 Days",IF(V277&lt;=21,"15-21 Days","21+ Days"))))))</x:f>
        <x:v>Existing Employee</x:v>
      </x:c>
      <x:c r="AF27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77" s="33" t="n">
        <x:f>--(WorkforceData[[#This Row],[Total Days Worked]]&gt;=121)</x:f>
        <x:v>1</x:v>
      </x:c>
    </x:row>
    <x:row r="278">
      <x:c r="A278" s="236" t="str">
        <x:v>TRN-0277</x:v>
      </x:c>
      <x:c r="B278" s="243"/>
      <x:c r="C278" s="243"/>
      <x:c r="D278" s="243"/>
      <x:c r="E278" s="243"/>
      <x:c r="F278" s="14" t="str">
        <x:v>Recruiter C</x:v>
      </x:c>
      <x:c r="G278" s="14" t="str">
        <x:v>Training Center A</x:v>
      </x:c>
      <x:c r="H278" s="28">
        <x:v>45739</x:v>
      </x:c>
      <x:c r="I278" s="14">
        <x:v>2025</x:v>
      </x:c>
      <x:c r="J278" s="14" t="s">
        <x:v>130</x:v>
      </x:c>
      <x:c r="K278" s="14">
        <x:v>18</x:v>
      </x:c>
      <x:c r="L278" s="29" t="s">
        <x:v>119</x:v>
      </x:c>
      <x:c r="M278" s="28">
        <x:v>45737</x:v>
      </x:c>
      <x:c r="N278" s="28">
        <x:v>45738</x:v>
      </x:c>
      <x:c r="O278" s="14">
        <x:v>1</x:v>
      </x:c>
      <x:c r="P278" s="14" t="s">
        <x:v>102</x:v>
      </x:c>
      <x:c r="Q278" s="14" t="s">
        <x:v>103</x:v>
      </x:c>
      <x:c r="R278" s="14" t="s">
        <x:v>123</x:v>
      </x:c>
      <x:c r="S278" s="14" t="s">
        <x:v>105</x:v>
      </x:c>
      <x:c r="T278" s="14"/>
      <x:c r="U278" s="28"/>
      <x:c r="V278" s="30"/>
      <x:c r="W278" s="14"/>
      <x:c r="X278" s="14" t="s">
        <x:v>71</x:v>
      </x:c>
      <x:c r="Y278" s="32" t="str">
        <x:v>TRN-0277|20250323</x:v>
      </x:c>
      <x:c r="Z278" s="32" t="str" cm="1">
        <x:f t="array" ref="Z27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278" s="33" t="n">
        <x:f>--OR(WorkforceData[[#This Row],[Status]]="Active",WorkforceData[[#This Row],[Promoted]]="Yes",WorkforceData[[#This Row],[Total Days Worked]]&gt;=121)</x:f>
        <x:v>0</x:v>
      </x:c>
      <x:c r="AB278" s="33" t="n">
        <x:f>IF(AND(Q278="Terminated",R278="",O278=0),1,0)</x:f>
        <x:v>0</x:v>
      </x:c>
      <x:c r="AC278" s="33" t="n">
        <x:f>--OR(WorkforceData[[#This Row],[Status]]="Resigned",WorkforceData[[#This Row],[Status After Training]]="Withdrew")</x:f>
        <x:v>1</x:v>
      </x:c>
      <x:c r="AD278" s="34" t="n">
        <x:f>EOMONTH(WorkforceData[[#This Row],[Training Date]],0)</x:f>
        <x:v>45747</x:v>
      </x:c>
      <x:c r="AE278" s="32" t="str">
        <x:f>IF(M278&lt;H278,"Existing Employee",IF(U278="","No Assignment",IF(V278=0,"0 Days",IF(V278&lt;=7,"1-7 Days",IF(V278&lt;=14,"8-14 Days",IF(V278&lt;=21,"15-21 Days","21+ Days"))))))</x:f>
        <x:v>Existing Employee</x:v>
      </x:c>
      <x:c r="AF27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1-7 Days</x:v>
      </x:c>
      <x:c r="AG278" s="33" t="n">
        <x:f>--(WorkforceData[[#This Row],[Total Days Worked]]&gt;=121)</x:f>
        <x:v>0</x:v>
      </x:c>
    </x:row>
    <x:row r="279">
      <x:c r="A279" s="236" t="str">
        <x:v>TRN-0278</x:v>
      </x:c>
      <x:c r="B279" s="243"/>
      <x:c r="C279" s="243"/>
      <x:c r="D279" s="243"/>
      <x:c r="E279" s="243"/>
      <x:c r="F279" s="14" t="str">
        <x:v>Recruiter F</x:v>
      </x:c>
      <x:c r="G279" s="14" t="str">
        <x:v>Training Center A</x:v>
      </x:c>
      <x:c r="H279" s="28">
        <x:v>45739</x:v>
      </x:c>
      <x:c r="I279" s="14">
        <x:v>2025</x:v>
      </x:c>
      <x:c r="J279" s="14" t="s">
        <x:v>130</x:v>
      </x:c>
      <x:c r="K279" s="14">
        <x:v>18</x:v>
      </x:c>
      <x:c r="L279" s="29" t="s">
        <x:v>119</x:v>
      </x:c>
      <x:c r="M279" s="28">
        <x:v>45739</x:v>
      </x:c>
      <x:c r="N279" s="14"/>
      <x:c r="O279" s="14">
        <x:v>512</x:v>
      </x:c>
      <x:c r="P279" s="14" t="s">
        <x:v>120</x:v>
      </x:c>
      <x:c r="Q279" s="14" t="s">
        <x:v>25</x:v>
      </x:c>
      <x:c r="R279" s="14"/>
      <x:c r="S279" s="14" t="s">
        <x:v>108</x:v>
      </x:c>
      <x:c r="T279" s="14" t="str">
        <x:v>Region A</x:v>
      </x:c>
      <x:c r="U279" s="28">
        <x:v>45741</x:v>
      </x:c>
      <x:c r="V279" s="30">
        <x:v>2</x:v>
      </x:c>
      <x:c r="W279" s="14" t="s">
        <x:v>109</x:v>
      </x:c>
      <x:c r="X279" s="14" t="s">
        <x:v>106</x:v>
      </x:c>
      <x:c r="Y279" s="32" t="str">
        <x:v>TRN-0278|20250323</x:v>
      </x:c>
      <x:c r="Z279" s="32" t="str" cm="1">
        <x:f t="array" ref="Z27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279" s="33" t="n">
        <x:f>--OR(WorkforceData[[#This Row],[Status]]="Active",WorkforceData[[#This Row],[Promoted]]="Yes",WorkforceData[[#This Row],[Total Days Worked]]&gt;=121)</x:f>
        <x:v>1</x:v>
      </x:c>
      <x:c r="AB279" s="33" t="n">
        <x:f>IF(AND(Q279="Terminated",R279="",O279=0),1,0)</x:f>
        <x:v>0</x:v>
      </x:c>
      <x:c r="AC279" s="33" t="n">
        <x:f>--OR(WorkforceData[[#This Row],[Status]]="Resigned",WorkforceData[[#This Row],[Status After Training]]="Withdrew")</x:f>
        <x:v>0</x:v>
      </x:c>
      <x:c r="AD279" s="34" t="n">
        <x:f>EOMONTH(WorkforceData[[#This Row],[Training Date]],0)</x:f>
        <x:v>45747</x:v>
      </x:c>
      <x:c r="AE279" s="32" t="str">
        <x:f>IF(M279&lt;H279,"Existing Employee",IF(U279="","No Assignment",IF(V279=0,"0 Days",IF(V279&lt;=7,"1-7 Days",IF(V279&lt;=14,"8-14 Days",IF(V279&lt;=21,"15-21 Days","21+ Days"))))))</x:f>
        <x:v>1-7 Days</x:v>
      </x:c>
      <x:c r="AF27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79" s="33" t="n">
        <x:f>--(WorkforceData[[#This Row],[Total Days Worked]]&gt;=121)</x:f>
        <x:v>1</x:v>
      </x:c>
    </x:row>
    <x:row r="280">
      <x:c r="A280" s="236" t="str">
        <x:v>TRN-0279</x:v>
      </x:c>
      <x:c r="B280" s="243"/>
      <x:c r="C280" s="243"/>
      <x:c r="D280" s="243"/>
      <x:c r="E280" s="243"/>
      <x:c r="F280" s="14" t="str">
        <x:v>Recruiter C</x:v>
      </x:c>
      <x:c r="G280" s="14" t="str">
        <x:v>Training Center A</x:v>
      </x:c>
      <x:c r="H280" s="28">
        <x:v>45739</x:v>
      </x:c>
      <x:c r="I280" s="14">
        <x:v>2025</x:v>
      </x:c>
      <x:c r="J280" s="14" t="s">
        <x:v>130</x:v>
      </x:c>
      <x:c r="K280" s="14">
        <x:v>18</x:v>
      </x:c>
      <x:c r="L280" s="29" t="s">
        <x:v>119</x:v>
      </x:c>
      <x:c r="M280" s="28">
        <x:v>45738</x:v>
      </x:c>
      <x:c r="N280" s="14"/>
      <x:c r="O280" s="14">
        <x:v>513</x:v>
      </x:c>
      <x:c r="P280" s="14" t="s">
        <x:v>120</x:v>
      </x:c>
      <x:c r="Q280" s="14" t="s">
        <x:v>25</x:v>
      </x:c>
      <x:c r="R280" s="14"/>
      <x:c r="S280" s="14" t="s">
        <x:v>108</x:v>
      </x:c>
      <x:c r="T280" s="14" t="str">
        <x:v>Region D</x:v>
      </x:c>
      <x:c r="U280" s="28">
        <x:v>45777</x:v>
      </x:c>
      <x:c r="V280" s="30">
        <x:v>38</x:v>
      </x:c>
      <x:c r="W280" s="14" t="s">
        <x:v>63</x:v>
      </x:c>
      <x:c r="X280" s="14" t="s">
        <x:v>117</x:v>
      </x:c>
      <x:c r="Y280" s="32" t="str">
        <x:v>TRN-0279|20250323</x:v>
      </x:c>
      <x:c r="Z280" s="32" t="str" cm="1">
        <x:f t="array" ref="Z28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280" s="33" t="n">
        <x:f>--OR(WorkforceData[[#This Row],[Status]]="Active",WorkforceData[[#This Row],[Promoted]]="Yes",WorkforceData[[#This Row],[Total Days Worked]]&gt;=121)</x:f>
        <x:v>1</x:v>
      </x:c>
      <x:c r="AB280" s="33" t="n">
        <x:f>IF(AND(Q280="Terminated",R280="",O280=0),1,0)</x:f>
        <x:v>0</x:v>
      </x:c>
      <x:c r="AC280" s="33" t="n">
        <x:f>--OR(WorkforceData[[#This Row],[Status]]="Resigned",WorkforceData[[#This Row],[Status After Training]]="Withdrew")</x:f>
        <x:v>0</x:v>
      </x:c>
      <x:c r="AD280" s="34" t="n">
        <x:f>EOMONTH(WorkforceData[[#This Row],[Training Date]],0)</x:f>
        <x:v>45747</x:v>
      </x:c>
      <x:c r="AE280" s="32" t="str">
        <x:f>IF(M280&lt;H280,"Existing Employee",IF(U280="","No Assignment",IF(V280=0,"0 Days",IF(V280&lt;=7,"1-7 Days",IF(V280&lt;=14,"8-14 Days",IF(V280&lt;=21,"15-21 Days","21+ Days"))))))</x:f>
        <x:v>Existing Employee</x:v>
      </x:c>
      <x:c r="AF28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80" s="33" t="n">
        <x:f>--(WorkforceData[[#This Row],[Total Days Worked]]&gt;=121)</x:f>
        <x:v>1</x:v>
      </x:c>
    </x:row>
    <x:row r="281">
      <x:c r="A281" s="236" t="str">
        <x:v>TRN-0280</x:v>
      </x:c>
      <x:c r="B281" s="243"/>
      <x:c r="C281" s="243"/>
      <x:c r="D281" s="243"/>
      <x:c r="E281" s="243"/>
      <x:c r="F281" s="14" t="str">
        <x:v>Recruiter F</x:v>
      </x:c>
      <x:c r="G281" s="14" t="str">
        <x:v>Training Center A</x:v>
      </x:c>
      <x:c r="H281" s="28">
        <x:v>45739</x:v>
      </x:c>
      <x:c r="I281" s="14">
        <x:v>2025</x:v>
      </x:c>
      <x:c r="J281" s="14" t="s">
        <x:v>130</x:v>
      </x:c>
      <x:c r="K281" s="14">
        <x:v>18</x:v>
      </x:c>
      <x:c r="L281" s="29" t="s">
        <x:v>119</x:v>
      </x:c>
      <x:c r="M281" s="28">
        <x:v>45732</x:v>
      </x:c>
      <x:c r="N281" s="14"/>
      <x:c r="O281" s="14">
        <x:v>519</x:v>
      </x:c>
      <x:c r="P281" s="14" t="s">
        <x:v>120</x:v>
      </x:c>
      <x:c r="Q281" s="14" t="s">
        <x:v>38</x:v>
      </x:c>
      <x:c r="R281" s="14"/>
      <x:c r="S281" s="14" t="s">
        <x:v>108</x:v>
      </x:c>
      <x:c r="T281" s="14" t="str">
        <x:v>Region B</x:v>
      </x:c>
      <x:c r="U281" s="28">
        <x:v>45777</x:v>
      </x:c>
      <x:c r="V281" s="30">
        <x:v>38</x:v>
      </x:c>
      <x:c r="W281" s="14" t="s">
        <x:v>63</x:v>
      </x:c>
      <x:c r="X281" s="14" t="s">
        <x:v>117</x:v>
      </x:c>
      <x:c r="Y281" s="32" t="str">
        <x:v>TRN-0280|20250323</x:v>
      </x:c>
      <x:c r="Z281" s="32" t="str" cm="1">
        <x:f t="array" ref="Z28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281" s="33" t="n">
        <x:f>--OR(WorkforceData[[#This Row],[Status]]="Active",WorkforceData[[#This Row],[Promoted]]="Yes",WorkforceData[[#This Row],[Total Days Worked]]&gt;=121)</x:f>
        <x:v>1</x:v>
      </x:c>
      <x:c r="AB281" s="33" t="n">
        <x:f>IF(AND(Q281="Terminated",R281="",O281=0),1,0)</x:f>
        <x:v>0</x:v>
      </x:c>
      <x:c r="AC281" s="33" t="n">
        <x:f>--OR(WorkforceData[[#This Row],[Status]]="Resigned",WorkforceData[[#This Row],[Status After Training]]="Withdrew")</x:f>
        <x:v>0</x:v>
      </x:c>
      <x:c r="AD281" s="34" t="n">
        <x:f>EOMONTH(WorkforceData[[#This Row],[Training Date]],0)</x:f>
        <x:v>45747</x:v>
      </x:c>
      <x:c r="AE281" s="32" t="str">
        <x:f>IF(M281&lt;H281,"Existing Employee",IF(U281="","No Assignment",IF(V281=0,"0 Days",IF(V281&lt;=7,"1-7 Days",IF(V281&lt;=14,"8-14 Days",IF(V281&lt;=21,"15-21 Days","21+ Days"))))))</x:f>
        <x:v>Existing Employee</x:v>
      </x:c>
      <x:c r="AF28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81" s="33" t="n">
        <x:f>--(WorkforceData[[#This Row],[Total Days Worked]]&gt;=121)</x:f>
        <x:v>1</x:v>
      </x:c>
    </x:row>
    <x:row r="282">
      <x:c r="A282" s="236" t="str">
        <x:v>TRN-0281</x:v>
      </x:c>
      <x:c r="B282" s="243"/>
      <x:c r="C282" s="243"/>
      <x:c r="D282" s="243"/>
      <x:c r="E282" s="243"/>
      <x:c r="F282" s="14" t="str">
        <x:v>Recruiter F</x:v>
      </x:c>
      <x:c r="G282" s="14" t="str">
        <x:v>Training Center A</x:v>
      </x:c>
      <x:c r="H282" s="28">
        <x:v>45739</x:v>
      </x:c>
      <x:c r="I282" s="14">
        <x:v>2025</x:v>
      </x:c>
      <x:c r="J282" s="14" t="s">
        <x:v>130</x:v>
      </x:c>
      <x:c r="K282" s="14">
        <x:v>18</x:v>
      </x:c>
      <x:c r="L282" s="29" t="s">
        <x:v>119</x:v>
      </x:c>
      <x:c r="M282" s="28">
        <x:v>45736</x:v>
      </x:c>
      <x:c r="N282" s="14"/>
      <x:c r="O282" s="14">
        <x:v>515</x:v>
      </x:c>
      <x:c r="P282" s="14" t="s">
        <x:v>120</x:v>
      </x:c>
      <x:c r="Q282" s="14" t="s">
        <x:v>25</x:v>
      </x:c>
      <x:c r="R282" s="14"/>
      <x:c r="S282" s="14" t="s">
        <x:v>108</x:v>
      </x:c>
      <x:c r="T282" s="14" t="str">
        <x:v>Region B</x:v>
      </x:c>
      <x:c r="U282" s="28">
        <x:v>45756</x:v>
      </x:c>
      <x:c r="V282" s="30">
        <x:v>17</x:v>
      </x:c>
      <x:c r="W282" s="14" t="s">
        <x:v>112</x:v>
      </x:c>
      <x:c r="X282" s="14" t="s">
        <x:v>106</x:v>
      </x:c>
      <x:c r="Y282" s="32" t="str">
        <x:v>TRN-0281|20250323</x:v>
      </x:c>
      <x:c r="Z282" s="32" t="str" cm="1">
        <x:f t="array" ref="Z28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282" s="33" t="n">
        <x:f>--OR(WorkforceData[[#This Row],[Status]]="Active",WorkforceData[[#This Row],[Promoted]]="Yes",WorkforceData[[#This Row],[Total Days Worked]]&gt;=121)</x:f>
        <x:v>1</x:v>
      </x:c>
      <x:c r="AB282" s="33" t="n">
        <x:f>IF(AND(Q282="Terminated",R282="",O282=0),1,0)</x:f>
        <x:v>0</x:v>
      </x:c>
      <x:c r="AC282" s="33" t="n">
        <x:f>--OR(WorkforceData[[#This Row],[Status]]="Resigned",WorkforceData[[#This Row],[Status After Training]]="Withdrew")</x:f>
        <x:v>0</x:v>
      </x:c>
      <x:c r="AD282" s="34" t="n">
        <x:f>EOMONTH(WorkforceData[[#This Row],[Training Date]],0)</x:f>
        <x:v>45747</x:v>
      </x:c>
      <x:c r="AE282" s="32" t="str">
        <x:f>IF(M282&lt;H282,"Existing Employee",IF(U282="","No Assignment",IF(V282=0,"0 Days",IF(V282&lt;=7,"1-7 Days",IF(V282&lt;=14,"8-14 Days",IF(V282&lt;=21,"15-21 Days","21+ Days"))))))</x:f>
        <x:v>Existing Employee</x:v>
      </x:c>
      <x:c r="AF28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82" s="33" t="n">
        <x:f>--(WorkforceData[[#This Row],[Total Days Worked]]&gt;=121)</x:f>
        <x:v>1</x:v>
      </x:c>
    </x:row>
    <x:row r="283">
      <x:c r="A283" s="236" t="str">
        <x:v>TRN-0282</x:v>
      </x:c>
      <x:c r="B283" s="243"/>
      <x:c r="C283" s="243"/>
      <x:c r="D283" s="243"/>
      <x:c r="E283" s="243"/>
      <x:c r="F283" s="14" t="str">
        <x:v>Recruiter D</x:v>
      </x:c>
      <x:c r="G283" s="14" t="str">
        <x:v>Training Center A</x:v>
      </x:c>
      <x:c r="H283" s="28">
        <x:v>45739</x:v>
      </x:c>
      <x:c r="I283" s="14">
        <x:v>2025</x:v>
      </x:c>
      <x:c r="J283" s="14" t="s">
        <x:v>130</x:v>
      </x:c>
      <x:c r="K283" s="14">
        <x:v>18</x:v>
      </x:c>
      <x:c r="L283" s="29" t="s">
        <x:v>119</x:v>
      </x:c>
      <x:c r="M283" s="28">
        <x:v>45738</x:v>
      </x:c>
      <x:c r="N283" s="14"/>
      <x:c r="O283" s="14">
        <x:v>513</x:v>
      </x:c>
      <x:c r="P283" s="14" t="s">
        <x:v>120</x:v>
      </x:c>
      <x:c r="Q283" s="14" t="s">
        <x:v>25</x:v>
      </x:c>
      <x:c r="R283" s="14"/>
      <x:c r="S283" s="14" t="s">
        <x:v>108</x:v>
      </x:c>
      <x:c r="T283" s="14" t="str">
        <x:v>Region B</x:v>
      </x:c>
      <x:c r="U283" s="28">
        <x:v>45743</x:v>
      </x:c>
      <x:c r="V283" s="30">
        <x:v>4</x:v>
      </x:c>
      <x:c r="W283" s="14" t="s">
        <x:v>109</x:v>
      </x:c>
      <x:c r="X283" s="14" t="s">
        <x:v>106</x:v>
      </x:c>
      <x:c r="Y283" s="32" t="str">
        <x:v>TRN-0282|20250323</x:v>
      </x:c>
      <x:c r="Z283" s="32" t="str" cm="1">
        <x:f t="array" ref="Z28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283" s="33" t="n">
        <x:f>--OR(WorkforceData[[#This Row],[Status]]="Active",WorkforceData[[#This Row],[Promoted]]="Yes",WorkforceData[[#This Row],[Total Days Worked]]&gt;=121)</x:f>
        <x:v>1</x:v>
      </x:c>
      <x:c r="AB283" s="33" t="n">
        <x:f>IF(AND(Q283="Terminated",R283="",O283=0),1,0)</x:f>
        <x:v>0</x:v>
      </x:c>
      <x:c r="AC283" s="33" t="n">
        <x:f>--OR(WorkforceData[[#This Row],[Status]]="Resigned",WorkforceData[[#This Row],[Status After Training]]="Withdrew")</x:f>
        <x:v>0</x:v>
      </x:c>
      <x:c r="AD283" s="34" t="n">
        <x:f>EOMONTH(WorkforceData[[#This Row],[Training Date]],0)</x:f>
        <x:v>45747</x:v>
      </x:c>
      <x:c r="AE283" s="32" t="str">
        <x:f>IF(M283&lt;H283,"Existing Employee",IF(U283="","No Assignment",IF(V283=0,"0 Days",IF(V283&lt;=7,"1-7 Days",IF(V283&lt;=14,"8-14 Days",IF(V283&lt;=21,"15-21 Days","21+ Days"))))))</x:f>
        <x:v>Existing Employee</x:v>
      </x:c>
      <x:c r="AF28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83" s="33" t="n">
        <x:f>--(WorkforceData[[#This Row],[Total Days Worked]]&gt;=121)</x:f>
        <x:v>1</x:v>
      </x:c>
    </x:row>
    <x:row r="284">
      <x:c r="A284" s="236" t="str">
        <x:v>TRN-0283</x:v>
      </x:c>
      <x:c r="B284" s="243"/>
      <x:c r="C284" s="243"/>
      <x:c r="D284" s="243"/>
      <x:c r="E284" s="243"/>
      <x:c r="F284" s="14" t="str">
        <x:v>Recruiter C</x:v>
      </x:c>
      <x:c r="G284" s="14" t="str">
        <x:v>Training Center A</x:v>
      </x:c>
      <x:c r="H284" s="28">
        <x:v>45739</x:v>
      </x:c>
      <x:c r="I284" s="14">
        <x:v>2025</x:v>
      </x:c>
      <x:c r="J284" s="14" t="s">
        <x:v>130</x:v>
      </x:c>
      <x:c r="K284" s="14">
        <x:v>18</x:v>
      </x:c>
      <x:c r="L284" s="29" t="s">
        <x:v>119</x:v>
      </x:c>
      <x:c r="M284" s="28">
        <x:v>45739</x:v>
      </x:c>
      <x:c r="N284" s="14"/>
      <x:c r="O284" s="14">
        <x:v>512</x:v>
      </x:c>
      <x:c r="P284" s="14" t="s">
        <x:v>120</x:v>
      </x:c>
      <x:c r="Q284" s="14" t="s">
        <x:v>25</x:v>
      </x:c>
      <x:c r="R284" s="14"/>
      <x:c r="S284" s="14" t="s">
        <x:v>108</x:v>
      </x:c>
      <x:c r="T284" s="14" t="str">
        <x:v>Region D</x:v>
      </x:c>
      <x:c r="U284" s="28">
        <x:v>45789</x:v>
      </x:c>
      <x:c r="V284" s="30">
        <x:v>50</x:v>
      </x:c>
      <x:c r="W284" s="14" t="s">
        <x:v>63</x:v>
      </x:c>
      <x:c r="X284" s="14" t="s">
        <x:v>117</x:v>
      </x:c>
      <x:c r="Y284" s="32" t="str">
        <x:v>TRN-0283|20250323</x:v>
      </x:c>
      <x:c r="Z284" s="32" t="str" cm="1">
        <x:f t="array" ref="Z28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284" s="33" t="n">
        <x:f>--OR(WorkforceData[[#This Row],[Status]]="Active",WorkforceData[[#This Row],[Promoted]]="Yes",WorkforceData[[#This Row],[Total Days Worked]]&gt;=121)</x:f>
        <x:v>1</x:v>
      </x:c>
      <x:c r="AB284" s="33" t="n">
        <x:f>IF(AND(Q284="Terminated",R284="",O284=0),1,0)</x:f>
        <x:v>0</x:v>
      </x:c>
      <x:c r="AC284" s="33" t="n">
        <x:f>--OR(WorkforceData[[#This Row],[Status]]="Resigned",WorkforceData[[#This Row],[Status After Training]]="Withdrew")</x:f>
        <x:v>0</x:v>
      </x:c>
      <x:c r="AD284" s="34" t="n">
        <x:f>EOMONTH(WorkforceData[[#This Row],[Training Date]],0)</x:f>
        <x:v>45747</x:v>
      </x:c>
      <x:c r="AE284" s="32" t="str">
        <x:f>IF(M284&lt;H284,"Existing Employee",IF(U284="","No Assignment",IF(V284=0,"0 Days",IF(V284&lt;=7,"1-7 Days",IF(V284&lt;=14,"8-14 Days",IF(V284&lt;=21,"15-21 Days","21+ Days"))))))</x:f>
        <x:v>21+ Days</x:v>
      </x:c>
      <x:c r="AF28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84" s="33" t="n">
        <x:f>--(WorkforceData[[#This Row],[Total Days Worked]]&gt;=121)</x:f>
        <x:v>1</x:v>
      </x:c>
    </x:row>
    <x:row r="285">
      <x:c r="A285" s="236" t="str">
        <x:v>TRN-0284</x:v>
      </x:c>
      <x:c r="B285" s="243"/>
      <x:c r="C285" s="243"/>
      <x:c r="D285" s="243"/>
      <x:c r="E285" s="243"/>
      <x:c r="F285" s="14" t="str">
        <x:v>Recruiter G</x:v>
      </x:c>
      <x:c r="G285" s="14" t="str">
        <x:v>Training Center A</x:v>
      </x:c>
      <x:c r="H285" s="28">
        <x:v>45808</x:v>
      </x:c>
      <x:c r="I285" s="14">
        <x:v>2025</x:v>
      </x:c>
      <x:c r="J285" s="14" t="s">
        <x:v>118</x:v>
      </x:c>
      <x:c r="K285" s="14">
        <x:v>15</x:v>
      </x:c>
      <x:c r="L285" s="29" t="s">
        <x:v>119</x:v>
      </x:c>
      <x:c r="M285" s="28">
        <x:v>45803</x:v>
      </x:c>
      <x:c r="N285" s="28">
        <x:v>46251</x:v>
      </x:c>
      <x:c r="O285" s="14">
        <x:v>448</x:v>
      </x:c>
      <x:c r="P285" s="14" t="s">
        <x:v>120</x:v>
      </x:c>
      <x:c r="Q285" s="14" t="s">
        <x:v>33</x:v>
      </x:c>
      <x:c r="R285" s="14" t="s">
        <x:v>124</x:v>
      </x:c>
      <x:c r="S285" s="14" t="s">
        <x:v>108</x:v>
      </x:c>
      <x:c r="T285" s="14" t="str">
        <x:v>Region D</x:v>
      </x:c>
      <x:c r="U285" s="28">
        <x:v>45815</x:v>
      </x:c>
      <x:c r="V285" s="30">
        <x:v>7</x:v>
      </x:c>
      <x:c r="W285" s="14" t="s">
        <x:v>109</x:v>
      </x:c>
      <x:c r="X285" s="14" t="s">
        <x:v>106</x:v>
      </x:c>
      <x:c r="Y285" s="32" t="str">
        <x:v>TRN-0284|20250531</x:v>
      </x:c>
      <x:c r="Z285" s="32" t="str" cm="1">
        <x:f t="array" ref="Z28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285" s="33" t="n">
        <x:f>--OR(WorkforceData[[#This Row],[Status]]="Active",WorkforceData[[#This Row],[Promoted]]="Yes",WorkforceData[[#This Row],[Total Days Worked]]&gt;=121)</x:f>
        <x:v>1</x:v>
      </x:c>
      <x:c r="AB285" s="33" t="n">
        <x:f>IF(AND(Q285="Terminated",R285="",O285=0),1,0)</x:f>
        <x:v>0</x:v>
      </x:c>
      <x:c r="AC285" s="33" t="n">
        <x:f>--OR(WorkforceData[[#This Row],[Status]]="Resigned",WorkforceData[[#This Row],[Status After Training]]="Withdrew")</x:f>
        <x:v>0</x:v>
      </x:c>
      <x:c r="AD285" s="34" t="n">
        <x:f>EOMONTH(WorkforceData[[#This Row],[Training Date]],0)</x:f>
        <x:v>45808</x:v>
      </x:c>
      <x:c r="AE285" s="32" t="str">
        <x:f>IF(M285&lt;H285,"Existing Employee",IF(U285="","No Assignment",IF(V285=0,"0 Days",IF(V285&lt;=7,"1-7 Days",IF(V285&lt;=14,"8-14 Days",IF(V285&lt;=21,"15-21 Days","21+ Days"))))))</x:f>
        <x:v>Existing Employee</x:v>
      </x:c>
      <x:c r="AF28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85" s="33" t="n">
        <x:f>--(WorkforceData[[#This Row],[Total Days Worked]]&gt;=121)</x:f>
        <x:v>1</x:v>
      </x:c>
    </x:row>
    <x:row r="286">
      <x:c r="A286" s="236" t="str">
        <x:v>TRN-0285</x:v>
      </x:c>
      <x:c r="B286" s="243"/>
      <x:c r="C286" s="243"/>
      <x:c r="D286" s="243"/>
      <x:c r="E286" s="243"/>
      <x:c r="F286" s="14" t="str">
        <x:v>Recruiter E</x:v>
      </x:c>
      <x:c r="G286" s="14" t="str">
        <x:v>Training Center A</x:v>
      </x:c>
      <x:c r="H286" s="28">
        <x:v>45808</x:v>
      </x:c>
      <x:c r="I286" s="14">
        <x:v>2025</x:v>
      </x:c>
      <x:c r="J286" s="14" t="s">
        <x:v>118</x:v>
      </x:c>
      <x:c r="K286" s="14">
        <x:v>15</x:v>
      </x:c>
      <x:c r="L286" s="29" t="s">
        <x:v>119</x:v>
      </x:c>
      <x:c r="M286" s="28">
        <x:v>45806</x:v>
      </x:c>
      <x:c r="N286" s="14"/>
      <x:c r="O286" s="14">
        <x:v>445</x:v>
      </x:c>
      <x:c r="P286" s="14" t="s">
        <x:v>120</x:v>
      </x:c>
      <x:c r="Q286" s="14" t="s">
        <x:v>38</x:v>
      </x:c>
      <x:c r="R286" s="14"/>
      <x:c r="S286" s="14" t="s">
        <x:v>108</x:v>
      </x:c>
      <x:c r="T286" s="14" t="str">
        <x:v>Region B</x:v>
      </x:c>
      <x:c r="U286" s="28">
        <x:v>45909</x:v>
      </x:c>
      <x:c r="V286" s="30">
        <x:v>101</x:v>
      </x:c>
      <x:c r="W286" s="14" t="s">
        <x:v>114</x:v>
      </x:c>
      <x:c r="X286" s="14" t="s">
        <x:v>117</x:v>
      </x:c>
      <x:c r="Y286" s="32" t="str">
        <x:v>TRN-0285|20250531</x:v>
      </x:c>
      <x:c r="Z286" s="32" t="str" cm="1">
        <x:f t="array" ref="Z28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286" s="33" t="n">
        <x:f>--OR(WorkforceData[[#This Row],[Status]]="Active",WorkforceData[[#This Row],[Promoted]]="Yes",WorkforceData[[#This Row],[Total Days Worked]]&gt;=121)</x:f>
        <x:v>1</x:v>
      </x:c>
      <x:c r="AB286" s="33" t="n">
        <x:f>IF(AND(Q286="Terminated",R286="",O286=0),1,0)</x:f>
        <x:v>0</x:v>
      </x:c>
      <x:c r="AC286" s="33" t="n">
        <x:f>--OR(WorkforceData[[#This Row],[Status]]="Resigned",WorkforceData[[#This Row],[Status After Training]]="Withdrew")</x:f>
        <x:v>0</x:v>
      </x:c>
      <x:c r="AD286" s="34" t="n">
        <x:f>EOMONTH(WorkforceData[[#This Row],[Training Date]],0)</x:f>
        <x:v>45808</x:v>
      </x:c>
      <x:c r="AE286" s="32" t="str">
        <x:f>IF(M286&lt;H286,"Existing Employee",IF(U286="","No Assignment",IF(V286=0,"0 Days",IF(V286&lt;=7,"1-7 Days",IF(V286&lt;=14,"8-14 Days",IF(V286&lt;=21,"15-21 Days","21+ Days"))))))</x:f>
        <x:v>Existing Employee</x:v>
      </x:c>
      <x:c r="AF28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86" s="33" t="n">
        <x:f>--(WorkforceData[[#This Row],[Total Days Worked]]&gt;=121)</x:f>
        <x:v>1</x:v>
      </x:c>
    </x:row>
    <x:row r="287">
      <x:c r="A287" s="236" t="str">
        <x:v>TRN-0286</x:v>
      </x:c>
      <x:c r="B287" s="243"/>
      <x:c r="C287" s="243"/>
      <x:c r="D287" s="243"/>
      <x:c r="E287" s="243"/>
      <x:c r="F287" s="14" t="str">
        <x:v>Recruiter D</x:v>
      </x:c>
      <x:c r="G287" s="14" t="str">
        <x:v>Training Center A</x:v>
      </x:c>
      <x:c r="H287" s="28">
        <x:v>45808</x:v>
      </x:c>
      <x:c r="I287" s="14">
        <x:v>2025</x:v>
      </x:c>
      <x:c r="J287" s="14" t="s">
        <x:v>118</x:v>
      </x:c>
      <x:c r="K287" s="14">
        <x:v>15</x:v>
      </x:c>
      <x:c r="L287" s="29" t="s">
        <x:v>119</x:v>
      </x:c>
      <x:c r="M287" s="28">
        <x:v>45808</x:v>
      </x:c>
      <x:c r="N287" s="14"/>
      <x:c r="O287" s="14">
        <x:v>443</x:v>
      </x:c>
      <x:c r="P287" s="14" t="s">
        <x:v>120</x:v>
      </x:c>
      <x:c r="Q287" s="14" t="s">
        <x:v>25</x:v>
      </x:c>
      <x:c r="R287" s="14"/>
      <x:c r="S287" s="14" t="s">
        <x:v>108</x:v>
      </x:c>
      <x:c r="T287" s="14" t="str">
        <x:v>Region B</x:v>
      </x:c>
      <x:c r="U287" s="28">
        <x:v>45835</x:v>
      </x:c>
      <x:c r="V287" s="30">
        <x:v>27</x:v>
      </x:c>
      <x:c r="W287" s="14" t="s">
        <x:v>112</x:v>
      </x:c>
      <x:c r="X287" s="14" t="s">
        <x:v>106</x:v>
      </x:c>
      <x:c r="Y287" s="32" t="str">
        <x:v>TRN-0286|20250531</x:v>
      </x:c>
      <x:c r="Z287" s="32" t="str" cm="1">
        <x:f t="array" ref="Z28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287" s="33" t="n">
        <x:f>--OR(WorkforceData[[#This Row],[Status]]="Active",WorkforceData[[#This Row],[Promoted]]="Yes",WorkforceData[[#This Row],[Total Days Worked]]&gt;=121)</x:f>
        <x:v>1</x:v>
      </x:c>
      <x:c r="AB287" s="33" t="n">
        <x:f>IF(AND(Q287="Terminated",R287="",O287=0),1,0)</x:f>
        <x:v>0</x:v>
      </x:c>
      <x:c r="AC287" s="33" t="n">
        <x:f>--OR(WorkforceData[[#This Row],[Status]]="Resigned",WorkforceData[[#This Row],[Status After Training]]="Withdrew")</x:f>
        <x:v>0</x:v>
      </x:c>
      <x:c r="AD287" s="34" t="n">
        <x:f>EOMONTH(WorkforceData[[#This Row],[Training Date]],0)</x:f>
        <x:v>45808</x:v>
      </x:c>
      <x:c r="AE287" s="32" t="str">
        <x:f>IF(M287&lt;H287,"Existing Employee",IF(U287="","No Assignment",IF(V287=0,"0 Days",IF(V287&lt;=7,"1-7 Days",IF(V287&lt;=14,"8-14 Days",IF(V287&lt;=21,"15-21 Days","21+ Days"))))))</x:f>
        <x:v>21+ Days</x:v>
      </x:c>
      <x:c r="AF28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87" s="33" t="n">
        <x:f>--(WorkforceData[[#This Row],[Total Days Worked]]&gt;=121)</x:f>
        <x:v>1</x:v>
      </x:c>
    </x:row>
    <x:row r="288">
      <x:c r="A288" s="236" t="str">
        <x:v>TRN-0287</x:v>
      </x:c>
      <x:c r="B288" s="243"/>
      <x:c r="C288" s="243"/>
      <x:c r="D288" s="243"/>
      <x:c r="E288" s="243"/>
      <x:c r="F288" s="14" t="str">
        <x:v>Recruiter E</x:v>
      </x:c>
      <x:c r="G288" s="14" t="str">
        <x:v>Training Center A</x:v>
      </x:c>
      <x:c r="H288" s="28">
        <x:v>45808</x:v>
      </x:c>
      <x:c r="I288" s="14">
        <x:v>2025</x:v>
      </x:c>
      <x:c r="J288" s="14" t="s">
        <x:v>118</x:v>
      </x:c>
      <x:c r="K288" s="14">
        <x:v>15</x:v>
      </x:c>
      <x:c r="L288" s="29" t="s">
        <x:v>119</x:v>
      </x:c>
      <x:c r="M288" s="28">
        <x:v>45803</x:v>
      </x:c>
      <x:c r="N288" s="14"/>
      <x:c r="O288" s="14">
        <x:v>448</x:v>
      </x:c>
      <x:c r="P288" s="14" t="s">
        <x:v>120</x:v>
      </x:c>
      <x:c r="Q288" s="14" t="s">
        <x:v>25</x:v>
      </x:c>
      <x:c r="R288" s="14"/>
      <x:c r="S288" s="14" t="s">
        <x:v>108</x:v>
      </x:c>
      <x:c r="T288" s="14" t="str">
        <x:v>Region B</x:v>
      </x:c>
      <x:c r="U288" s="28">
        <x:v>45808</x:v>
      </x:c>
      <x:c r="V288" s="30">
        <x:v>0</x:v>
      </x:c>
      <x:c r="W288" s="14" t="s">
        <x:v>109</x:v>
      </x:c>
      <x:c r="X288" s="14" t="s">
        <x:v>106</x:v>
      </x:c>
      <x:c r="Y288" s="32" t="str">
        <x:v>TRN-0287|20250531</x:v>
      </x:c>
      <x:c r="Z288" s="32" t="str" cm="1">
        <x:f t="array" ref="Z28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288" s="33" t="n">
        <x:f>--OR(WorkforceData[[#This Row],[Status]]="Active",WorkforceData[[#This Row],[Promoted]]="Yes",WorkforceData[[#This Row],[Total Days Worked]]&gt;=121)</x:f>
        <x:v>1</x:v>
      </x:c>
      <x:c r="AB288" s="33" t="n">
        <x:f>IF(AND(Q288="Terminated",R288="",O288=0),1,0)</x:f>
        <x:v>0</x:v>
      </x:c>
      <x:c r="AC288" s="33" t="n">
        <x:f>--OR(WorkforceData[[#This Row],[Status]]="Resigned",WorkforceData[[#This Row],[Status After Training]]="Withdrew")</x:f>
        <x:v>0</x:v>
      </x:c>
      <x:c r="AD288" s="34" t="n">
        <x:f>EOMONTH(WorkforceData[[#This Row],[Training Date]],0)</x:f>
        <x:v>45808</x:v>
      </x:c>
      <x:c r="AE288" s="32" t="str">
        <x:f>IF(M288&lt;H288,"Existing Employee",IF(U288="","No Assignment",IF(V288=0,"0 Days",IF(V288&lt;=7,"1-7 Days",IF(V288&lt;=14,"8-14 Days",IF(V288&lt;=21,"15-21 Days","21+ Days"))))))</x:f>
        <x:v>Existing Employee</x:v>
      </x:c>
      <x:c r="AF28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88" s="33" t="n">
        <x:f>--(WorkforceData[[#This Row],[Total Days Worked]]&gt;=121)</x:f>
        <x:v>1</x:v>
      </x:c>
    </x:row>
    <x:row r="289">
      <x:c r="A289" s="236" t="str">
        <x:v>TRN-0288</x:v>
      </x:c>
      <x:c r="B289" s="243"/>
      <x:c r="C289" s="243"/>
      <x:c r="D289" s="243"/>
      <x:c r="E289" s="243"/>
      <x:c r="F289" s="14" t="str">
        <x:v>Recruiter F</x:v>
      </x:c>
      <x:c r="G289" s="14" t="str">
        <x:v>Training Center A</x:v>
      </x:c>
      <x:c r="H289" s="28">
        <x:v>45808</x:v>
      </x:c>
      <x:c r="I289" s="14">
        <x:v>2025</x:v>
      </x:c>
      <x:c r="J289" s="14" t="s">
        <x:v>118</x:v>
      </x:c>
      <x:c r="K289" s="14">
        <x:v>15</x:v>
      </x:c>
      <x:c r="L289" s="29" t="s">
        <x:v>119</x:v>
      </x:c>
      <x:c r="M289" s="28">
        <x:v>45798</x:v>
      </x:c>
      <x:c r="N289" s="14"/>
      <x:c r="O289" s="14">
        <x:v>453</x:v>
      </x:c>
      <x:c r="P289" s="14" t="s">
        <x:v>120</x:v>
      </x:c>
      <x:c r="Q289" s="14" t="s">
        <x:v>25</x:v>
      </x:c>
      <x:c r="R289" s="14"/>
      <x:c r="S289" s="14" t="s">
        <x:v>108</x:v>
      </x:c>
      <x:c r="T289" s="14" t="str">
        <x:v>Region C</x:v>
      </x:c>
      <x:c r="U289" s="28">
        <x:v>45810</x:v>
      </x:c>
      <x:c r="V289" s="30">
        <x:v>2</x:v>
      </x:c>
      <x:c r="W289" s="14" t="s">
        <x:v>109</x:v>
      </x:c>
      <x:c r="X289" s="14" t="s">
        <x:v>106</x:v>
      </x:c>
      <x:c r="Y289" s="32" t="str">
        <x:v>TRN-0288|20250531</x:v>
      </x:c>
      <x:c r="Z289" s="32" t="str" cm="1">
        <x:f t="array" ref="Z28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289" s="33" t="n">
        <x:f>--OR(WorkforceData[[#This Row],[Status]]="Active",WorkforceData[[#This Row],[Promoted]]="Yes",WorkforceData[[#This Row],[Total Days Worked]]&gt;=121)</x:f>
        <x:v>1</x:v>
      </x:c>
      <x:c r="AB289" s="33" t="n">
        <x:f>IF(AND(Q289="Terminated",R289="",O289=0),1,0)</x:f>
        <x:v>0</x:v>
      </x:c>
      <x:c r="AC289" s="33" t="n">
        <x:f>--OR(WorkforceData[[#This Row],[Status]]="Resigned",WorkforceData[[#This Row],[Status After Training]]="Withdrew")</x:f>
        <x:v>0</x:v>
      </x:c>
      <x:c r="AD289" s="34" t="n">
        <x:f>EOMONTH(WorkforceData[[#This Row],[Training Date]],0)</x:f>
        <x:v>45808</x:v>
      </x:c>
      <x:c r="AE289" s="32" t="str">
        <x:f>IF(M289&lt;H289,"Existing Employee",IF(U289="","No Assignment",IF(V289=0,"0 Days",IF(V289&lt;=7,"1-7 Days",IF(V289&lt;=14,"8-14 Days",IF(V289&lt;=21,"15-21 Days","21+ Days"))))))</x:f>
        <x:v>Existing Employee</x:v>
      </x:c>
      <x:c r="AF28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89" s="33" t="n">
        <x:f>--(WorkforceData[[#This Row],[Total Days Worked]]&gt;=121)</x:f>
        <x:v>1</x:v>
      </x:c>
    </x:row>
    <x:row r="290">
      <x:c r="A290" s="236" t="str">
        <x:v>TRN-0289</x:v>
      </x:c>
      <x:c r="B290" s="243"/>
      <x:c r="C290" s="243"/>
      <x:c r="D290" s="243"/>
      <x:c r="E290" s="243"/>
      <x:c r="F290" s="14" t="str">
        <x:v>Recruiter F</x:v>
      </x:c>
      <x:c r="G290" s="14" t="str">
        <x:v>Training Center A</x:v>
      </x:c>
      <x:c r="H290" s="28">
        <x:v>45808</x:v>
      </x:c>
      <x:c r="I290" s="14">
        <x:v>2025</x:v>
      </x:c>
      <x:c r="J290" s="14" t="s">
        <x:v>118</x:v>
      </x:c>
      <x:c r="K290" s="14">
        <x:v>15</x:v>
      </x:c>
      <x:c r="L290" s="29" t="s">
        <x:v>119</x:v>
      </x:c>
      <x:c r="M290" s="28">
        <x:v>45808</x:v>
      </x:c>
      <x:c r="N290" s="14"/>
      <x:c r="O290" s="14">
        <x:v>443</x:v>
      </x:c>
      <x:c r="P290" s="14" t="s">
        <x:v>120</x:v>
      </x:c>
      <x:c r="Q290" s="14" t="s">
        <x:v>25</x:v>
      </x:c>
      <x:c r="R290" s="14"/>
      <x:c r="S290" s="14" t="s">
        <x:v>108</x:v>
      </x:c>
      <x:c r="T290" s="14" t="str">
        <x:v>Region A</x:v>
      </x:c>
      <x:c r="U290" s="28">
        <x:v>45821</x:v>
      </x:c>
      <x:c r="V290" s="30">
        <x:v>13</x:v>
      </x:c>
      <x:c r="W290" s="14" t="s">
        <x:v>45</x:v>
      </x:c>
      <x:c r="X290" s="14" t="s">
        <x:v>106</x:v>
      </x:c>
      <x:c r="Y290" s="32" t="str">
        <x:v>TRN-0289|20250531</x:v>
      </x:c>
      <x:c r="Z290" s="32" t="str" cm="1">
        <x:f t="array" ref="Z29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290" s="33" t="n">
        <x:f>--OR(WorkforceData[[#This Row],[Status]]="Active",WorkforceData[[#This Row],[Promoted]]="Yes",WorkforceData[[#This Row],[Total Days Worked]]&gt;=121)</x:f>
        <x:v>1</x:v>
      </x:c>
      <x:c r="AB290" s="33" t="n">
        <x:f>IF(AND(Q290="Terminated",R290="",O290=0),1,0)</x:f>
        <x:v>0</x:v>
      </x:c>
      <x:c r="AC290" s="33" t="n">
        <x:f>--OR(WorkforceData[[#This Row],[Status]]="Resigned",WorkforceData[[#This Row],[Status After Training]]="Withdrew")</x:f>
        <x:v>0</x:v>
      </x:c>
      <x:c r="AD290" s="34" t="n">
        <x:f>EOMONTH(WorkforceData[[#This Row],[Training Date]],0)</x:f>
        <x:v>45808</x:v>
      </x:c>
      <x:c r="AE290" s="32" t="str">
        <x:f>IF(M290&lt;H290,"Existing Employee",IF(U290="","No Assignment",IF(V290=0,"0 Days",IF(V290&lt;=7,"1-7 Days",IF(V290&lt;=14,"8-14 Days",IF(V290&lt;=21,"15-21 Days","21+ Days"))))))</x:f>
        <x:v>8-14 Days</x:v>
      </x:c>
      <x:c r="AF29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90" s="33" t="n">
        <x:f>--(WorkforceData[[#This Row],[Total Days Worked]]&gt;=121)</x:f>
        <x:v>1</x:v>
      </x:c>
    </x:row>
    <x:row r="291">
      <x:c r="A291" s="236" t="str">
        <x:v>TRN-0290</x:v>
      </x:c>
      <x:c r="B291" s="243"/>
      <x:c r="C291" s="243"/>
      <x:c r="D291" s="243"/>
      <x:c r="E291" s="243"/>
      <x:c r="F291" s="14" t="str">
        <x:v>Recruiter B</x:v>
      </x:c>
      <x:c r="G291" s="14" t="str">
        <x:v>Training Center A</x:v>
      </x:c>
      <x:c r="H291" s="28">
        <x:v>45808</x:v>
      </x:c>
      <x:c r="I291" s="14">
        <x:v>2025</x:v>
      </x:c>
      <x:c r="J291" s="14" t="s">
        <x:v>118</x:v>
      </x:c>
      <x:c r="K291" s="14">
        <x:v>15</x:v>
      </x:c>
      <x:c r="L291" s="29" t="s">
        <x:v>119</x:v>
      </x:c>
      <x:c r="M291" s="28">
        <x:v>45801</x:v>
      </x:c>
      <x:c r="N291" s="14"/>
      <x:c r="O291" s="14">
        <x:v>450</x:v>
      </x:c>
      <x:c r="P291" s="14" t="s">
        <x:v>120</x:v>
      </x:c>
      <x:c r="Q291" s="14" t="s">
        <x:v>25</x:v>
      </x:c>
      <x:c r="R291" s="14"/>
      <x:c r="S291" s="14" t="s">
        <x:v>105</x:v>
      </x:c>
      <x:c r="T291" s="14"/>
      <x:c r="U291" s="28"/>
      <x:c r="V291" s="30"/>
      <x:c r="W291" s="14"/>
      <x:c r="X291" s="14" t="s">
        <x:v>71</x:v>
      </x:c>
      <x:c r="Y291" s="32" t="str">
        <x:v>TRN-0290|20250531</x:v>
      </x:c>
      <x:c r="Z291" s="32" t="str" cm="1">
        <x:f t="array" ref="Z29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291" s="33" t="n">
        <x:f>--OR(WorkforceData[[#This Row],[Status]]="Active",WorkforceData[[#This Row],[Promoted]]="Yes",WorkforceData[[#This Row],[Total Days Worked]]&gt;=121)</x:f>
        <x:v>1</x:v>
      </x:c>
      <x:c r="AB291" s="33" t="n">
        <x:f>IF(AND(Q291="Terminated",R291="",O291=0),1,0)</x:f>
        <x:v>0</x:v>
      </x:c>
      <x:c r="AC291" s="33" t="n">
        <x:f>--OR(WorkforceData[[#This Row],[Status]]="Resigned",WorkforceData[[#This Row],[Status After Training]]="Withdrew")</x:f>
        <x:v>0</x:v>
      </x:c>
      <x:c r="AD291" s="34" t="n">
        <x:f>EOMONTH(WorkforceData[[#This Row],[Training Date]],0)</x:f>
        <x:v>45808</x:v>
      </x:c>
      <x:c r="AE291" s="32" t="str">
        <x:f>IF(M291&lt;H291,"Existing Employee",IF(U291="","No Assignment",IF(V291=0,"0 Days",IF(V291&lt;=7,"1-7 Days",IF(V291&lt;=14,"8-14 Days",IF(V291&lt;=21,"15-21 Days","21+ Days"))))))</x:f>
        <x:v>Existing Employee</x:v>
      </x:c>
      <x:c r="AF29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91" s="33" t="n">
        <x:f>--(WorkforceData[[#This Row],[Total Days Worked]]&gt;=121)</x:f>
        <x:v>1</x:v>
      </x:c>
    </x:row>
    <x:row r="292">
      <x:c r="A292" s="236" t="str">
        <x:v>TRN-0291</x:v>
      </x:c>
      <x:c r="B292" s="243"/>
      <x:c r="C292" s="243"/>
      <x:c r="D292" s="243"/>
      <x:c r="E292" s="243"/>
      <x:c r="F292" s="14" t="str">
        <x:v>Recruiter H</x:v>
      </x:c>
      <x:c r="G292" s="14" t="str">
        <x:v>Training Center A</x:v>
      </x:c>
      <x:c r="H292" s="28">
        <x:v>45808</x:v>
      </x:c>
      <x:c r="I292" s="14">
        <x:v>2025</x:v>
      </x:c>
      <x:c r="J292" s="14" t="s">
        <x:v>118</x:v>
      </x:c>
      <x:c r="K292" s="14">
        <x:v>15</x:v>
      </x:c>
      <x:c r="L292" s="29" t="s">
        <x:v>119</x:v>
      </x:c>
      <x:c r="M292" s="28">
        <x:v>45807</x:v>
      </x:c>
      <x:c r="N292" s="14"/>
      <x:c r="O292" s="14">
        <x:v>444</x:v>
      </x:c>
      <x:c r="P292" s="14" t="s">
        <x:v>120</x:v>
      </x:c>
      <x:c r="Q292" s="14" t="s">
        <x:v>38</x:v>
      </x:c>
      <x:c r="R292" s="14"/>
      <x:c r="S292" s="14" t="s">
        <x:v>108</x:v>
      </x:c>
      <x:c r="T292" s="14" t="str">
        <x:v>Region D</x:v>
      </x:c>
      <x:c r="U292" s="28">
        <x:v>45820</x:v>
      </x:c>
      <x:c r="V292" s="30">
        <x:v>12</x:v>
      </x:c>
      <x:c r="W292" s="14" t="s">
        <x:v>45</x:v>
      </x:c>
      <x:c r="X292" s="14" t="s">
        <x:v>106</x:v>
      </x:c>
      <x:c r="Y292" s="32" t="str">
        <x:v>TRN-0291|20250531</x:v>
      </x:c>
      <x:c r="Z292" s="32" t="str" cm="1">
        <x:f t="array" ref="Z29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292" s="33" t="n">
        <x:f>--OR(WorkforceData[[#This Row],[Status]]="Active",WorkforceData[[#This Row],[Promoted]]="Yes",WorkforceData[[#This Row],[Total Days Worked]]&gt;=121)</x:f>
        <x:v>1</x:v>
      </x:c>
      <x:c r="AB292" s="33" t="n">
        <x:f>IF(AND(Q292="Terminated",R292="",O292=0),1,0)</x:f>
        <x:v>0</x:v>
      </x:c>
      <x:c r="AC292" s="33" t="n">
        <x:f>--OR(WorkforceData[[#This Row],[Status]]="Resigned",WorkforceData[[#This Row],[Status After Training]]="Withdrew")</x:f>
        <x:v>0</x:v>
      </x:c>
      <x:c r="AD292" s="34" t="n">
        <x:f>EOMONTH(WorkforceData[[#This Row],[Training Date]],0)</x:f>
        <x:v>45808</x:v>
      </x:c>
      <x:c r="AE292" s="32" t="str">
        <x:f>IF(M292&lt;H292,"Existing Employee",IF(U292="","No Assignment",IF(V292=0,"0 Days",IF(V292&lt;=7,"1-7 Days",IF(V292&lt;=14,"8-14 Days",IF(V292&lt;=21,"15-21 Days","21+ Days"))))))</x:f>
        <x:v>Existing Employee</x:v>
      </x:c>
      <x:c r="AF29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92" s="33" t="n">
        <x:f>--(WorkforceData[[#This Row],[Total Days Worked]]&gt;=121)</x:f>
        <x:v>1</x:v>
      </x:c>
    </x:row>
    <x:row r="293">
      <x:c r="A293" s="236" t="str">
        <x:v>TRN-0292</x:v>
      </x:c>
      <x:c r="B293" s="243"/>
      <x:c r="C293" s="243"/>
      <x:c r="D293" s="243"/>
      <x:c r="E293" s="243"/>
      <x:c r="F293" s="14" t="str">
        <x:v>Recruiter G</x:v>
      </x:c>
      <x:c r="G293" s="14" t="str">
        <x:v>Training Center A</x:v>
      </x:c>
      <x:c r="H293" s="28">
        <x:v>45808</x:v>
      </x:c>
      <x:c r="I293" s="14">
        <x:v>2025</x:v>
      </x:c>
      <x:c r="J293" s="14" t="s">
        <x:v>118</x:v>
      </x:c>
      <x:c r="K293" s="14">
        <x:v>15</x:v>
      </x:c>
      <x:c r="L293" s="29" t="s">
        <x:v>119</x:v>
      </x:c>
      <x:c r="M293" s="28">
        <x:v>45801</x:v>
      </x:c>
      <x:c r="N293" s="14"/>
      <x:c r="O293" s="14">
        <x:v>450</x:v>
      </x:c>
      <x:c r="P293" s="14" t="s">
        <x:v>120</x:v>
      </x:c>
      <x:c r="Q293" s="14" t="s">
        <x:v>25</x:v>
      </x:c>
      <x:c r="R293" s="14"/>
      <x:c r="S293" s="14" t="s">
        <x:v>108</x:v>
      </x:c>
      <x:c r="T293" s="14" t="str">
        <x:v>Region C</x:v>
      </x:c>
      <x:c r="U293" s="28">
        <x:v>45822</x:v>
      </x:c>
      <x:c r="V293" s="30">
        <x:v>14</x:v>
      </x:c>
      <x:c r="W293" s="14" t="s">
        <x:v>45</x:v>
      </x:c>
      <x:c r="X293" s="14" t="s">
        <x:v>106</x:v>
      </x:c>
      <x:c r="Y293" s="32" t="str">
        <x:v>TRN-0292|20250531</x:v>
      </x:c>
      <x:c r="Z293" s="32" t="str" cm="1">
        <x:f t="array" ref="Z29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293" s="33" t="n">
        <x:f>--OR(WorkforceData[[#This Row],[Status]]="Active",WorkforceData[[#This Row],[Promoted]]="Yes",WorkforceData[[#This Row],[Total Days Worked]]&gt;=121)</x:f>
        <x:v>1</x:v>
      </x:c>
      <x:c r="AB293" s="33" t="n">
        <x:f>IF(AND(Q293="Terminated",R293="",O293=0),1,0)</x:f>
        <x:v>0</x:v>
      </x:c>
      <x:c r="AC293" s="33" t="n">
        <x:f>--OR(WorkforceData[[#This Row],[Status]]="Resigned",WorkforceData[[#This Row],[Status After Training]]="Withdrew")</x:f>
        <x:v>0</x:v>
      </x:c>
      <x:c r="AD293" s="34" t="n">
        <x:f>EOMONTH(WorkforceData[[#This Row],[Training Date]],0)</x:f>
        <x:v>45808</x:v>
      </x:c>
      <x:c r="AE293" s="32" t="str">
        <x:f>IF(M293&lt;H293,"Existing Employee",IF(U293="","No Assignment",IF(V293=0,"0 Days",IF(V293&lt;=7,"1-7 Days",IF(V293&lt;=14,"8-14 Days",IF(V293&lt;=21,"15-21 Days","21+ Days"))))))</x:f>
        <x:v>Existing Employee</x:v>
      </x:c>
      <x:c r="AF29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93" s="33" t="n">
        <x:f>--(WorkforceData[[#This Row],[Total Days Worked]]&gt;=121)</x:f>
        <x:v>1</x:v>
      </x:c>
    </x:row>
    <x:row r="294">
      <x:c r="A294" s="236" t="str">
        <x:v>TRN-0293</x:v>
      </x:c>
      <x:c r="B294" s="243"/>
      <x:c r="C294" s="243"/>
      <x:c r="D294" s="243"/>
      <x:c r="E294" s="243"/>
      <x:c r="F294" s="14" t="str">
        <x:v>Recruiter H</x:v>
      </x:c>
      <x:c r="G294" s="14" t="str">
        <x:v>Training Center A</x:v>
      </x:c>
      <x:c r="H294" s="28">
        <x:v>45808</x:v>
      </x:c>
      <x:c r="I294" s="14">
        <x:v>2025</x:v>
      </x:c>
      <x:c r="J294" s="14" t="s">
        <x:v>118</x:v>
      </x:c>
      <x:c r="K294" s="14">
        <x:v>15</x:v>
      </x:c>
      <x:c r="L294" s="29" t="s">
        <x:v>119</x:v>
      </x:c>
      <x:c r="M294" s="28">
        <x:v>45806</x:v>
      </x:c>
      <x:c r="N294" s="14"/>
      <x:c r="O294" s="14">
        <x:v>445</x:v>
      </x:c>
      <x:c r="P294" s="14" t="s">
        <x:v>120</x:v>
      </x:c>
      <x:c r="Q294" s="14" t="s">
        <x:v>25</x:v>
      </x:c>
      <x:c r="R294" s="14"/>
      <x:c r="S294" s="14" t="s">
        <x:v>108</x:v>
      </x:c>
      <x:c r="T294" s="14" t="str">
        <x:v>Region B</x:v>
      </x:c>
      <x:c r="U294" s="28">
        <x:v>45810</x:v>
      </x:c>
      <x:c r="V294" s="30">
        <x:v>2</x:v>
      </x:c>
      <x:c r="W294" s="14" t="s">
        <x:v>109</x:v>
      </x:c>
      <x:c r="X294" s="14" t="s">
        <x:v>106</x:v>
      </x:c>
      <x:c r="Y294" s="32" t="str">
        <x:v>TRN-0293|20250531</x:v>
      </x:c>
      <x:c r="Z294" s="32" t="str" cm="1">
        <x:f t="array" ref="Z29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294" s="33" t="n">
        <x:f>--OR(WorkforceData[[#This Row],[Status]]="Active",WorkforceData[[#This Row],[Promoted]]="Yes",WorkforceData[[#This Row],[Total Days Worked]]&gt;=121)</x:f>
        <x:v>1</x:v>
      </x:c>
      <x:c r="AB294" s="33" t="n">
        <x:f>IF(AND(Q294="Terminated",R294="",O294=0),1,0)</x:f>
        <x:v>0</x:v>
      </x:c>
      <x:c r="AC294" s="33" t="n">
        <x:f>--OR(WorkforceData[[#This Row],[Status]]="Resigned",WorkforceData[[#This Row],[Status After Training]]="Withdrew")</x:f>
        <x:v>0</x:v>
      </x:c>
      <x:c r="AD294" s="34" t="n">
        <x:f>EOMONTH(WorkforceData[[#This Row],[Training Date]],0)</x:f>
        <x:v>45808</x:v>
      </x:c>
      <x:c r="AE294" s="32" t="str">
        <x:f>IF(M294&lt;H294,"Existing Employee",IF(U294="","No Assignment",IF(V294=0,"0 Days",IF(V294&lt;=7,"1-7 Days",IF(V294&lt;=14,"8-14 Days",IF(V294&lt;=21,"15-21 Days","21+ Days"))))))</x:f>
        <x:v>Existing Employee</x:v>
      </x:c>
      <x:c r="AF29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94" s="33" t="n">
        <x:f>--(WorkforceData[[#This Row],[Total Days Worked]]&gt;=121)</x:f>
        <x:v>1</x:v>
      </x:c>
    </x:row>
    <x:row r="295">
      <x:c r="A295" s="236" t="str">
        <x:v>TRN-0294</x:v>
      </x:c>
      <x:c r="B295" s="243"/>
      <x:c r="C295" s="243"/>
      <x:c r="D295" s="243"/>
      <x:c r="E295" s="243"/>
      <x:c r="F295" s="14" t="str">
        <x:v>Recruiter G</x:v>
      </x:c>
      <x:c r="G295" s="14" t="str">
        <x:v>Training Center A</x:v>
      </x:c>
      <x:c r="H295" s="28">
        <x:v>45808</x:v>
      </x:c>
      <x:c r="I295" s="14">
        <x:v>2025</x:v>
      </x:c>
      <x:c r="J295" s="14" t="s">
        <x:v>118</x:v>
      </x:c>
      <x:c r="K295" s="14">
        <x:v>15</x:v>
      </x:c>
      <x:c r="L295" s="29" t="s">
        <x:v>119</x:v>
      </x:c>
      <x:c r="M295" s="28">
        <x:v>45803</x:v>
      </x:c>
      <x:c r="N295" s="14"/>
      <x:c r="O295" s="14">
        <x:v>448</x:v>
      </x:c>
      <x:c r="P295" s="14" t="s">
        <x:v>120</x:v>
      </x:c>
      <x:c r="Q295" s="14" t="s">
        <x:v>25</x:v>
      </x:c>
      <x:c r="R295" s="14"/>
      <x:c r="S295" s="14" t="s">
        <x:v>108</x:v>
      </x:c>
      <x:c r="T295" s="14" t="str">
        <x:v>Region B</x:v>
      </x:c>
      <x:c r="U295" s="28">
        <x:v>45814</x:v>
      </x:c>
      <x:c r="V295" s="30">
        <x:v>6</x:v>
      </x:c>
      <x:c r="W295" s="14" t="s">
        <x:v>109</x:v>
      </x:c>
      <x:c r="X295" s="14" t="s">
        <x:v>106</x:v>
      </x:c>
      <x:c r="Y295" s="32" t="str">
        <x:v>TRN-0294|20250531</x:v>
      </x:c>
      <x:c r="Z295" s="32" t="str" cm="1">
        <x:f t="array" ref="Z29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295" s="33" t="n">
        <x:f>--OR(WorkforceData[[#This Row],[Status]]="Active",WorkforceData[[#This Row],[Promoted]]="Yes",WorkforceData[[#This Row],[Total Days Worked]]&gt;=121)</x:f>
        <x:v>1</x:v>
      </x:c>
      <x:c r="AB295" s="33" t="n">
        <x:f>IF(AND(Q295="Terminated",R295="",O295=0),1,0)</x:f>
        <x:v>0</x:v>
      </x:c>
      <x:c r="AC295" s="33" t="n">
        <x:f>--OR(WorkforceData[[#This Row],[Status]]="Resigned",WorkforceData[[#This Row],[Status After Training]]="Withdrew")</x:f>
        <x:v>0</x:v>
      </x:c>
      <x:c r="AD295" s="34" t="n">
        <x:f>EOMONTH(WorkforceData[[#This Row],[Training Date]],0)</x:f>
        <x:v>45808</x:v>
      </x:c>
      <x:c r="AE295" s="32" t="str">
        <x:f>IF(M295&lt;H295,"Existing Employee",IF(U295="","No Assignment",IF(V295=0,"0 Days",IF(V295&lt;=7,"1-7 Days",IF(V295&lt;=14,"8-14 Days",IF(V295&lt;=21,"15-21 Days","21+ Days"))))))</x:f>
        <x:v>Existing Employee</x:v>
      </x:c>
      <x:c r="AF29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95" s="33" t="n">
        <x:f>--(WorkforceData[[#This Row],[Total Days Worked]]&gt;=121)</x:f>
        <x:v>1</x:v>
      </x:c>
    </x:row>
    <x:row r="296">
      <x:c r="A296" s="236" t="str">
        <x:v>TRN-0295</x:v>
      </x:c>
      <x:c r="B296" s="243"/>
      <x:c r="C296" s="243"/>
      <x:c r="D296" s="243"/>
      <x:c r="E296" s="243"/>
      <x:c r="F296" s="14" t="str">
        <x:v>Recruiter A</x:v>
      </x:c>
      <x:c r="G296" s="14" t="str">
        <x:v>Training Center A</x:v>
      </x:c>
      <x:c r="H296" s="28">
        <x:v>45808</x:v>
      </x:c>
      <x:c r="I296" s="14">
        <x:v>2025</x:v>
      </x:c>
      <x:c r="J296" s="14" t="s">
        <x:v>118</x:v>
      </x:c>
      <x:c r="K296" s="14">
        <x:v>15</x:v>
      </x:c>
      <x:c r="L296" s="29" t="s">
        <x:v>119</x:v>
      </x:c>
      <x:c r="M296" s="28">
        <x:v>45808</x:v>
      </x:c>
      <x:c r="N296" s="28">
        <x:v>45899</x:v>
      </x:c>
      <x:c r="O296" s="14">
        <x:v>91</x:v>
      </x:c>
      <x:c r="P296" s="14" t="s">
        <x:v>113</x:v>
      </x:c>
      <x:c r="Q296" s="14" t="s">
        <x:v>33</x:v>
      </x:c>
      <x:c r="R296" s="14" t="s">
        <x:v>121</x:v>
      </x:c>
      <x:c r="S296" s="14" t="s">
        <x:v>105</x:v>
      </x:c>
      <x:c r="T296" s="14" t="str">
        <x:v>Region D</x:v>
      </x:c>
      <x:c r="U296" s="28">
        <x:v>45811</x:v>
      </x:c>
      <x:c r="V296" s="30">
        <x:v>3</x:v>
      </x:c>
      <x:c r="W296" s="14" t="s">
        <x:v>109</x:v>
      </x:c>
      <x:c r="X296" s="14" t="s">
        <x:v>106</x:v>
      </x:c>
      <x:c r="Y296" s="32" t="str">
        <x:v>TRN-0295|20250531</x:v>
      </x:c>
      <x:c r="Z296" s="32" t="str" cm="1">
        <x:f t="array" ref="Z29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296" s="33" t="n">
        <x:f>--OR(WorkforceData[[#This Row],[Status]]="Active",WorkforceData[[#This Row],[Promoted]]="Yes",WorkforceData[[#This Row],[Total Days Worked]]&gt;=121)</x:f>
        <x:v>0</x:v>
      </x:c>
      <x:c r="AB296" s="33" t="n">
        <x:f>IF(AND(Q296="Terminated",R296="",O296=0),1,0)</x:f>
        <x:v>0</x:v>
      </x:c>
      <x:c r="AC296" s="33" t="n">
        <x:f>--OR(WorkforceData[[#This Row],[Status]]="Resigned",WorkforceData[[#This Row],[Status After Training]]="Withdrew")</x:f>
        <x:v>0</x:v>
      </x:c>
      <x:c r="AD296" s="34" t="n">
        <x:f>EOMONTH(WorkforceData[[#This Row],[Training Date]],0)</x:f>
        <x:v>45808</x:v>
      </x:c>
      <x:c r="AE296" s="32" t="str">
        <x:f>IF(M296&lt;H296,"Existing Employee",IF(U296="","No Assignment",IF(V296=0,"0 Days",IF(V296&lt;=7,"1-7 Days",IF(V296&lt;=14,"8-14 Days",IF(V296&lt;=21,"15-21 Days","21+ Days"))))))</x:f>
        <x:v>1-7 Days</x:v>
      </x:c>
      <x:c r="AF29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91-120 Days</x:v>
      </x:c>
      <x:c r="AG296" s="33" t="n">
        <x:f>--(WorkforceData[[#This Row],[Total Days Worked]]&gt;=121)</x:f>
        <x:v>0</x:v>
      </x:c>
    </x:row>
    <x:row r="297">
      <x:c r="A297" s="236" t="str">
        <x:v>TRN-0296</x:v>
      </x:c>
      <x:c r="B297" s="243"/>
      <x:c r="C297" s="243"/>
      <x:c r="D297" s="243"/>
      <x:c r="E297" s="243"/>
      <x:c r="F297" s="14" t="str">
        <x:v>Recruiter H</x:v>
      </x:c>
      <x:c r="G297" s="14" t="str">
        <x:v>Training Center A</x:v>
      </x:c>
      <x:c r="H297" s="28">
        <x:v>45808</x:v>
      </x:c>
      <x:c r="I297" s="14">
        <x:v>2025</x:v>
      </x:c>
      <x:c r="J297" s="14" t="s">
        <x:v>118</x:v>
      </x:c>
      <x:c r="K297" s="14">
        <x:v>15</x:v>
      </x:c>
      <x:c r="L297" s="29" t="s">
        <x:v>119</x:v>
      </x:c>
      <x:c r="M297" s="28">
        <x:v>45798</x:v>
      </x:c>
      <x:c r="N297" s="14"/>
      <x:c r="O297" s="14">
        <x:v>453</x:v>
      </x:c>
      <x:c r="P297" s="14" t="s">
        <x:v>120</x:v>
      </x:c>
      <x:c r="Q297" s="14" t="s">
        <x:v>38</x:v>
      </x:c>
      <x:c r="R297" s="14"/>
      <x:c r="S297" s="14" t="s">
        <x:v>108</x:v>
      </x:c>
      <x:c r="T297" s="14" t="str">
        <x:v>Region E</x:v>
      </x:c>
      <x:c r="U297" s="28">
        <x:v>45926</x:v>
      </x:c>
      <x:c r="V297" s="30">
        <x:v>118</x:v>
      </x:c>
      <x:c r="W297" s="14" t="s">
        <x:v>114</x:v>
      </x:c>
      <x:c r="X297" s="14" t="s">
        <x:v>117</x:v>
      </x:c>
      <x:c r="Y297" s="32" t="str">
        <x:v>TRN-0296|20250531</x:v>
      </x:c>
      <x:c r="Z297" s="32" t="str" cm="1">
        <x:f t="array" ref="Z29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297" s="33" t="n">
        <x:f>--OR(WorkforceData[[#This Row],[Status]]="Active",WorkforceData[[#This Row],[Promoted]]="Yes",WorkforceData[[#This Row],[Total Days Worked]]&gt;=121)</x:f>
        <x:v>1</x:v>
      </x:c>
      <x:c r="AB297" s="33" t="n">
        <x:f>IF(AND(Q297="Terminated",R297="",O297=0),1,0)</x:f>
        <x:v>0</x:v>
      </x:c>
      <x:c r="AC297" s="33" t="n">
        <x:f>--OR(WorkforceData[[#This Row],[Status]]="Resigned",WorkforceData[[#This Row],[Status After Training]]="Withdrew")</x:f>
        <x:v>0</x:v>
      </x:c>
      <x:c r="AD297" s="34" t="n">
        <x:f>EOMONTH(WorkforceData[[#This Row],[Training Date]],0)</x:f>
        <x:v>45808</x:v>
      </x:c>
      <x:c r="AE297" s="32" t="str">
        <x:f>IF(M297&lt;H297,"Existing Employee",IF(U297="","No Assignment",IF(V297=0,"0 Days",IF(V297&lt;=7,"1-7 Days",IF(V297&lt;=14,"8-14 Days",IF(V297&lt;=21,"15-21 Days","21+ Days"))))))</x:f>
        <x:v>Existing Employee</x:v>
      </x:c>
      <x:c r="AF29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97" s="33" t="n">
        <x:f>--(WorkforceData[[#This Row],[Total Days Worked]]&gt;=121)</x:f>
        <x:v>1</x:v>
      </x:c>
    </x:row>
    <x:row r="298">
      <x:c r="A298" s="236" t="str">
        <x:v>TRN-0297</x:v>
      </x:c>
      <x:c r="B298" s="243"/>
      <x:c r="C298" s="243"/>
      <x:c r="D298" s="243"/>
      <x:c r="E298" s="243"/>
      <x:c r="F298" s="14" t="str">
        <x:v>Recruiter A</x:v>
      </x:c>
      <x:c r="G298" s="14" t="str">
        <x:v>Training Center A</x:v>
      </x:c>
      <x:c r="H298" s="28">
        <x:v>45808</x:v>
      </x:c>
      <x:c r="I298" s="14">
        <x:v>2025</x:v>
      </x:c>
      <x:c r="J298" s="14" t="s">
        <x:v>118</x:v>
      </x:c>
      <x:c r="K298" s="14">
        <x:v>15</x:v>
      </x:c>
      <x:c r="L298" s="29" t="s">
        <x:v>119</x:v>
      </x:c>
      <x:c r="M298" s="28">
        <x:v>45807</x:v>
      </x:c>
      <x:c r="N298" s="14"/>
      <x:c r="O298" s="14">
        <x:v>444</x:v>
      </x:c>
      <x:c r="P298" s="14" t="s">
        <x:v>120</x:v>
      </x:c>
      <x:c r="Q298" s="14" t="s">
        <x:v>25</x:v>
      </x:c>
      <x:c r="R298" s="14"/>
      <x:c r="S298" s="14" t="s">
        <x:v>108</x:v>
      </x:c>
      <x:c r="T298" s="14" t="str">
        <x:v>Region C</x:v>
      </x:c>
      <x:c r="U298" s="28">
        <x:v>45817</x:v>
      </x:c>
      <x:c r="V298" s="30">
        <x:v>9</x:v>
      </x:c>
      <x:c r="W298" s="14" t="s">
        <x:v>45</x:v>
      </x:c>
      <x:c r="X298" s="14" t="s">
        <x:v>106</x:v>
      </x:c>
      <x:c r="Y298" s="32" t="str">
        <x:v>TRN-0297|20250531</x:v>
      </x:c>
      <x:c r="Z298" s="32" t="str" cm="1">
        <x:f t="array" ref="Z29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298" s="33" t="n">
        <x:f>--OR(WorkforceData[[#This Row],[Status]]="Active",WorkforceData[[#This Row],[Promoted]]="Yes",WorkforceData[[#This Row],[Total Days Worked]]&gt;=121)</x:f>
        <x:v>1</x:v>
      </x:c>
      <x:c r="AB298" s="33" t="n">
        <x:f>IF(AND(Q298="Terminated",R298="",O298=0),1,0)</x:f>
        <x:v>0</x:v>
      </x:c>
      <x:c r="AC298" s="33" t="n">
        <x:f>--OR(WorkforceData[[#This Row],[Status]]="Resigned",WorkforceData[[#This Row],[Status After Training]]="Withdrew")</x:f>
        <x:v>0</x:v>
      </x:c>
      <x:c r="AD298" s="34" t="n">
        <x:f>EOMONTH(WorkforceData[[#This Row],[Training Date]],0)</x:f>
        <x:v>45808</x:v>
      </x:c>
      <x:c r="AE298" s="32" t="str">
        <x:f>IF(M298&lt;H298,"Existing Employee",IF(U298="","No Assignment",IF(V298=0,"0 Days",IF(V298&lt;=7,"1-7 Days",IF(V298&lt;=14,"8-14 Days",IF(V298&lt;=21,"15-21 Days","21+ Days"))))))</x:f>
        <x:v>Existing Employee</x:v>
      </x:c>
      <x:c r="AF29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98" s="33" t="n">
        <x:f>--(WorkforceData[[#This Row],[Total Days Worked]]&gt;=121)</x:f>
        <x:v>1</x:v>
      </x:c>
    </x:row>
    <x:row r="299">
      <x:c r="A299" s="236" t="str">
        <x:v>TRN-0298</x:v>
      </x:c>
      <x:c r="B299" s="243"/>
      <x:c r="C299" s="243"/>
      <x:c r="D299" s="243"/>
      <x:c r="E299" s="243"/>
      <x:c r="F299" s="14" t="str">
        <x:v>Recruiter G</x:v>
      </x:c>
      <x:c r="G299" s="14" t="str">
        <x:v>Training Center A</x:v>
      </x:c>
      <x:c r="H299" s="28">
        <x:v>45808</x:v>
      </x:c>
      <x:c r="I299" s="14">
        <x:v>2025</x:v>
      </x:c>
      <x:c r="J299" s="14" t="s">
        <x:v>118</x:v>
      </x:c>
      <x:c r="K299" s="14">
        <x:v>15</x:v>
      </x:c>
      <x:c r="L299" s="29" t="s">
        <x:v>119</x:v>
      </x:c>
      <x:c r="M299" s="28">
        <x:v>45806</x:v>
      </x:c>
      <x:c r="N299" s="14"/>
      <x:c r="O299" s="14">
        <x:v>445</x:v>
      </x:c>
      <x:c r="P299" s="14" t="s">
        <x:v>120</x:v>
      </x:c>
      <x:c r="Q299" s="14" t="s">
        <x:v>25</x:v>
      </x:c>
      <x:c r="R299" s="14"/>
      <x:c r="S299" s="14" t="s">
        <x:v>108</x:v>
      </x:c>
      <x:c r="T299" s="14" t="str">
        <x:v>Region A</x:v>
      </x:c>
      <x:c r="U299" s="28">
        <x:v>45820</x:v>
      </x:c>
      <x:c r="V299" s="30">
        <x:v>12</x:v>
      </x:c>
      <x:c r="W299" s="14" t="s">
        <x:v>45</x:v>
      </x:c>
      <x:c r="X299" s="14" t="s">
        <x:v>106</x:v>
      </x:c>
      <x:c r="Y299" s="32" t="str">
        <x:v>TRN-0298|20250531</x:v>
      </x:c>
      <x:c r="Z299" s="32" t="str" cm="1">
        <x:f t="array" ref="Z29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299" s="33" t="n">
        <x:f>--OR(WorkforceData[[#This Row],[Status]]="Active",WorkforceData[[#This Row],[Promoted]]="Yes",WorkforceData[[#This Row],[Total Days Worked]]&gt;=121)</x:f>
        <x:v>1</x:v>
      </x:c>
      <x:c r="AB299" s="33" t="n">
        <x:f>IF(AND(Q299="Terminated",R299="",O299=0),1,0)</x:f>
        <x:v>0</x:v>
      </x:c>
      <x:c r="AC299" s="33" t="n">
        <x:f>--OR(WorkforceData[[#This Row],[Status]]="Resigned",WorkforceData[[#This Row],[Status After Training]]="Withdrew")</x:f>
        <x:v>0</x:v>
      </x:c>
      <x:c r="AD299" s="34" t="n">
        <x:f>EOMONTH(WorkforceData[[#This Row],[Training Date]],0)</x:f>
        <x:v>45808</x:v>
      </x:c>
      <x:c r="AE299" s="32" t="str">
        <x:f>IF(M299&lt;H299,"Existing Employee",IF(U299="","No Assignment",IF(V299=0,"0 Days",IF(V299&lt;=7,"1-7 Days",IF(V299&lt;=14,"8-14 Days",IF(V299&lt;=21,"15-21 Days","21+ Days"))))))</x:f>
        <x:v>Existing Employee</x:v>
      </x:c>
      <x:c r="AF29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299" s="33" t="n">
        <x:f>--(WorkforceData[[#This Row],[Total Days Worked]]&gt;=121)</x:f>
        <x:v>1</x:v>
      </x:c>
    </x:row>
    <x:row r="300">
      <x:c r="A300" s="236" t="str">
        <x:v>TRN-0299</x:v>
      </x:c>
      <x:c r="B300" s="243"/>
      <x:c r="C300" s="243"/>
      <x:c r="D300" s="243"/>
      <x:c r="E300" s="243"/>
      <x:c r="F300" s="14" t="str">
        <x:v>Recruiter H</x:v>
      </x:c>
      <x:c r="G300" s="14" t="str">
        <x:v>Training Center A</x:v>
      </x:c>
      <x:c r="H300" s="28">
        <x:v>45365</x:v>
      </x:c>
      <x:c r="I300" s="14">
        <x:v>2024</x:v>
      </x:c>
      <x:c r="J300" s="14" t="s">
        <x:v>130</x:v>
      </x:c>
      <x:c r="K300" s="14">
        <x:v>20</x:v>
      </x:c>
      <x:c r="L300" s="29" t="s">
        <x:v>119</x:v>
      </x:c>
      <x:c r="M300" s="28">
        <x:v>45360</x:v>
      </x:c>
      <x:c r="N300" s="28">
        <x:v>46063</x:v>
      </x:c>
      <x:c r="O300" s="14">
        <x:v>703</x:v>
      </x:c>
      <x:c r="P300" s="14" t="s">
        <x:v>120</x:v>
      </x:c>
      <x:c r="Q300" s="14" t="s">
        <x:v>33</x:v>
      </x:c>
      <x:c r="R300" s="14" t="s">
        <x:v>124</x:v>
      </x:c>
      <x:c r="S300" s="14" t="s">
        <x:v>108</x:v>
      </x:c>
      <x:c r="T300" s="14" t="str">
        <x:v>Region A</x:v>
      </x:c>
      <x:c r="U300" s="28">
        <x:v>45369</x:v>
      </x:c>
      <x:c r="V300" s="30">
        <x:v>4</x:v>
      </x:c>
      <x:c r="W300" s="14" t="s">
        <x:v>109</x:v>
      </x:c>
      <x:c r="X300" s="14" t="s">
        <x:v>106</x:v>
      </x:c>
      <x:c r="Y300" s="32" t="str">
        <x:v>TRN-0299|20240314</x:v>
      </x:c>
      <x:c r="Z300" s="32" t="str" cm="1">
        <x:f t="array" ref="Z30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300" s="33" t="n">
        <x:f>--OR(WorkforceData[[#This Row],[Status]]="Active",WorkforceData[[#This Row],[Promoted]]="Yes",WorkforceData[[#This Row],[Total Days Worked]]&gt;=121)</x:f>
        <x:v>1</x:v>
      </x:c>
      <x:c r="AB300" s="33" t="n">
        <x:f>IF(AND(Q300="Terminated",R300="",O300=0),1,0)</x:f>
        <x:v>0</x:v>
      </x:c>
      <x:c r="AC300" s="33" t="n">
        <x:f>--OR(WorkforceData[[#This Row],[Status]]="Resigned",WorkforceData[[#This Row],[Status After Training]]="Withdrew")</x:f>
        <x:v>0</x:v>
      </x:c>
      <x:c r="AD300" s="34" t="n">
        <x:f>EOMONTH(WorkforceData[[#This Row],[Training Date]],0)</x:f>
        <x:v>45382</x:v>
      </x:c>
      <x:c r="AE300" s="32" t="str">
        <x:f>IF(M300&lt;H300,"Existing Employee",IF(U300="","No Assignment",IF(V300=0,"0 Days",IF(V300&lt;=7,"1-7 Days",IF(V300&lt;=14,"8-14 Days",IF(V300&lt;=21,"15-21 Days","21+ Days"))))))</x:f>
        <x:v>Existing Employee</x:v>
      </x:c>
      <x:c r="AF30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00" s="33" t="n">
        <x:f>--(WorkforceData[[#This Row],[Total Days Worked]]&gt;=121)</x:f>
        <x:v>1</x:v>
      </x:c>
    </x:row>
    <x:row r="301">
      <x:c r="A301" s="236" t="str">
        <x:v>TRN-0300</x:v>
      </x:c>
      <x:c r="B301" s="243"/>
      <x:c r="C301" s="243"/>
      <x:c r="D301" s="243"/>
      <x:c r="E301" s="243"/>
      <x:c r="F301" s="14" t="str">
        <x:v>Recruiter G</x:v>
      </x:c>
      <x:c r="G301" s="14" t="str">
        <x:v>Training Center A</x:v>
      </x:c>
      <x:c r="H301" s="28">
        <x:v>45365</x:v>
      </x:c>
      <x:c r="I301" s="14">
        <x:v>2024</x:v>
      </x:c>
      <x:c r="J301" s="14" t="s">
        <x:v>130</x:v>
      </x:c>
      <x:c r="K301" s="14">
        <x:v>20</x:v>
      </x:c>
      <x:c r="L301" s="29" t="s">
        <x:v>119</x:v>
      </x:c>
      <x:c r="M301" s="28">
        <x:v>45365</x:v>
      </x:c>
      <x:c r="N301" s="14"/>
      <x:c r="O301" s="14">
        <x:v>886</x:v>
      </x:c>
      <x:c r="P301" s="14" t="s">
        <x:v>122</x:v>
      </x:c>
      <x:c r="Q301" s="14" t="s">
        <x:v>25</x:v>
      </x:c>
      <x:c r="R301" s="14"/>
      <x:c r="S301" s="14" t="s">
        <x:v>108</x:v>
      </x:c>
      <x:c r="T301" s="14" t="str">
        <x:v>Region D</x:v>
      </x:c>
      <x:c r="U301" s="28">
        <x:v>45383</x:v>
      </x:c>
      <x:c r="V301" s="30">
        <x:v>18</x:v>
      </x:c>
      <x:c r="W301" s="14" t="s">
        <x:v>112</x:v>
      </x:c>
      <x:c r="X301" s="14" t="s">
        <x:v>106</x:v>
      </x:c>
      <x:c r="Y301" s="32" t="str">
        <x:v>TRN-0300|20240314</x:v>
      </x:c>
      <x:c r="Z301" s="32" t="str" cm="1">
        <x:f t="array" ref="Z30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301" s="33" t="n">
        <x:f>--OR(WorkforceData[[#This Row],[Status]]="Active",WorkforceData[[#This Row],[Promoted]]="Yes",WorkforceData[[#This Row],[Total Days Worked]]&gt;=121)</x:f>
        <x:v>1</x:v>
      </x:c>
      <x:c r="AB301" s="33" t="n">
        <x:f>IF(AND(Q301="Terminated",R301="",O301=0),1,0)</x:f>
        <x:v>0</x:v>
      </x:c>
      <x:c r="AC301" s="33" t="n">
        <x:f>--OR(WorkforceData[[#This Row],[Status]]="Resigned",WorkforceData[[#This Row],[Status After Training]]="Withdrew")</x:f>
        <x:v>0</x:v>
      </x:c>
      <x:c r="AD301" s="34" t="n">
        <x:f>EOMONTH(WorkforceData[[#This Row],[Training Date]],0)</x:f>
        <x:v>45382</x:v>
      </x:c>
      <x:c r="AE301" s="32" t="str">
        <x:f>IF(M301&lt;H301,"Existing Employee",IF(U301="","No Assignment",IF(V301=0,"0 Days",IF(V301&lt;=7,"1-7 Days",IF(V301&lt;=14,"8-14 Days",IF(V301&lt;=21,"15-21 Days","21+ Days"))))))</x:f>
        <x:v>15-21 Days</x:v>
      </x:c>
      <x:c r="AF30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01" s="33" t="n">
        <x:f>--(WorkforceData[[#This Row],[Total Days Worked]]&gt;=121)</x:f>
        <x:v>1</x:v>
      </x:c>
    </x:row>
    <x:row r="302">
      <x:c r="A302" s="236" t="str">
        <x:v>TRN-0301</x:v>
      </x:c>
      <x:c r="B302" s="243"/>
      <x:c r="C302" s="243"/>
      <x:c r="D302" s="243"/>
      <x:c r="E302" s="243"/>
      <x:c r="F302" s="14" t="str">
        <x:v>Recruiter F</x:v>
      </x:c>
      <x:c r="G302" s="14" t="str">
        <x:v>Training Center A</x:v>
      </x:c>
      <x:c r="H302" s="28">
        <x:v>45365</x:v>
      </x:c>
      <x:c r="I302" s="14">
        <x:v>2024</x:v>
      </x:c>
      <x:c r="J302" s="14" t="s">
        <x:v>130</x:v>
      </x:c>
      <x:c r="K302" s="14">
        <x:v>20</x:v>
      </x:c>
      <x:c r="L302" s="29" t="s">
        <x:v>119</x:v>
      </x:c>
      <x:c r="M302" s="28">
        <x:v>45360</x:v>
      </x:c>
      <x:c r="N302" s="28">
        <x:v>45450</x:v>
      </x:c>
      <x:c r="O302" s="14">
        <x:v>90</x:v>
      </x:c>
      <x:c r="P302" s="14" t="s">
        <x:v>110</x:v>
      </x:c>
      <x:c r="Q302" s="14" t="s">
        <x:v>33</x:v>
      </x:c>
      <x:c r="R302" s="14" t="s">
        <x:v>121</x:v>
      </x:c>
      <x:c r="S302" s="14" t="s">
        <x:v>105</x:v>
      </x:c>
      <x:c r="T302" s="14" t="str">
        <x:v>Region C</x:v>
      </x:c>
      <x:c r="U302" s="28">
        <x:v>45395</x:v>
      </x:c>
      <x:c r="V302" s="30">
        <x:v>30</x:v>
      </x:c>
      <x:c r="W302" s="14" t="s">
        <x:v>112</x:v>
      </x:c>
      <x:c r="X302" s="14" t="s">
        <x:v>106</x:v>
      </x:c>
      <x:c r="Y302" s="32" t="str">
        <x:v>TRN-0301|20240314</x:v>
      </x:c>
      <x:c r="Z302" s="32" t="str" cm="1">
        <x:f t="array" ref="Z30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302" s="33" t="n">
        <x:f>--OR(WorkforceData[[#This Row],[Status]]="Active",WorkforceData[[#This Row],[Promoted]]="Yes",WorkforceData[[#This Row],[Total Days Worked]]&gt;=121)</x:f>
        <x:v>0</x:v>
      </x:c>
      <x:c r="AB302" s="33" t="n">
        <x:f>IF(AND(Q302="Terminated",R302="",O302=0),1,0)</x:f>
        <x:v>0</x:v>
      </x:c>
      <x:c r="AC302" s="33" t="n">
        <x:f>--OR(WorkforceData[[#This Row],[Status]]="Resigned",WorkforceData[[#This Row],[Status After Training]]="Withdrew")</x:f>
        <x:v>0</x:v>
      </x:c>
      <x:c r="AD302" s="34" t="n">
        <x:f>EOMONTH(WorkforceData[[#This Row],[Training Date]],0)</x:f>
        <x:v>45382</x:v>
      </x:c>
      <x:c r="AE302" s="32" t="str">
        <x:f>IF(M302&lt;H302,"Existing Employee",IF(U302="","No Assignment",IF(V302=0,"0 Days",IF(V302&lt;=7,"1-7 Days",IF(V302&lt;=14,"8-14 Days",IF(V302&lt;=21,"15-21 Days","21+ Days"))))))</x:f>
        <x:v>Existing Employee</x:v>
      </x:c>
      <x:c r="AF30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61-90 Days</x:v>
      </x:c>
      <x:c r="AG302" s="33" t="n">
        <x:f>--(WorkforceData[[#This Row],[Total Days Worked]]&gt;=121)</x:f>
        <x:v>0</x:v>
      </x:c>
    </x:row>
    <x:row r="303">
      <x:c r="A303" s="236" t="str">
        <x:v>TRN-0302</x:v>
      </x:c>
      <x:c r="B303" s="243"/>
      <x:c r="C303" s="243"/>
      <x:c r="D303" s="243"/>
      <x:c r="E303" s="243"/>
      <x:c r="F303" s="14" t="str">
        <x:v>Recruiter H</x:v>
      </x:c>
      <x:c r="G303" s="14" t="str">
        <x:v>Training Center A</x:v>
      </x:c>
      <x:c r="H303" s="28">
        <x:v>45365</x:v>
      </x:c>
      <x:c r="I303" s="14">
        <x:v>2024</x:v>
      </x:c>
      <x:c r="J303" s="14" t="s">
        <x:v>130</x:v>
      </x:c>
      <x:c r="K303" s="14">
        <x:v>20</x:v>
      </x:c>
      <x:c r="L303" s="29" t="s">
        <x:v>119</x:v>
      </x:c>
      <x:c r="M303" s="28">
        <x:v>45365</x:v>
      </x:c>
      <x:c r="N303" s="14"/>
      <x:c r="O303" s="14">
        <x:v>886</x:v>
      </x:c>
      <x:c r="P303" s="14" t="s">
        <x:v>122</x:v>
      </x:c>
      <x:c r="Q303" s="14" t="s">
        <x:v>38</x:v>
      </x:c>
      <x:c r="R303" s="14"/>
      <x:c r="S303" s="14" t="s">
        <x:v>108</x:v>
      </x:c>
      <x:c r="T303" s="14" t="str">
        <x:v>Region C</x:v>
      </x:c>
      <x:c r="U303" s="28">
        <x:v>45378</x:v>
      </x:c>
      <x:c r="V303" s="30">
        <x:v>13</x:v>
      </x:c>
      <x:c r="W303" s="14" t="s">
        <x:v>45</x:v>
      </x:c>
      <x:c r="X303" s="14" t="s">
        <x:v>106</x:v>
      </x:c>
      <x:c r="Y303" s="32" t="str">
        <x:v>TRN-0302|20240314</x:v>
      </x:c>
      <x:c r="Z303" s="32" t="str" cm="1">
        <x:f t="array" ref="Z30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303" s="33" t="n">
        <x:f>--OR(WorkforceData[[#This Row],[Status]]="Active",WorkforceData[[#This Row],[Promoted]]="Yes",WorkforceData[[#This Row],[Total Days Worked]]&gt;=121)</x:f>
        <x:v>1</x:v>
      </x:c>
      <x:c r="AB303" s="33" t="n">
        <x:f>IF(AND(Q303="Terminated",R303="",O303=0),1,0)</x:f>
        <x:v>0</x:v>
      </x:c>
      <x:c r="AC303" s="33" t="n">
        <x:f>--OR(WorkforceData[[#This Row],[Status]]="Resigned",WorkforceData[[#This Row],[Status After Training]]="Withdrew")</x:f>
        <x:v>0</x:v>
      </x:c>
      <x:c r="AD303" s="34" t="n">
        <x:f>EOMONTH(WorkforceData[[#This Row],[Training Date]],0)</x:f>
        <x:v>45382</x:v>
      </x:c>
      <x:c r="AE303" s="32" t="str">
        <x:f>IF(M303&lt;H303,"Existing Employee",IF(U303="","No Assignment",IF(V303=0,"0 Days",IF(V303&lt;=7,"1-7 Days",IF(V303&lt;=14,"8-14 Days",IF(V303&lt;=21,"15-21 Days","21+ Days"))))))</x:f>
        <x:v>8-14 Days</x:v>
      </x:c>
      <x:c r="AF30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03" s="33" t="n">
        <x:f>--(WorkforceData[[#This Row],[Total Days Worked]]&gt;=121)</x:f>
        <x:v>1</x:v>
      </x:c>
    </x:row>
    <x:row r="304">
      <x:c r="A304" s="236" t="str">
        <x:v>TRN-0303</x:v>
      </x:c>
      <x:c r="B304" s="243"/>
      <x:c r="C304" s="243"/>
      <x:c r="D304" s="243"/>
      <x:c r="E304" s="243"/>
      <x:c r="F304" s="14" t="str">
        <x:v>Recruiter H</x:v>
      </x:c>
      <x:c r="G304" s="14" t="str">
        <x:v>Training Center A</x:v>
      </x:c>
      <x:c r="H304" s="28">
        <x:v>45365</x:v>
      </x:c>
      <x:c r="I304" s="14">
        <x:v>2024</x:v>
      </x:c>
      <x:c r="J304" s="14" t="s">
        <x:v>130</x:v>
      </x:c>
      <x:c r="K304" s="14">
        <x:v>20</x:v>
      </x:c>
      <x:c r="L304" s="29" t="s">
        <x:v>119</x:v>
      </x:c>
      <x:c r="M304" s="28">
        <x:v>45365</x:v>
      </x:c>
      <x:c r="N304" s="28">
        <x:v>45651</x:v>
      </x:c>
      <x:c r="O304" s="14">
        <x:v>286</x:v>
      </x:c>
      <x:c r="P304" s="14" t="s">
        <x:v>107</x:v>
      </x:c>
      <x:c r="Q304" s="14" t="s">
        <x:v>103</x:v>
      </x:c>
      <x:c r="R304" s="14" t="s">
        <x:v>104</x:v>
      </x:c>
      <x:c r="S304" s="14" t="s">
        <x:v>108</x:v>
      </x:c>
      <x:c r="T304" s="14" t="str">
        <x:v>Region A</x:v>
      </x:c>
      <x:c r="U304" s="28">
        <x:v>45423</x:v>
      </x:c>
      <x:c r="V304" s="30">
        <x:v>58</x:v>
      </x:c>
      <x:c r="W304" s="14" t="s">
        <x:v>63</x:v>
      </x:c>
      <x:c r="X304" s="14" t="s">
        <x:v>117</x:v>
      </x:c>
      <x:c r="Y304" s="32" t="str">
        <x:v>TRN-0303|20240314</x:v>
      </x:c>
      <x:c r="Z304" s="32" t="str" cm="1">
        <x:f t="array" ref="Z30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304" s="33" t="n">
        <x:f>--OR(WorkforceData[[#This Row],[Status]]="Active",WorkforceData[[#This Row],[Promoted]]="Yes",WorkforceData[[#This Row],[Total Days Worked]]&gt;=121)</x:f>
        <x:v>1</x:v>
      </x:c>
      <x:c r="AB304" s="33" t="n">
        <x:f>IF(AND(Q304="Terminated",R304="",O304=0),1,0)</x:f>
        <x:v>0</x:v>
      </x:c>
      <x:c r="AC304" s="33" t="n">
        <x:f>--OR(WorkforceData[[#This Row],[Status]]="Resigned",WorkforceData[[#This Row],[Status After Training]]="Withdrew")</x:f>
        <x:v>1</x:v>
      </x:c>
      <x:c r="AD304" s="34" t="n">
        <x:f>EOMONTH(WorkforceData[[#This Row],[Training Date]],0)</x:f>
        <x:v>45382</x:v>
      </x:c>
      <x:c r="AE304" s="32" t="str">
        <x:f>IF(M304&lt;H304,"Existing Employee",IF(U304="","No Assignment",IF(V304=0,"0 Days",IF(V304&lt;=7,"1-7 Days",IF(V304&lt;=14,"8-14 Days",IF(V304&lt;=21,"15-21 Days","21+ Days"))))))</x:f>
        <x:v>21+ Days</x:v>
      </x:c>
      <x:c r="AF30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04" s="33" t="n">
        <x:f>--(WorkforceData[[#This Row],[Total Days Worked]]&gt;=121)</x:f>
        <x:v>1</x:v>
      </x:c>
    </x:row>
    <x:row r="305">
      <x:c r="A305" s="236" t="str">
        <x:v>TRN-0304</x:v>
      </x:c>
      <x:c r="B305" s="243"/>
      <x:c r="C305" s="243"/>
      <x:c r="D305" s="243"/>
      <x:c r="E305" s="243"/>
      <x:c r="F305" s="14" t="str">
        <x:v>Recruiter A</x:v>
      </x:c>
      <x:c r="G305" s="14" t="str">
        <x:v>Training Center A</x:v>
      </x:c>
      <x:c r="H305" s="28">
        <x:v>45365</x:v>
      </x:c>
      <x:c r="I305" s="14">
        <x:v>2024</x:v>
      </x:c>
      <x:c r="J305" s="14" t="s">
        <x:v>130</x:v>
      </x:c>
      <x:c r="K305" s="14">
        <x:v>20</x:v>
      </x:c>
      <x:c r="L305" s="29" t="s">
        <x:v>119</x:v>
      </x:c>
      <x:c r="M305" s="28">
        <x:v>45365</x:v>
      </x:c>
      <x:c r="N305" s="14"/>
      <x:c r="O305" s="14">
        <x:v>886</x:v>
      </x:c>
      <x:c r="P305" s="14" t="s">
        <x:v>122</x:v>
      </x:c>
      <x:c r="Q305" s="14" t="s">
        <x:v>25</x:v>
      </x:c>
      <x:c r="R305" s="14"/>
      <x:c r="S305" s="14" t="s">
        <x:v>108</x:v>
      </x:c>
      <x:c r="T305" s="14" t="str">
        <x:v>Region D</x:v>
      </x:c>
      <x:c r="U305" s="28">
        <x:v>45375</x:v>
      </x:c>
      <x:c r="V305" s="30">
        <x:v>10</x:v>
      </x:c>
      <x:c r="W305" s="14" t="s">
        <x:v>45</x:v>
      </x:c>
      <x:c r="X305" s="14" t="s">
        <x:v>106</x:v>
      </x:c>
      <x:c r="Y305" s="32" t="str">
        <x:v>TRN-0304|20240314</x:v>
      </x:c>
      <x:c r="Z305" s="32" t="str" cm="1">
        <x:f t="array" ref="Z30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305" s="33" t="n">
        <x:f>--OR(WorkforceData[[#This Row],[Status]]="Active",WorkforceData[[#This Row],[Promoted]]="Yes",WorkforceData[[#This Row],[Total Days Worked]]&gt;=121)</x:f>
        <x:v>1</x:v>
      </x:c>
      <x:c r="AB305" s="33" t="n">
        <x:f>IF(AND(Q305="Terminated",R305="",O305=0),1,0)</x:f>
        <x:v>0</x:v>
      </x:c>
      <x:c r="AC305" s="33" t="n">
        <x:f>--OR(WorkforceData[[#This Row],[Status]]="Resigned",WorkforceData[[#This Row],[Status After Training]]="Withdrew")</x:f>
        <x:v>0</x:v>
      </x:c>
      <x:c r="AD305" s="34" t="n">
        <x:f>EOMONTH(WorkforceData[[#This Row],[Training Date]],0)</x:f>
        <x:v>45382</x:v>
      </x:c>
      <x:c r="AE305" s="32" t="str">
        <x:f>IF(M305&lt;H305,"Existing Employee",IF(U305="","No Assignment",IF(V305=0,"0 Days",IF(V305&lt;=7,"1-7 Days",IF(V305&lt;=14,"8-14 Days",IF(V305&lt;=21,"15-21 Days","21+ Days"))))))</x:f>
        <x:v>8-14 Days</x:v>
      </x:c>
      <x:c r="AF30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05" s="33" t="n">
        <x:f>--(WorkforceData[[#This Row],[Total Days Worked]]&gt;=121)</x:f>
        <x:v>1</x:v>
      </x:c>
    </x:row>
    <x:row r="306">
      <x:c r="A306" s="236" t="str">
        <x:v>TRN-0305</x:v>
      </x:c>
      <x:c r="B306" s="243"/>
      <x:c r="C306" s="243"/>
      <x:c r="D306" s="243"/>
      <x:c r="E306" s="243"/>
      <x:c r="F306" s="14" t="str">
        <x:v>Recruiter F</x:v>
      </x:c>
      <x:c r="G306" s="14" t="str">
        <x:v>Training Center A</x:v>
      </x:c>
      <x:c r="H306" s="28">
        <x:v>45365</x:v>
      </x:c>
      <x:c r="I306" s="14">
        <x:v>2024</x:v>
      </x:c>
      <x:c r="J306" s="14" t="s">
        <x:v>130</x:v>
      </x:c>
      <x:c r="K306" s="14">
        <x:v>20</x:v>
      </x:c>
      <x:c r="L306" s="29" t="s">
        <x:v>119</x:v>
      </x:c>
      <x:c r="M306" s="28">
        <x:v>45365</x:v>
      </x:c>
      <x:c r="N306" s="28">
        <x:v>46166</x:v>
      </x:c>
      <x:c r="O306" s="14">
        <x:v>801</x:v>
      </x:c>
      <x:c r="P306" s="14" t="s">
        <x:v>122</x:v>
      </x:c>
      <x:c r="Q306" s="14" t="s">
        <x:v>103</x:v>
      </x:c>
      <x:c r="R306" s="14" t="s">
        <x:v>104</x:v>
      </x:c>
      <x:c r="S306" s="14" t="s">
        <x:v>108</x:v>
      </x:c>
      <x:c r="T306" s="14" t="str">
        <x:v>Region E</x:v>
      </x:c>
      <x:c r="U306" s="28">
        <x:v>45376</x:v>
      </x:c>
      <x:c r="V306" s="30">
        <x:v>11</x:v>
      </x:c>
      <x:c r="W306" s="14" t="s">
        <x:v>45</x:v>
      </x:c>
      <x:c r="X306" s="14" t="s">
        <x:v>106</x:v>
      </x:c>
      <x:c r="Y306" s="32" t="str">
        <x:v>TRN-0305|20240314</x:v>
      </x:c>
      <x:c r="Z306" s="32" t="str" cm="1">
        <x:f t="array" ref="Z30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306" s="33" t="n">
        <x:f>--OR(WorkforceData[[#This Row],[Status]]="Active",WorkforceData[[#This Row],[Promoted]]="Yes",WorkforceData[[#This Row],[Total Days Worked]]&gt;=121)</x:f>
        <x:v>1</x:v>
      </x:c>
      <x:c r="AB306" s="33" t="n">
        <x:f>IF(AND(Q306="Terminated",R306="",O306=0),1,0)</x:f>
        <x:v>0</x:v>
      </x:c>
      <x:c r="AC306" s="33" t="n">
        <x:f>--OR(WorkforceData[[#This Row],[Status]]="Resigned",WorkforceData[[#This Row],[Status After Training]]="Withdrew")</x:f>
        <x:v>1</x:v>
      </x:c>
      <x:c r="AD306" s="34" t="n">
        <x:f>EOMONTH(WorkforceData[[#This Row],[Training Date]],0)</x:f>
        <x:v>45382</x:v>
      </x:c>
      <x:c r="AE306" s="32" t="str">
        <x:f>IF(M306&lt;H306,"Existing Employee",IF(U306="","No Assignment",IF(V306=0,"0 Days",IF(V306&lt;=7,"1-7 Days",IF(V306&lt;=14,"8-14 Days",IF(V306&lt;=21,"15-21 Days","21+ Days"))))))</x:f>
        <x:v>8-14 Days</x:v>
      </x:c>
      <x:c r="AF30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06" s="33" t="n">
        <x:f>--(WorkforceData[[#This Row],[Total Days Worked]]&gt;=121)</x:f>
        <x:v>1</x:v>
      </x:c>
    </x:row>
    <x:row r="307">
      <x:c r="A307" s="236" t="str">
        <x:v>TRN-0306</x:v>
      </x:c>
      <x:c r="B307" s="243"/>
      <x:c r="C307" s="243"/>
      <x:c r="D307" s="243"/>
      <x:c r="E307" s="243"/>
      <x:c r="F307" s="14" t="str">
        <x:v>Recruiter A</x:v>
      </x:c>
      <x:c r="G307" s="14" t="str">
        <x:v>Training Center A</x:v>
      </x:c>
      <x:c r="H307" s="28">
        <x:v>45365</x:v>
      </x:c>
      <x:c r="I307" s="14">
        <x:v>2024</x:v>
      </x:c>
      <x:c r="J307" s="14" t="s">
        <x:v>130</x:v>
      </x:c>
      <x:c r="K307" s="14">
        <x:v>20</x:v>
      </x:c>
      <x:c r="L307" s="29" t="s">
        <x:v>119</x:v>
      </x:c>
      <x:c r="M307" s="28">
        <x:v>45365</x:v>
      </x:c>
      <x:c r="N307" s="28">
        <x:v>45383</x:v>
      </x:c>
      <x:c r="O307" s="14">
        <x:v>18</x:v>
      </x:c>
      <x:c r="P307" s="14" t="s">
        <x:v>102</x:v>
      </x:c>
      <x:c r="Q307" s="14" t="s">
        <x:v>103</x:v>
      </x:c>
      <x:c r="R307" s="14" t="s">
        <x:v>111</x:v>
      </x:c>
      <x:c r="S307" s="14" t="s">
        <x:v>105</x:v>
      </x:c>
      <x:c r="T307" s="14" t="str">
        <x:v>Region C</x:v>
      </x:c>
      <x:c r="U307" s="28">
        <x:v>45383</x:v>
      </x:c>
      <x:c r="V307" s="30">
        <x:v>18</x:v>
      </x:c>
      <x:c r="W307" s="14" t="s">
        <x:v>112</x:v>
      </x:c>
      <x:c r="X307" s="14" t="s">
        <x:v>106</x:v>
      </x:c>
      <x:c r="Y307" s="32" t="str">
        <x:v>TRN-0306|20240314</x:v>
      </x:c>
      <x:c r="Z307" s="32" t="str" cm="1">
        <x:f t="array" ref="Z30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307" s="33" t="n">
        <x:f>--OR(WorkforceData[[#This Row],[Status]]="Active",WorkforceData[[#This Row],[Promoted]]="Yes",WorkforceData[[#This Row],[Total Days Worked]]&gt;=121)</x:f>
        <x:v>0</x:v>
      </x:c>
      <x:c r="AB307" s="33" t="n">
        <x:f>IF(AND(Q307="Terminated",R307="",O307=0),1,0)</x:f>
        <x:v>0</x:v>
      </x:c>
      <x:c r="AC307" s="33" t="n">
        <x:f>--OR(WorkforceData[[#This Row],[Status]]="Resigned",WorkforceData[[#This Row],[Status After Training]]="Withdrew")</x:f>
        <x:v>1</x:v>
      </x:c>
      <x:c r="AD307" s="34" t="n">
        <x:f>EOMONTH(WorkforceData[[#This Row],[Training Date]],0)</x:f>
        <x:v>45382</x:v>
      </x:c>
      <x:c r="AE307" s="32" t="str">
        <x:f>IF(M307&lt;H307,"Existing Employee",IF(U307="","No Assignment",IF(V307=0,"0 Days",IF(V307&lt;=7,"1-7 Days",IF(V307&lt;=14,"8-14 Days",IF(V307&lt;=21,"15-21 Days","21+ Days"))))))</x:f>
        <x:v>15-21 Days</x:v>
      </x:c>
      <x:c r="AF30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307" s="33" t="n">
        <x:f>--(WorkforceData[[#This Row],[Total Days Worked]]&gt;=121)</x:f>
        <x:v>0</x:v>
      </x:c>
    </x:row>
    <x:row r="308">
      <x:c r="A308" s="236" t="str">
        <x:v>TRN-0307</x:v>
      </x:c>
      <x:c r="B308" s="243"/>
      <x:c r="C308" s="243"/>
      <x:c r="D308" s="243"/>
      <x:c r="E308" s="243"/>
      <x:c r="F308" s="14" t="str">
        <x:v>Recruiter H</x:v>
      </x:c>
      <x:c r="G308" s="14" t="str">
        <x:v>Training Center A</x:v>
      </x:c>
      <x:c r="H308" s="28">
        <x:v>45365</x:v>
      </x:c>
      <x:c r="I308" s="14">
        <x:v>2024</x:v>
      </x:c>
      <x:c r="J308" s="14" t="s">
        <x:v>130</x:v>
      </x:c>
      <x:c r="K308" s="14">
        <x:v>20</x:v>
      </x:c>
      <x:c r="L308" s="29" t="s">
        <x:v>119</x:v>
      </x:c>
      <x:c r="M308" s="28">
        <x:v>45358</x:v>
      </x:c>
      <x:c r="N308" s="14"/>
      <x:c r="O308" s="14">
        <x:v>893</x:v>
      </x:c>
      <x:c r="P308" s="14" t="s">
        <x:v>122</x:v>
      </x:c>
      <x:c r="Q308" s="14" t="s">
        <x:v>25</x:v>
      </x:c>
      <x:c r="R308" s="14"/>
      <x:c r="S308" s="14" t="s">
        <x:v>108</x:v>
      </x:c>
      <x:c r="T308" s="14" t="str">
        <x:v>Region C</x:v>
      </x:c>
      <x:c r="U308" s="28">
        <x:v>45381</x:v>
      </x:c>
      <x:c r="V308" s="30">
        <x:v>16</x:v>
      </x:c>
      <x:c r="W308" s="14" t="s">
        <x:v>112</x:v>
      </x:c>
      <x:c r="X308" s="14" t="s">
        <x:v>106</x:v>
      </x:c>
      <x:c r="Y308" s="32" t="str">
        <x:v>TRN-0307|20240314</x:v>
      </x:c>
      <x:c r="Z308" s="32" t="str" cm="1">
        <x:f t="array" ref="Z30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308" s="33" t="n">
        <x:f>--OR(WorkforceData[[#This Row],[Status]]="Active",WorkforceData[[#This Row],[Promoted]]="Yes",WorkforceData[[#This Row],[Total Days Worked]]&gt;=121)</x:f>
        <x:v>1</x:v>
      </x:c>
      <x:c r="AB308" s="33" t="n">
        <x:f>IF(AND(Q308="Terminated",R308="",O308=0),1,0)</x:f>
        <x:v>0</x:v>
      </x:c>
      <x:c r="AC308" s="33" t="n">
        <x:f>--OR(WorkforceData[[#This Row],[Status]]="Resigned",WorkforceData[[#This Row],[Status After Training]]="Withdrew")</x:f>
        <x:v>0</x:v>
      </x:c>
      <x:c r="AD308" s="34" t="n">
        <x:f>EOMONTH(WorkforceData[[#This Row],[Training Date]],0)</x:f>
        <x:v>45382</x:v>
      </x:c>
      <x:c r="AE308" s="32" t="str">
        <x:f>IF(M308&lt;H308,"Existing Employee",IF(U308="","No Assignment",IF(V308=0,"0 Days",IF(V308&lt;=7,"1-7 Days",IF(V308&lt;=14,"8-14 Days",IF(V308&lt;=21,"15-21 Days","21+ Days"))))))</x:f>
        <x:v>Existing Employee</x:v>
      </x:c>
      <x:c r="AF30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08" s="33" t="n">
        <x:f>--(WorkforceData[[#This Row],[Total Days Worked]]&gt;=121)</x:f>
        <x:v>1</x:v>
      </x:c>
    </x:row>
    <x:row r="309">
      <x:c r="A309" s="236" t="str">
        <x:v>TRN-0308</x:v>
      </x:c>
      <x:c r="B309" s="243"/>
      <x:c r="C309" s="243"/>
      <x:c r="D309" s="243"/>
      <x:c r="E309" s="243"/>
      <x:c r="F309" s="14" t="str">
        <x:v>Recruiter F</x:v>
      </x:c>
      <x:c r="G309" s="14" t="str">
        <x:v>Training Center A</x:v>
      </x:c>
      <x:c r="H309" s="28">
        <x:v>45365</x:v>
      </x:c>
      <x:c r="I309" s="14">
        <x:v>2024</x:v>
      </x:c>
      <x:c r="J309" s="14" t="s">
        <x:v>130</x:v>
      </x:c>
      <x:c r="K309" s="14">
        <x:v>20</x:v>
      </x:c>
      <x:c r="L309" s="29" t="s">
        <x:v>119</x:v>
      </x:c>
      <x:c r="M309" s="28">
        <x:v>45355</x:v>
      </x:c>
      <x:c r="N309" s="28">
        <x:v>45382</x:v>
      </x:c>
      <x:c r="O309" s="14">
        <x:v>27</x:v>
      </x:c>
      <x:c r="P309" s="14" t="s">
        <x:v>102</x:v>
      </x:c>
      <x:c r="Q309" s="14" t="s">
        <x:v>103</x:v>
      </x:c>
      <x:c r="R309" s="14" t="s">
        <x:v>111</x:v>
      </x:c>
      <x:c r="S309" s="14" t="s">
        <x:v>105</x:v>
      </x:c>
      <x:c r="T309" s="14" t="str">
        <x:v>Region B</x:v>
      </x:c>
      <x:c r="U309" s="28">
        <x:v>45382</x:v>
      </x:c>
      <x:c r="V309" s="30">
        <x:v>17</x:v>
      </x:c>
      <x:c r="W309" s="14" t="s">
        <x:v>112</x:v>
      </x:c>
      <x:c r="X309" s="14" t="s">
        <x:v>106</x:v>
      </x:c>
      <x:c r="Y309" s="32" t="str">
        <x:v>TRN-0308|20240314</x:v>
      </x:c>
      <x:c r="Z309" s="32" t="str" cm="1">
        <x:f t="array" ref="Z30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309" s="33" t="n">
        <x:f>--OR(WorkforceData[[#This Row],[Status]]="Active",WorkforceData[[#This Row],[Promoted]]="Yes",WorkforceData[[#This Row],[Total Days Worked]]&gt;=121)</x:f>
        <x:v>0</x:v>
      </x:c>
      <x:c r="AB309" s="33" t="n">
        <x:f>IF(AND(Q309="Terminated",R309="",O309=0),1,0)</x:f>
        <x:v>0</x:v>
      </x:c>
      <x:c r="AC309" s="33" t="n">
        <x:f>--OR(WorkforceData[[#This Row],[Status]]="Resigned",WorkforceData[[#This Row],[Status After Training]]="Withdrew")</x:f>
        <x:v>1</x:v>
      </x:c>
      <x:c r="AD309" s="34" t="n">
        <x:f>EOMONTH(WorkforceData[[#This Row],[Training Date]],0)</x:f>
        <x:v>45382</x:v>
      </x:c>
      <x:c r="AE309" s="32" t="str">
        <x:f>IF(M309&lt;H309,"Existing Employee",IF(U309="","No Assignment",IF(V309=0,"0 Days",IF(V309&lt;=7,"1-7 Days",IF(V309&lt;=14,"8-14 Days",IF(V309&lt;=21,"15-21 Days","21+ Days"))))))</x:f>
        <x:v>Existing Employee</x:v>
      </x:c>
      <x:c r="AF30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309" s="33" t="n">
        <x:f>--(WorkforceData[[#This Row],[Total Days Worked]]&gt;=121)</x:f>
        <x:v>0</x:v>
      </x:c>
    </x:row>
    <x:row r="310">
      <x:c r="A310" s="236" t="str">
        <x:v>TRN-0309</x:v>
      </x:c>
      <x:c r="B310" s="243"/>
      <x:c r="C310" s="243"/>
      <x:c r="D310" s="243"/>
      <x:c r="E310" s="243"/>
      <x:c r="F310" s="14" t="str">
        <x:v>Recruiter A</x:v>
      </x:c>
      <x:c r="G310" s="14" t="str">
        <x:v>Training Center A</x:v>
      </x:c>
      <x:c r="H310" s="28">
        <x:v>45365</x:v>
      </x:c>
      <x:c r="I310" s="14">
        <x:v>2024</x:v>
      </x:c>
      <x:c r="J310" s="14" t="s">
        <x:v>130</x:v>
      </x:c>
      <x:c r="K310" s="14">
        <x:v>20</x:v>
      </x:c>
      <x:c r="L310" s="29" t="s">
        <x:v>119</x:v>
      </x:c>
      <x:c r="M310" s="28">
        <x:v>45365</x:v>
      </x:c>
      <x:c r="N310" s="28">
        <x:v>45499</x:v>
      </x:c>
      <x:c r="O310" s="14">
        <x:v>134</x:v>
      </x:c>
      <x:c r="P310" s="14" t="s">
        <x:v>113</x:v>
      </x:c>
      <x:c r="Q310" s="14" t="s">
        <x:v>103</x:v>
      </x:c>
      <x:c r="R310" s="14" t="s">
        <x:v>104</x:v>
      </x:c>
      <x:c r="S310" s="14" t="s">
        <x:v>105</x:v>
      </x:c>
      <x:c r="T310" s="14" t="str">
        <x:v>Region D</x:v>
      </x:c>
      <x:c r="U310" s="28">
        <x:v>45372</x:v>
      </x:c>
      <x:c r="V310" s="30">
        <x:v>7</x:v>
      </x:c>
      <x:c r="W310" s="14" t="s">
        <x:v>109</x:v>
      </x:c>
      <x:c r="X310" s="14" t="s">
        <x:v>106</x:v>
      </x:c>
      <x:c r="Y310" s="32" t="str">
        <x:v>TRN-0309|20240314</x:v>
      </x:c>
      <x:c r="Z310" s="32" t="str" cm="1">
        <x:f t="array" ref="Z31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Complete</x:v>
      </x:c>
      <x:c r="AA310" s="33" t="n">
        <x:f>--OR(WorkforceData[[#This Row],[Status]]="Active",WorkforceData[[#This Row],[Promoted]]="Yes",WorkforceData[[#This Row],[Total Days Worked]]&gt;=121)</x:f>
        <x:v>1</x:v>
      </x:c>
      <x:c r="AB310" s="33" t="n">
        <x:f>IF(AND(Q310="Terminated",R310="",O310=0),1,0)</x:f>
        <x:v>0</x:v>
      </x:c>
      <x:c r="AC310" s="33" t="n">
        <x:f>--OR(WorkforceData[[#This Row],[Status]]="Resigned",WorkforceData[[#This Row],[Status After Training]]="Withdrew")</x:f>
        <x:v>1</x:v>
      </x:c>
      <x:c r="AD310" s="34" t="n">
        <x:f>EOMONTH(WorkforceData[[#This Row],[Training Date]],0)</x:f>
        <x:v>45382</x:v>
      </x:c>
      <x:c r="AE310" s="32" t="str">
        <x:f>IF(M310&lt;H310,"Existing Employee",IF(U310="","No Assignment",IF(V310=0,"0 Days",IF(V310&lt;=7,"1-7 Days",IF(V310&lt;=14,"8-14 Days",IF(V310&lt;=21,"15-21 Days","21+ Days"))))))</x:f>
        <x:v>1-7 Days</x:v>
      </x:c>
      <x:c r="AF31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10" s="33" t="n">
        <x:f>--(WorkforceData[[#This Row],[Total Days Worked]]&gt;=121)</x:f>
        <x:v>1</x:v>
      </x:c>
    </x:row>
    <x:row r="311">
      <x:c r="A311" s="236" t="str">
        <x:v>TRN-0310</x:v>
      </x:c>
      <x:c r="B311" s="243"/>
      <x:c r="C311" s="243"/>
      <x:c r="D311" s="243"/>
      <x:c r="E311" s="243"/>
      <x:c r="F311" s="14" t="str">
        <x:v>Recruiter G</x:v>
      </x:c>
      <x:c r="G311" s="14" t="str">
        <x:v>Training Center A</x:v>
      </x:c>
      <x:c r="H311" s="28">
        <x:v>45365</x:v>
      </x:c>
      <x:c r="I311" s="14">
        <x:v>2024</x:v>
      </x:c>
      <x:c r="J311" s="14" t="s">
        <x:v>130</x:v>
      </x:c>
      <x:c r="K311" s="14">
        <x:v>20</x:v>
      </x:c>
      <x:c r="L311" s="29" t="s">
        <x:v>119</x:v>
      </x:c>
      <x:c r="M311" s="28">
        <x:v>45360</x:v>
      </x:c>
      <x:c r="N311" s="28">
        <x:v>45586</x:v>
      </x:c>
      <x:c r="O311" s="14">
        <x:v>226</x:v>
      </x:c>
      <x:c r="P311" s="14" t="s">
        <x:v>107</x:v>
      </x:c>
      <x:c r="Q311" s="14" t="s">
        <x:v>33</x:v>
      </x:c>
      <x:c r="R311" s="14" t="s">
        <x:v>116</x:v>
      </x:c>
      <x:c r="S311" s="14" t="s">
        <x:v>108</x:v>
      </x:c>
      <x:c r="T311" s="14" t="str">
        <x:v>Region B</x:v>
      </x:c>
      <x:c r="U311" s="28">
        <x:v>45366</x:v>
      </x:c>
      <x:c r="V311" s="30">
        <x:v>1</x:v>
      </x:c>
      <x:c r="W311" s="14" t="s">
        <x:v>109</x:v>
      </x:c>
      <x:c r="X311" s="14" t="s">
        <x:v>106</x:v>
      </x:c>
      <x:c r="Y311" s="32" t="str">
        <x:v>TRN-0310|20240314</x:v>
      </x:c>
      <x:c r="Z311" s="32" t="str" cm="1">
        <x:f t="array" ref="Z31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311" s="33" t="n">
        <x:f>--OR(WorkforceData[[#This Row],[Status]]="Active",WorkforceData[[#This Row],[Promoted]]="Yes",WorkforceData[[#This Row],[Total Days Worked]]&gt;=121)</x:f>
        <x:v>1</x:v>
      </x:c>
      <x:c r="AB311" s="33" t="n">
        <x:f>IF(AND(Q311="Terminated",R311="",O311=0),1,0)</x:f>
        <x:v>0</x:v>
      </x:c>
      <x:c r="AC311" s="33" t="n">
        <x:f>--OR(WorkforceData[[#This Row],[Status]]="Resigned",WorkforceData[[#This Row],[Status After Training]]="Withdrew")</x:f>
        <x:v>0</x:v>
      </x:c>
      <x:c r="AD311" s="34" t="n">
        <x:f>EOMONTH(WorkforceData[[#This Row],[Training Date]],0)</x:f>
        <x:v>45382</x:v>
      </x:c>
      <x:c r="AE311" s="32" t="str">
        <x:f>IF(M311&lt;H311,"Existing Employee",IF(U311="","No Assignment",IF(V311=0,"0 Days",IF(V311&lt;=7,"1-7 Days",IF(V311&lt;=14,"8-14 Days",IF(V311&lt;=21,"15-21 Days","21+ Days"))))))</x:f>
        <x:v>Existing Employee</x:v>
      </x:c>
      <x:c r="AF31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11" s="33" t="n">
        <x:f>--(WorkforceData[[#This Row],[Total Days Worked]]&gt;=121)</x:f>
        <x:v>1</x:v>
      </x:c>
    </x:row>
    <x:row r="312">
      <x:c r="A312" s="236" t="str">
        <x:v>TRN-0311</x:v>
      </x:c>
      <x:c r="B312" s="243"/>
      <x:c r="C312" s="243"/>
      <x:c r="D312" s="243"/>
      <x:c r="E312" s="243"/>
      <x:c r="F312" s="14" t="str">
        <x:v>Recruiter B</x:v>
      </x:c>
      <x:c r="G312" s="14" t="str">
        <x:v>Training Center A</x:v>
      </x:c>
      <x:c r="H312" s="28">
        <x:v>45365</x:v>
      </x:c>
      <x:c r="I312" s="14">
        <x:v>2024</x:v>
      </x:c>
      <x:c r="J312" s="14" t="s">
        <x:v>130</x:v>
      </x:c>
      <x:c r="K312" s="14">
        <x:v>20</x:v>
      </x:c>
      <x:c r="L312" s="29" t="s">
        <x:v>119</x:v>
      </x:c>
      <x:c r="M312" s="28">
        <x:v>45360</x:v>
      </x:c>
      <x:c r="N312" s="14"/>
      <x:c r="O312" s="14">
        <x:v>891</x:v>
      </x:c>
      <x:c r="P312" s="14" t="s">
        <x:v>122</x:v>
      </x:c>
      <x:c r="Q312" s="14" t="s">
        <x:v>25</x:v>
      </x:c>
      <x:c r="R312" s="14"/>
      <x:c r="S312" s="14" t="s">
        <x:v>108</x:v>
      </x:c>
      <x:c r="T312" s="14" t="str">
        <x:v>Region A</x:v>
      </x:c>
      <x:c r="U312" s="28">
        <x:v>45379</x:v>
      </x:c>
      <x:c r="V312" s="30">
        <x:v>14</x:v>
      </x:c>
      <x:c r="W312" s="14" t="s">
        <x:v>45</x:v>
      </x:c>
      <x:c r="X312" s="14" t="s">
        <x:v>106</x:v>
      </x:c>
      <x:c r="Y312" s="32" t="str">
        <x:v>TRN-0311|20240314</x:v>
      </x:c>
      <x:c r="Z312" s="32" t="str" cm="1">
        <x:f t="array" ref="Z31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312" s="33" t="n">
        <x:f>--OR(WorkforceData[[#This Row],[Status]]="Active",WorkforceData[[#This Row],[Promoted]]="Yes",WorkforceData[[#This Row],[Total Days Worked]]&gt;=121)</x:f>
        <x:v>1</x:v>
      </x:c>
      <x:c r="AB312" s="33" t="n">
        <x:f>IF(AND(Q312="Terminated",R312="",O312=0),1,0)</x:f>
        <x:v>0</x:v>
      </x:c>
      <x:c r="AC312" s="33" t="n">
        <x:f>--OR(WorkforceData[[#This Row],[Status]]="Resigned",WorkforceData[[#This Row],[Status After Training]]="Withdrew")</x:f>
        <x:v>0</x:v>
      </x:c>
      <x:c r="AD312" s="34" t="n">
        <x:f>EOMONTH(WorkforceData[[#This Row],[Training Date]],0)</x:f>
        <x:v>45382</x:v>
      </x:c>
      <x:c r="AE312" s="32" t="str">
        <x:f>IF(M312&lt;H312,"Existing Employee",IF(U312="","No Assignment",IF(V312=0,"0 Days",IF(V312&lt;=7,"1-7 Days",IF(V312&lt;=14,"8-14 Days",IF(V312&lt;=21,"15-21 Days","21+ Days"))))))</x:f>
        <x:v>Existing Employee</x:v>
      </x:c>
      <x:c r="AF31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12" s="33" t="n">
        <x:f>--(WorkforceData[[#This Row],[Total Days Worked]]&gt;=121)</x:f>
        <x:v>1</x:v>
      </x:c>
    </x:row>
    <x:row r="313">
      <x:c r="A313" s="236" t="str">
        <x:v>TRN-0312</x:v>
      </x:c>
      <x:c r="B313" s="243"/>
      <x:c r="C313" s="243"/>
      <x:c r="D313" s="243"/>
      <x:c r="E313" s="243"/>
      <x:c r="F313" s="14" t="str">
        <x:v>Recruiter H</x:v>
      </x:c>
      <x:c r="G313" s="14" t="str">
        <x:v>Training Center A</x:v>
      </x:c>
      <x:c r="H313" s="28">
        <x:v>45365</x:v>
      </x:c>
      <x:c r="I313" s="14">
        <x:v>2024</x:v>
      </x:c>
      <x:c r="J313" s="14" t="s">
        <x:v>130</x:v>
      </x:c>
      <x:c r="K313" s="14">
        <x:v>20</x:v>
      </x:c>
      <x:c r="L313" s="29" t="s">
        <x:v>119</x:v>
      </x:c>
      <x:c r="M313" s="28">
        <x:v>45362</x:v>
      </x:c>
      <x:c r="N313" s="14"/>
      <x:c r="O313" s="14">
        <x:v>889</x:v>
      </x:c>
      <x:c r="P313" s="14" t="s">
        <x:v>122</x:v>
      </x:c>
      <x:c r="Q313" s="14" t="s">
        <x:v>25</x:v>
      </x:c>
      <x:c r="R313" s="14"/>
      <x:c r="S313" s="14" t="s">
        <x:v>108</x:v>
      </x:c>
      <x:c r="T313" s="14" t="str">
        <x:v>Region D</x:v>
      </x:c>
      <x:c r="U313" s="28">
        <x:v>45423</x:v>
      </x:c>
      <x:c r="V313" s="30">
        <x:v>58</x:v>
      </x:c>
      <x:c r="W313" s="14" t="s">
        <x:v>63</x:v>
      </x:c>
      <x:c r="X313" s="14" t="s">
        <x:v>117</x:v>
      </x:c>
      <x:c r="Y313" s="32" t="str">
        <x:v>TRN-0312|20240314</x:v>
      </x:c>
      <x:c r="Z313" s="32" t="str" cm="1">
        <x:f t="array" ref="Z31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313" s="33" t="n">
        <x:f>--OR(WorkforceData[[#This Row],[Status]]="Active",WorkforceData[[#This Row],[Promoted]]="Yes",WorkforceData[[#This Row],[Total Days Worked]]&gt;=121)</x:f>
        <x:v>1</x:v>
      </x:c>
      <x:c r="AB313" s="33" t="n">
        <x:f>IF(AND(Q313="Terminated",R313="",O313=0),1,0)</x:f>
        <x:v>0</x:v>
      </x:c>
      <x:c r="AC313" s="33" t="n">
        <x:f>--OR(WorkforceData[[#This Row],[Status]]="Resigned",WorkforceData[[#This Row],[Status After Training]]="Withdrew")</x:f>
        <x:v>0</x:v>
      </x:c>
      <x:c r="AD313" s="34" t="n">
        <x:f>EOMONTH(WorkforceData[[#This Row],[Training Date]],0)</x:f>
        <x:v>45382</x:v>
      </x:c>
      <x:c r="AE313" s="32" t="str">
        <x:f>IF(M313&lt;H313,"Existing Employee",IF(U313="","No Assignment",IF(V313=0,"0 Days",IF(V313&lt;=7,"1-7 Days",IF(V313&lt;=14,"8-14 Days",IF(V313&lt;=21,"15-21 Days","21+ Days"))))))</x:f>
        <x:v>Existing Employee</x:v>
      </x:c>
      <x:c r="AF31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13" s="33" t="n">
        <x:f>--(WorkforceData[[#This Row],[Total Days Worked]]&gt;=121)</x:f>
        <x:v>1</x:v>
      </x:c>
    </x:row>
    <x:row r="314">
      <x:c r="A314" s="236" t="str">
        <x:v>TRN-0313</x:v>
      </x:c>
      <x:c r="B314" s="243"/>
      <x:c r="C314" s="243"/>
      <x:c r="D314" s="243"/>
      <x:c r="E314" s="243"/>
      <x:c r="F314" s="14" t="str">
        <x:v>Recruiter H</x:v>
      </x:c>
      <x:c r="G314" s="14" t="str">
        <x:v>Training Center A</x:v>
      </x:c>
      <x:c r="H314" s="28">
        <x:v>45365</x:v>
      </x:c>
      <x:c r="I314" s="14">
        <x:v>2024</x:v>
      </x:c>
      <x:c r="J314" s="14" t="s">
        <x:v>130</x:v>
      </x:c>
      <x:c r="K314" s="14">
        <x:v>20</x:v>
      </x:c>
      <x:c r="L314" s="29" t="s">
        <x:v>119</x:v>
      </x:c>
      <x:c r="M314" s="28">
        <x:v>45365</x:v>
      </x:c>
      <x:c r="N314" s="14"/>
      <x:c r="O314" s="14">
        <x:v>886</x:v>
      </x:c>
      <x:c r="P314" s="14" t="s">
        <x:v>122</x:v>
      </x:c>
      <x:c r="Q314" s="14" t="s">
        <x:v>25</x:v>
      </x:c>
      <x:c r="R314" s="14"/>
      <x:c r="S314" s="14" t="s">
        <x:v>108</x:v>
      </x:c>
      <x:c r="T314" s="14" t="str">
        <x:v>Region D</x:v>
      </x:c>
      <x:c r="U314" s="28">
        <x:v>45368</x:v>
      </x:c>
      <x:c r="V314" s="30">
        <x:v>3</x:v>
      </x:c>
      <x:c r="W314" s="14" t="s">
        <x:v>109</x:v>
      </x:c>
      <x:c r="X314" s="14" t="s">
        <x:v>106</x:v>
      </x:c>
      <x:c r="Y314" s="32" t="str">
        <x:v>TRN-0313|20240314</x:v>
      </x:c>
      <x:c r="Z314" s="32" t="str" cm="1">
        <x:f t="array" ref="Z31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314" s="33" t="n">
        <x:f>--OR(WorkforceData[[#This Row],[Status]]="Active",WorkforceData[[#This Row],[Promoted]]="Yes",WorkforceData[[#This Row],[Total Days Worked]]&gt;=121)</x:f>
        <x:v>1</x:v>
      </x:c>
      <x:c r="AB314" s="33" t="n">
        <x:f>IF(AND(Q314="Terminated",R314="",O314=0),1,0)</x:f>
        <x:v>0</x:v>
      </x:c>
      <x:c r="AC314" s="33" t="n">
        <x:f>--OR(WorkforceData[[#This Row],[Status]]="Resigned",WorkforceData[[#This Row],[Status After Training]]="Withdrew")</x:f>
        <x:v>0</x:v>
      </x:c>
      <x:c r="AD314" s="34" t="n">
        <x:f>EOMONTH(WorkforceData[[#This Row],[Training Date]],0)</x:f>
        <x:v>45382</x:v>
      </x:c>
      <x:c r="AE314" s="32" t="str">
        <x:f>IF(M314&lt;H314,"Existing Employee",IF(U314="","No Assignment",IF(V314=0,"0 Days",IF(V314&lt;=7,"1-7 Days",IF(V314&lt;=14,"8-14 Days",IF(V314&lt;=21,"15-21 Days","21+ Days"))))))</x:f>
        <x:v>1-7 Days</x:v>
      </x:c>
      <x:c r="AF31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14" s="33" t="n">
        <x:f>--(WorkforceData[[#This Row],[Total Days Worked]]&gt;=121)</x:f>
        <x:v>1</x:v>
      </x:c>
    </x:row>
    <x:row r="315">
      <x:c r="A315" s="236" t="str">
        <x:v>TRN-0314</x:v>
      </x:c>
      <x:c r="B315" s="243"/>
      <x:c r="C315" s="243"/>
      <x:c r="D315" s="243"/>
      <x:c r="E315" s="243"/>
      <x:c r="F315" s="14" t="str">
        <x:v>Recruiter B</x:v>
      </x:c>
      <x:c r="G315" s="14" t="str">
        <x:v>Training Center A</x:v>
      </x:c>
      <x:c r="H315" s="28">
        <x:v>45365</x:v>
      </x:c>
      <x:c r="I315" s="14">
        <x:v>2024</x:v>
      </x:c>
      <x:c r="J315" s="14" t="s">
        <x:v>130</x:v>
      </x:c>
      <x:c r="K315" s="14">
        <x:v>20</x:v>
      </x:c>
      <x:c r="L315" s="29" t="s">
        <x:v>119</x:v>
      </x:c>
      <x:c r="M315" s="28">
        <x:v>45365</x:v>
      </x:c>
      <x:c r="N315" s="14"/>
      <x:c r="O315" s="14">
        <x:v>886</x:v>
      </x:c>
      <x:c r="P315" s="14" t="s">
        <x:v>122</x:v>
      </x:c>
      <x:c r="Q315" s="14" t="s">
        <x:v>38</x:v>
      </x:c>
      <x:c r="R315" s="14"/>
      <x:c r="S315" s="14" t="s">
        <x:v>108</x:v>
      </x:c>
      <x:c r="T315" s="14" t="str">
        <x:v>Region A</x:v>
      </x:c>
      <x:c r="U315" s="28">
        <x:v>45374</x:v>
      </x:c>
      <x:c r="V315" s="30">
        <x:v>9</x:v>
      </x:c>
      <x:c r="W315" s="14" t="s">
        <x:v>45</x:v>
      </x:c>
      <x:c r="X315" s="14" t="s">
        <x:v>106</x:v>
      </x:c>
      <x:c r="Y315" s="32" t="str">
        <x:v>TRN-0314|20240314</x:v>
      </x:c>
      <x:c r="Z315" s="32" t="str" cm="1">
        <x:f t="array" ref="Z31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315" s="33" t="n">
        <x:f>--OR(WorkforceData[[#This Row],[Status]]="Active",WorkforceData[[#This Row],[Promoted]]="Yes",WorkforceData[[#This Row],[Total Days Worked]]&gt;=121)</x:f>
        <x:v>1</x:v>
      </x:c>
      <x:c r="AB315" s="33" t="n">
        <x:f>IF(AND(Q315="Terminated",R315="",O315=0),1,0)</x:f>
        <x:v>0</x:v>
      </x:c>
      <x:c r="AC315" s="33" t="n">
        <x:f>--OR(WorkforceData[[#This Row],[Status]]="Resigned",WorkforceData[[#This Row],[Status After Training]]="Withdrew")</x:f>
        <x:v>0</x:v>
      </x:c>
      <x:c r="AD315" s="34" t="n">
        <x:f>EOMONTH(WorkforceData[[#This Row],[Training Date]],0)</x:f>
        <x:v>45382</x:v>
      </x:c>
      <x:c r="AE315" s="32" t="str">
        <x:f>IF(M315&lt;H315,"Existing Employee",IF(U315="","No Assignment",IF(V315=0,"0 Days",IF(V315&lt;=7,"1-7 Days",IF(V315&lt;=14,"8-14 Days",IF(V315&lt;=21,"15-21 Days","21+ Days"))))))</x:f>
        <x:v>8-14 Days</x:v>
      </x:c>
      <x:c r="AF31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15" s="33" t="n">
        <x:f>--(WorkforceData[[#This Row],[Total Days Worked]]&gt;=121)</x:f>
        <x:v>1</x:v>
      </x:c>
    </x:row>
    <x:row r="316">
      <x:c r="A316" s="236" t="str">
        <x:v>TRN-0315</x:v>
      </x:c>
      <x:c r="B316" s="243"/>
      <x:c r="C316" s="243"/>
      <x:c r="D316" s="243"/>
      <x:c r="E316" s="243"/>
      <x:c r="F316" s="14" t="str">
        <x:v>Recruiter D</x:v>
      </x:c>
      <x:c r="G316" s="14" t="str">
        <x:v>Training Center A</x:v>
      </x:c>
      <x:c r="H316" s="28">
        <x:v>45365</x:v>
      </x:c>
      <x:c r="I316" s="14">
        <x:v>2024</x:v>
      </x:c>
      <x:c r="J316" s="14" t="s">
        <x:v>130</x:v>
      </x:c>
      <x:c r="K316" s="14">
        <x:v>20</x:v>
      </x:c>
      <x:c r="L316" s="29" t="s">
        <x:v>119</x:v>
      </x:c>
      <x:c r="M316" s="28">
        <x:v>45358</x:v>
      </x:c>
      <x:c r="N316" s="14"/>
      <x:c r="O316" s="14">
        <x:v>893</x:v>
      </x:c>
      <x:c r="P316" s="14" t="s">
        <x:v>122</x:v>
      </x:c>
      <x:c r="Q316" s="14" t="s">
        <x:v>25</x:v>
      </x:c>
      <x:c r="R316" s="14"/>
      <x:c r="S316" s="14" t="s">
        <x:v>108</x:v>
      </x:c>
      <x:c r="T316" s="14" t="str">
        <x:v>Region E</x:v>
      </x:c>
      <x:c r="U316" s="28">
        <x:v>45390</x:v>
      </x:c>
      <x:c r="V316" s="30">
        <x:v>25</x:v>
      </x:c>
      <x:c r="W316" s="14" t="s">
        <x:v>112</x:v>
      </x:c>
      <x:c r="X316" s="14" t="s">
        <x:v>106</x:v>
      </x:c>
      <x:c r="Y316" s="32" t="str">
        <x:v>TRN-0315|20240314</x:v>
      </x:c>
      <x:c r="Z316" s="32" t="str" cm="1">
        <x:f t="array" ref="Z31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316" s="33" t="n">
        <x:f>--OR(WorkforceData[[#This Row],[Status]]="Active",WorkforceData[[#This Row],[Promoted]]="Yes",WorkforceData[[#This Row],[Total Days Worked]]&gt;=121)</x:f>
        <x:v>1</x:v>
      </x:c>
      <x:c r="AB316" s="33" t="n">
        <x:f>IF(AND(Q316="Terminated",R316="",O316=0),1,0)</x:f>
        <x:v>0</x:v>
      </x:c>
      <x:c r="AC316" s="33" t="n">
        <x:f>--OR(WorkforceData[[#This Row],[Status]]="Resigned",WorkforceData[[#This Row],[Status After Training]]="Withdrew")</x:f>
        <x:v>0</x:v>
      </x:c>
      <x:c r="AD316" s="34" t="n">
        <x:f>EOMONTH(WorkforceData[[#This Row],[Training Date]],0)</x:f>
        <x:v>45382</x:v>
      </x:c>
      <x:c r="AE316" s="32" t="str">
        <x:f>IF(M316&lt;H316,"Existing Employee",IF(U316="","No Assignment",IF(V316=0,"0 Days",IF(V316&lt;=7,"1-7 Days",IF(V316&lt;=14,"8-14 Days",IF(V316&lt;=21,"15-21 Days","21+ Days"))))))</x:f>
        <x:v>Existing Employee</x:v>
      </x:c>
      <x:c r="AF31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16" s="33" t="n">
        <x:f>--(WorkforceData[[#This Row],[Total Days Worked]]&gt;=121)</x:f>
        <x:v>1</x:v>
      </x:c>
    </x:row>
    <x:row r="317">
      <x:c r="A317" s="236" t="str">
        <x:v>TRN-0316</x:v>
      </x:c>
      <x:c r="B317" s="243"/>
      <x:c r="C317" s="243"/>
      <x:c r="D317" s="243"/>
      <x:c r="E317" s="243"/>
      <x:c r="F317" s="14" t="str">
        <x:v>Recruiter H</x:v>
      </x:c>
      <x:c r="G317" s="14" t="str">
        <x:v>Training Center A</x:v>
      </x:c>
      <x:c r="H317" s="28">
        <x:v>45365</x:v>
      </x:c>
      <x:c r="I317" s="14">
        <x:v>2024</x:v>
      </x:c>
      <x:c r="J317" s="14" t="s">
        <x:v>130</x:v>
      </x:c>
      <x:c r="K317" s="14">
        <x:v>20</x:v>
      </x:c>
      <x:c r="L317" s="29" t="s">
        <x:v>119</x:v>
      </x:c>
      <x:c r="M317" s="28">
        <x:v>45358</x:v>
      </x:c>
      <x:c r="N317" s="14"/>
      <x:c r="O317" s="14">
        <x:v>893</x:v>
      </x:c>
      <x:c r="P317" s="14" t="s">
        <x:v>122</x:v>
      </x:c>
      <x:c r="Q317" s="14" t="s">
        <x:v>25</x:v>
      </x:c>
      <x:c r="R317" s="14"/>
      <x:c r="S317" s="14" t="s">
        <x:v>108</x:v>
      </x:c>
      <x:c r="T317" s="14" t="str">
        <x:v>Region A</x:v>
      </x:c>
      <x:c r="U317" s="28">
        <x:v>45367</x:v>
      </x:c>
      <x:c r="V317" s="30">
        <x:v>2</x:v>
      </x:c>
      <x:c r="W317" s="14" t="s">
        <x:v>109</x:v>
      </x:c>
      <x:c r="X317" s="14" t="s">
        <x:v>106</x:v>
      </x:c>
      <x:c r="Y317" s="32" t="str">
        <x:v>TRN-0316|20240314</x:v>
      </x:c>
      <x:c r="Z317" s="32" t="str" cm="1">
        <x:f t="array" ref="Z31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317" s="33" t="n">
        <x:f>--OR(WorkforceData[[#This Row],[Status]]="Active",WorkforceData[[#This Row],[Promoted]]="Yes",WorkforceData[[#This Row],[Total Days Worked]]&gt;=121)</x:f>
        <x:v>1</x:v>
      </x:c>
      <x:c r="AB317" s="33" t="n">
        <x:f>IF(AND(Q317="Terminated",R317="",O317=0),1,0)</x:f>
        <x:v>0</x:v>
      </x:c>
      <x:c r="AC317" s="33" t="n">
        <x:f>--OR(WorkforceData[[#This Row],[Status]]="Resigned",WorkforceData[[#This Row],[Status After Training]]="Withdrew")</x:f>
        <x:v>0</x:v>
      </x:c>
      <x:c r="AD317" s="34" t="n">
        <x:f>EOMONTH(WorkforceData[[#This Row],[Training Date]],0)</x:f>
        <x:v>45382</x:v>
      </x:c>
      <x:c r="AE317" s="32" t="str">
        <x:f>IF(M317&lt;H317,"Existing Employee",IF(U317="","No Assignment",IF(V317=0,"0 Days",IF(V317&lt;=7,"1-7 Days",IF(V317&lt;=14,"8-14 Days",IF(V317&lt;=21,"15-21 Days","21+ Days"))))))</x:f>
        <x:v>Existing Employee</x:v>
      </x:c>
      <x:c r="AF31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17" s="33" t="n">
        <x:f>--(WorkforceData[[#This Row],[Total Days Worked]]&gt;=121)</x:f>
        <x:v>1</x:v>
      </x:c>
    </x:row>
    <x:row r="318">
      <x:c r="A318" s="236" t="str">
        <x:v>TRN-0317</x:v>
      </x:c>
      <x:c r="B318" s="243"/>
      <x:c r="C318" s="243"/>
      <x:c r="D318" s="243"/>
      <x:c r="E318" s="243"/>
      <x:c r="F318" s="14" t="str">
        <x:v>Recruiter C</x:v>
      </x:c>
      <x:c r="G318" s="14" t="str">
        <x:v>Training Center A</x:v>
      </x:c>
      <x:c r="H318" s="28">
        <x:v>45365</x:v>
      </x:c>
      <x:c r="I318" s="14">
        <x:v>2024</x:v>
      </x:c>
      <x:c r="J318" s="14" t="s">
        <x:v>130</x:v>
      </x:c>
      <x:c r="K318" s="14">
        <x:v>20</x:v>
      </x:c>
      <x:c r="L318" s="29" t="s">
        <x:v>119</x:v>
      </x:c>
      <x:c r="M318" s="28">
        <x:v>45365</x:v>
      </x:c>
      <x:c r="N318" s="14"/>
      <x:c r="O318" s="14">
        <x:v>886</x:v>
      </x:c>
      <x:c r="P318" s="14" t="s">
        <x:v>122</x:v>
      </x:c>
      <x:c r="Q318" s="14" t="s">
        <x:v>25</x:v>
      </x:c>
      <x:c r="R318" s="14"/>
      <x:c r="S318" s="14" t="s">
        <x:v>108</x:v>
      </x:c>
      <x:c r="T318" s="14" t="str">
        <x:v>Region B</x:v>
      </x:c>
      <x:c r="U318" s="28">
        <x:v>45417</x:v>
      </x:c>
      <x:c r="V318" s="30">
        <x:v>52</x:v>
      </x:c>
      <x:c r="W318" s="14" t="s">
        <x:v>63</x:v>
      </x:c>
      <x:c r="X318" s="14" t="s">
        <x:v>117</x:v>
      </x:c>
      <x:c r="Y318" s="32" t="str">
        <x:v>TRN-0317|20240314</x:v>
      </x:c>
      <x:c r="Z318" s="32" t="str" cm="1">
        <x:f t="array" ref="Z31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318" s="33" t="n">
        <x:f>--OR(WorkforceData[[#This Row],[Status]]="Active",WorkforceData[[#This Row],[Promoted]]="Yes",WorkforceData[[#This Row],[Total Days Worked]]&gt;=121)</x:f>
        <x:v>1</x:v>
      </x:c>
      <x:c r="AB318" s="33" t="n">
        <x:f>IF(AND(Q318="Terminated",R318="",O318=0),1,0)</x:f>
        <x:v>0</x:v>
      </x:c>
      <x:c r="AC318" s="33" t="n">
        <x:f>--OR(WorkforceData[[#This Row],[Status]]="Resigned",WorkforceData[[#This Row],[Status After Training]]="Withdrew")</x:f>
        <x:v>0</x:v>
      </x:c>
      <x:c r="AD318" s="34" t="n">
        <x:f>EOMONTH(WorkforceData[[#This Row],[Training Date]],0)</x:f>
        <x:v>45382</x:v>
      </x:c>
      <x:c r="AE318" s="32" t="str">
        <x:f>IF(M318&lt;H318,"Existing Employee",IF(U318="","No Assignment",IF(V318=0,"0 Days",IF(V318&lt;=7,"1-7 Days",IF(V318&lt;=14,"8-14 Days",IF(V318&lt;=21,"15-21 Days","21+ Days"))))))</x:f>
        <x:v>21+ Days</x:v>
      </x:c>
      <x:c r="AF31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18" s="33" t="n">
        <x:f>--(WorkforceData[[#This Row],[Total Days Worked]]&gt;=121)</x:f>
        <x:v>1</x:v>
      </x:c>
    </x:row>
    <x:row r="319">
      <x:c r="A319" s="236" t="str">
        <x:v>TRN-0318</x:v>
      </x:c>
      <x:c r="B319" s="243"/>
      <x:c r="C319" s="243"/>
      <x:c r="D319" s="243"/>
      <x:c r="E319" s="243"/>
      <x:c r="F319" s="14" t="str">
        <x:v>Recruiter D</x:v>
      </x:c>
      <x:c r="G319" s="14" t="str">
        <x:v>Training Center A</x:v>
      </x:c>
      <x:c r="H319" s="28">
        <x:v>45365</x:v>
      </x:c>
      <x:c r="I319" s="14">
        <x:v>2024</x:v>
      </x:c>
      <x:c r="J319" s="14" t="s">
        <x:v>130</x:v>
      </x:c>
      <x:c r="K319" s="14">
        <x:v>20</x:v>
      </x:c>
      <x:c r="L319" s="29" t="s">
        <x:v>119</x:v>
      </x:c>
      <x:c r="M319" s="28">
        <x:v>45363</x:v>
      </x:c>
      <x:c r="N319" s="14"/>
      <x:c r="O319" s="14">
        <x:v>888</x:v>
      </x:c>
      <x:c r="P319" s="14" t="s">
        <x:v>122</x:v>
      </x:c>
      <x:c r="Q319" s="14" t="s">
        <x:v>25</x:v>
      </x:c>
      <x:c r="R319" s="14"/>
      <x:c r="S319" s="14" t="s">
        <x:v>108</x:v>
      </x:c>
      <x:c r="T319" s="14" t="str">
        <x:v>Region D</x:v>
      </x:c>
      <x:c r="U319" s="28">
        <x:v>45370</x:v>
      </x:c>
      <x:c r="V319" s="30">
        <x:v>5</x:v>
      </x:c>
      <x:c r="W319" s="14" t="s">
        <x:v>109</x:v>
      </x:c>
      <x:c r="X319" s="14" t="s">
        <x:v>106</x:v>
      </x:c>
      <x:c r="Y319" s="32" t="str">
        <x:v>TRN-0318|20240314</x:v>
      </x:c>
      <x:c r="Z319" s="32" t="str" cm="1">
        <x:f t="array" ref="Z31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319" s="33" t="n">
        <x:f>--OR(WorkforceData[[#This Row],[Status]]="Active",WorkforceData[[#This Row],[Promoted]]="Yes",WorkforceData[[#This Row],[Total Days Worked]]&gt;=121)</x:f>
        <x:v>1</x:v>
      </x:c>
      <x:c r="AB319" s="33" t="n">
        <x:f>IF(AND(Q319="Terminated",R319="",O319=0),1,0)</x:f>
        <x:v>0</x:v>
      </x:c>
      <x:c r="AC319" s="33" t="n">
        <x:f>--OR(WorkforceData[[#This Row],[Status]]="Resigned",WorkforceData[[#This Row],[Status After Training]]="Withdrew")</x:f>
        <x:v>0</x:v>
      </x:c>
      <x:c r="AD319" s="34" t="n">
        <x:f>EOMONTH(WorkforceData[[#This Row],[Training Date]],0)</x:f>
        <x:v>45382</x:v>
      </x:c>
      <x:c r="AE319" s="32" t="str">
        <x:f>IF(M319&lt;H319,"Existing Employee",IF(U319="","No Assignment",IF(V319=0,"0 Days",IF(V319&lt;=7,"1-7 Days",IF(V319&lt;=14,"8-14 Days",IF(V319&lt;=21,"15-21 Days","21+ Days"))))))</x:f>
        <x:v>Existing Employee</x:v>
      </x:c>
      <x:c r="AF31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19" s="33" t="n">
        <x:f>--(WorkforceData[[#This Row],[Total Days Worked]]&gt;=121)</x:f>
        <x:v>1</x:v>
      </x:c>
    </x:row>
    <x:row r="320">
      <x:c r="A320" s="236" t="str">
        <x:v>TRN-0319</x:v>
      </x:c>
      <x:c r="B320" s="243"/>
      <x:c r="C320" s="243"/>
      <x:c r="D320" s="243"/>
      <x:c r="E320" s="243"/>
      <x:c r="F320" s="14" t="str">
        <x:v>Recruiter F</x:v>
      </x:c>
      <x:c r="G320" s="14" t="str">
        <x:v>Training Center B</x:v>
      </x:c>
      <x:c r="H320" s="28">
        <x:v>45909</x:v>
      </x:c>
      <x:c r="I320" s="14">
        <x:v>2025</x:v>
      </x:c>
      <x:c r="J320" s="14" t="s">
        <x:v>127</x:v>
      </x:c>
      <x:c r="K320" s="14">
        <x:v>15</x:v>
      </x:c>
      <x:c r="L320" s="29" t="s">
        <x:v>119</x:v>
      </x:c>
      <x:c r="M320" s="28">
        <x:v>45899</x:v>
      </x:c>
      <x:c r="N320" s="14"/>
      <x:c r="O320" s="14">
        <x:v>352</x:v>
      </x:c>
      <x:c r="P320" s="14" t="s">
        <x:v>107</x:v>
      </x:c>
      <x:c r="Q320" s="14" t="s">
        <x:v>25</x:v>
      </x:c>
      <x:c r="R320" s="14"/>
      <x:c r="S320" s="14" t="s">
        <x:v>108</x:v>
      </x:c>
      <x:c r="T320" s="14" t="str">
        <x:v>Region C</x:v>
      </x:c>
      <x:c r="U320" s="28">
        <x:v>45912</x:v>
      </x:c>
      <x:c r="V320" s="30">
        <x:v>3</x:v>
      </x:c>
      <x:c r="W320" s="14" t="s">
        <x:v>109</x:v>
      </x:c>
      <x:c r="X320" s="14" t="s">
        <x:v>106</x:v>
      </x:c>
      <x:c r="Y320" s="32" t="str">
        <x:v>TRN-0319|20250909</x:v>
      </x:c>
      <x:c r="Z320" s="32" t="str" cm="1">
        <x:f t="array" ref="Z32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320" s="33" t="n">
        <x:f>--OR(WorkforceData[[#This Row],[Status]]="Active",WorkforceData[[#This Row],[Promoted]]="Yes",WorkforceData[[#This Row],[Total Days Worked]]&gt;=121)</x:f>
        <x:v>1</x:v>
      </x:c>
      <x:c r="AB320" s="33" t="n">
        <x:f>IF(AND(Q320="Terminated",R320="",O320=0),1,0)</x:f>
        <x:v>0</x:v>
      </x:c>
      <x:c r="AC320" s="33" t="n">
        <x:f>--OR(WorkforceData[[#This Row],[Status]]="Resigned",WorkforceData[[#This Row],[Status After Training]]="Withdrew")</x:f>
        <x:v>0</x:v>
      </x:c>
      <x:c r="AD320" s="34" t="n">
        <x:f>EOMONTH(WorkforceData[[#This Row],[Training Date]],0)</x:f>
        <x:v>45930</x:v>
      </x:c>
      <x:c r="AE320" s="32" t="str">
        <x:f>IF(M320&lt;H320,"Existing Employee",IF(U320="","No Assignment",IF(V320=0,"0 Days",IF(V320&lt;=7,"1-7 Days",IF(V320&lt;=14,"8-14 Days",IF(V320&lt;=21,"15-21 Days","21+ Days"))))))</x:f>
        <x:v>Existing Employee</x:v>
      </x:c>
      <x:c r="AF32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20" s="33" t="n">
        <x:f>--(WorkforceData[[#This Row],[Total Days Worked]]&gt;=121)</x:f>
        <x:v>1</x:v>
      </x:c>
    </x:row>
    <x:row r="321">
      <x:c r="A321" s="236" t="str">
        <x:v>TRN-0320</x:v>
      </x:c>
      <x:c r="B321" s="243"/>
      <x:c r="C321" s="243"/>
      <x:c r="D321" s="243"/>
      <x:c r="E321" s="243"/>
      <x:c r="F321" s="14" t="str">
        <x:v>Recruiter F</x:v>
      </x:c>
      <x:c r="G321" s="14" t="str">
        <x:v>Training Center B</x:v>
      </x:c>
      <x:c r="H321" s="28">
        <x:v>45909</x:v>
      </x:c>
      <x:c r="I321" s="14">
        <x:v>2025</x:v>
      </x:c>
      <x:c r="J321" s="14" t="s">
        <x:v>127</x:v>
      </x:c>
      <x:c r="K321" s="14">
        <x:v>15</x:v>
      </x:c>
      <x:c r="L321" s="29" t="s">
        <x:v>119</x:v>
      </x:c>
      <x:c r="M321" s="28">
        <x:v>45909</x:v>
      </x:c>
      <x:c r="N321" s="14"/>
      <x:c r="O321" s="14">
        <x:v>342</x:v>
      </x:c>
      <x:c r="P321" s="14" t="s">
        <x:v>107</x:v>
      </x:c>
      <x:c r="Q321" s="14" t="s">
        <x:v>25</x:v>
      </x:c>
      <x:c r="R321" s="14"/>
      <x:c r="S321" s="14" t="s">
        <x:v>108</x:v>
      </x:c>
      <x:c r="T321" s="14" t="str">
        <x:v>Region A</x:v>
      </x:c>
      <x:c r="U321" s="28">
        <x:v>45921</x:v>
      </x:c>
      <x:c r="V321" s="30">
        <x:v>12</x:v>
      </x:c>
      <x:c r="W321" s="14" t="s">
        <x:v>45</x:v>
      </x:c>
      <x:c r="X321" s="14" t="s">
        <x:v>106</x:v>
      </x:c>
      <x:c r="Y321" s="32" t="str">
        <x:v>TRN-0320|20250909</x:v>
      </x:c>
      <x:c r="Z321" s="32" t="str" cm="1">
        <x:f t="array" ref="Z32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321" s="33" t="n">
        <x:f>--OR(WorkforceData[[#This Row],[Status]]="Active",WorkforceData[[#This Row],[Promoted]]="Yes",WorkforceData[[#This Row],[Total Days Worked]]&gt;=121)</x:f>
        <x:v>1</x:v>
      </x:c>
      <x:c r="AB321" s="33" t="n">
        <x:f>IF(AND(Q321="Terminated",R321="",O321=0),1,0)</x:f>
        <x:v>0</x:v>
      </x:c>
      <x:c r="AC321" s="33" t="n">
        <x:f>--OR(WorkforceData[[#This Row],[Status]]="Resigned",WorkforceData[[#This Row],[Status After Training]]="Withdrew")</x:f>
        <x:v>0</x:v>
      </x:c>
      <x:c r="AD321" s="34" t="n">
        <x:f>EOMONTH(WorkforceData[[#This Row],[Training Date]],0)</x:f>
        <x:v>45930</x:v>
      </x:c>
      <x:c r="AE321" s="32" t="str">
        <x:f>IF(M321&lt;H321,"Existing Employee",IF(U321="","No Assignment",IF(V321=0,"0 Days",IF(V321&lt;=7,"1-7 Days",IF(V321&lt;=14,"8-14 Days",IF(V321&lt;=21,"15-21 Days","21+ Days"))))))</x:f>
        <x:v>8-14 Days</x:v>
      </x:c>
      <x:c r="AF32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21" s="33" t="n">
        <x:f>--(WorkforceData[[#This Row],[Total Days Worked]]&gt;=121)</x:f>
        <x:v>1</x:v>
      </x:c>
    </x:row>
    <x:row r="322">
      <x:c r="A322" s="236" t="str">
        <x:v>TRN-0321</x:v>
      </x:c>
      <x:c r="B322" s="243"/>
      <x:c r="C322" s="243"/>
      <x:c r="D322" s="243"/>
      <x:c r="E322" s="243"/>
      <x:c r="F322" s="14" t="str">
        <x:v>Recruiter A</x:v>
      </x:c>
      <x:c r="G322" s="14" t="str">
        <x:v>Training Center B</x:v>
      </x:c>
      <x:c r="H322" s="28">
        <x:v>45909</x:v>
      </x:c>
      <x:c r="I322" s="14">
        <x:v>2025</x:v>
      </x:c>
      <x:c r="J322" s="14" t="s">
        <x:v>127</x:v>
      </x:c>
      <x:c r="K322" s="14">
        <x:v>15</x:v>
      </x:c>
      <x:c r="L322" s="29" t="s">
        <x:v>119</x:v>
      </x:c>
      <x:c r="M322" s="28">
        <x:v>45899</x:v>
      </x:c>
      <x:c r="N322" s="28">
        <x:v>45939</x:v>
      </x:c>
      <x:c r="O322" s="14">
        <x:v>40</x:v>
      </x:c>
      <x:c r="P322" s="14" t="s">
        <x:v>110</x:v>
      </x:c>
      <x:c r="Q322" s="14" t="s">
        <x:v>33</x:v>
      </x:c>
      <x:c r="R322" s="14" t="s">
        <x:v>121</x:v>
      </x:c>
      <x:c r="S322" s="14" t="s">
        <x:v>105</x:v>
      </x:c>
      <x:c r="T322" s="14" t="str">
        <x:v>Region B</x:v>
      </x:c>
      <x:c r="U322" s="28">
        <x:v>45915</x:v>
      </x:c>
      <x:c r="V322" s="30">
        <x:v>6</x:v>
      </x:c>
      <x:c r="W322" s="14" t="s">
        <x:v>109</x:v>
      </x:c>
      <x:c r="X322" s="14" t="s">
        <x:v>106</x:v>
      </x:c>
      <x:c r="Y322" s="32" t="str">
        <x:v>TRN-0321|20250909</x:v>
      </x:c>
      <x:c r="Z322" s="32" t="str" cm="1">
        <x:f t="array" ref="Z32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322" s="33" t="n">
        <x:f>--OR(WorkforceData[[#This Row],[Status]]="Active",WorkforceData[[#This Row],[Promoted]]="Yes",WorkforceData[[#This Row],[Total Days Worked]]&gt;=121)</x:f>
        <x:v>0</x:v>
      </x:c>
      <x:c r="AB322" s="33" t="n">
        <x:f>IF(AND(Q322="Terminated",R322="",O322=0),1,0)</x:f>
        <x:v>0</x:v>
      </x:c>
      <x:c r="AC322" s="33" t="n">
        <x:f>--OR(WorkforceData[[#This Row],[Status]]="Resigned",WorkforceData[[#This Row],[Status After Training]]="Withdrew")</x:f>
        <x:v>0</x:v>
      </x:c>
      <x:c r="AD322" s="34" t="n">
        <x:f>EOMONTH(WorkforceData[[#This Row],[Training Date]],0)</x:f>
        <x:v>45930</x:v>
      </x:c>
      <x:c r="AE322" s="32" t="str">
        <x:f>IF(M322&lt;H322,"Existing Employee",IF(U322="","No Assignment",IF(V322=0,"0 Days",IF(V322&lt;=7,"1-7 Days",IF(V322&lt;=14,"8-14 Days",IF(V322&lt;=21,"15-21 Days","21+ Days"))))))</x:f>
        <x:v>Existing Employee</x:v>
      </x:c>
      <x:c r="AF32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322" s="33" t="n">
        <x:f>--(WorkforceData[[#This Row],[Total Days Worked]]&gt;=121)</x:f>
        <x:v>0</x:v>
      </x:c>
    </x:row>
    <x:row r="323">
      <x:c r="A323" s="236" t="str">
        <x:v>TRN-0322</x:v>
      </x:c>
      <x:c r="B323" s="243"/>
      <x:c r="C323" s="243"/>
      <x:c r="D323" s="243"/>
      <x:c r="E323" s="243"/>
      <x:c r="F323" s="14" t="str">
        <x:v>Recruiter E</x:v>
      </x:c>
      <x:c r="G323" s="14" t="str">
        <x:v>Training Center B</x:v>
      </x:c>
      <x:c r="H323" s="28">
        <x:v>45909</x:v>
      </x:c>
      <x:c r="I323" s="14">
        <x:v>2025</x:v>
      </x:c>
      <x:c r="J323" s="14" t="s">
        <x:v>127</x:v>
      </x:c>
      <x:c r="K323" s="14">
        <x:v>15</x:v>
      </x:c>
      <x:c r="L323" s="29" t="s">
        <x:v>119</x:v>
      </x:c>
      <x:c r="M323" s="28">
        <x:v>45908</x:v>
      </x:c>
      <x:c r="N323" s="14"/>
      <x:c r="O323" s="14">
        <x:v>343</x:v>
      </x:c>
      <x:c r="P323" s="14" t="s">
        <x:v>107</x:v>
      </x:c>
      <x:c r="Q323" s="14" t="s">
        <x:v>25</x:v>
      </x:c>
      <x:c r="R323" s="14"/>
      <x:c r="S323" s="14" t="s">
        <x:v>108</x:v>
      </x:c>
      <x:c r="T323" s="14" t="str">
        <x:v>Region B</x:v>
      </x:c>
      <x:c r="U323" s="28">
        <x:v>45938</x:v>
      </x:c>
      <x:c r="V323" s="30">
        <x:v>29</x:v>
      </x:c>
      <x:c r="W323" s="14" t="s">
        <x:v>112</x:v>
      </x:c>
      <x:c r="X323" s="14" t="s">
        <x:v>106</x:v>
      </x:c>
      <x:c r="Y323" s="32" t="str">
        <x:v>TRN-0322|20250909</x:v>
      </x:c>
      <x:c r="Z323" s="32" t="str" cm="1">
        <x:f t="array" ref="Z32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323" s="33" t="n">
        <x:f>--OR(WorkforceData[[#This Row],[Status]]="Active",WorkforceData[[#This Row],[Promoted]]="Yes",WorkforceData[[#This Row],[Total Days Worked]]&gt;=121)</x:f>
        <x:v>1</x:v>
      </x:c>
      <x:c r="AB323" s="33" t="n">
        <x:f>IF(AND(Q323="Terminated",R323="",O323=0),1,0)</x:f>
        <x:v>0</x:v>
      </x:c>
      <x:c r="AC323" s="33" t="n">
        <x:f>--OR(WorkforceData[[#This Row],[Status]]="Resigned",WorkforceData[[#This Row],[Status After Training]]="Withdrew")</x:f>
        <x:v>0</x:v>
      </x:c>
      <x:c r="AD323" s="34" t="n">
        <x:f>EOMONTH(WorkforceData[[#This Row],[Training Date]],0)</x:f>
        <x:v>45930</x:v>
      </x:c>
      <x:c r="AE323" s="32" t="str">
        <x:f>IF(M323&lt;H323,"Existing Employee",IF(U323="","No Assignment",IF(V323=0,"0 Days",IF(V323&lt;=7,"1-7 Days",IF(V323&lt;=14,"8-14 Days",IF(V323&lt;=21,"15-21 Days","21+ Days"))))))</x:f>
        <x:v>Existing Employee</x:v>
      </x:c>
      <x:c r="AF32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23" s="33" t="n">
        <x:f>--(WorkforceData[[#This Row],[Total Days Worked]]&gt;=121)</x:f>
        <x:v>1</x:v>
      </x:c>
    </x:row>
    <x:row r="324">
      <x:c r="A324" s="236" t="str">
        <x:v>TRN-0323</x:v>
      </x:c>
      <x:c r="B324" s="243"/>
      <x:c r="C324" s="243"/>
      <x:c r="D324" s="243"/>
      <x:c r="E324" s="243"/>
      <x:c r="F324" s="14" t="str">
        <x:v>Recruiter D</x:v>
      </x:c>
      <x:c r="G324" s="14" t="str">
        <x:v>Training Center B</x:v>
      </x:c>
      <x:c r="H324" s="28">
        <x:v>45909</x:v>
      </x:c>
      <x:c r="I324" s="14">
        <x:v>2025</x:v>
      </x:c>
      <x:c r="J324" s="14" t="s">
        <x:v>127</x:v>
      </x:c>
      <x:c r="K324" s="14">
        <x:v>15</x:v>
      </x:c>
      <x:c r="L324" s="29" t="s">
        <x:v>119</x:v>
      </x:c>
      <x:c r="M324" s="28">
        <x:v>45899</x:v>
      </x:c>
      <x:c r="N324" s="28">
        <x:v>46012</x:v>
      </x:c>
      <x:c r="O324" s="14">
        <x:v>113</x:v>
      </x:c>
      <x:c r="P324" s="14" t="s">
        <x:v>113</x:v>
      </x:c>
      <x:c r="Q324" s="14" t="s">
        <x:v>103</x:v>
      </x:c>
      <x:c r="R324" s="14" t="s">
        <x:v>104</x:v>
      </x:c>
      <x:c r="S324" s="14" t="s">
        <x:v>105</x:v>
      </x:c>
      <x:c r="T324" s="14" t="str">
        <x:v>Region D</x:v>
      </x:c>
      <x:c r="U324" s="28">
        <x:v>45994</x:v>
      </x:c>
      <x:c r="V324" s="30">
        <x:v>85</x:v>
      </x:c>
      <x:c r="W324" s="14" t="s">
        <x:v>114</x:v>
      </x:c>
      <x:c r="X324" s="14" t="s">
        <x:v>117</x:v>
      </x:c>
      <x:c r="Y324" s="32" t="str">
        <x:v>TRN-0323|20250909</x:v>
      </x:c>
      <x:c r="Z324" s="32" t="str" cm="1">
        <x:f t="array" ref="Z32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324" s="33" t="n">
        <x:f>--OR(WorkforceData[[#This Row],[Status]]="Active",WorkforceData[[#This Row],[Promoted]]="Yes",WorkforceData[[#This Row],[Total Days Worked]]&gt;=121)</x:f>
        <x:v>0</x:v>
      </x:c>
      <x:c r="AB324" s="33" t="n">
        <x:f>IF(AND(Q324="Terminated",R324="",O324=0),1,0)</x:f>
        <x:v>0</x:v>
      </x:c>
      <x:c r="AC324" s="33" t="n">
        <x:f>--OR(WorkforceData[[#This Row],[Status]]="Resigned",WorkforceData[[#This Row],[Status After Training]]="Withdrew")</x:f>
        <x:v>1</x:v>
      </x:c>
      <x:c r="AD324" s="34" t="n">
        <x:f>EOMONTH(WorkforceData[[#This Row],[Training Date]],0)</x:f>
        <x:v>45930</x:v>
      </x:c>
      <x:c r="AE324" s="32" t="str">
        <x:f>IF(M324&lt;H324,"Existing Employee",IF(U324="","No Assignment",IF(V324=0,"0 Days",IF(V324&lt;=7,"1-7 Days",IF(V324&lt;=14,"8-14 Days",IF(V324&lt;=21,"15-21 Days","21+ Days"))))))</x:f>
        <x:v>Existing Employee</x:v>
      </x:c>
      <x:c r="AF32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91-120 Days</x:v>
      </x:c>
      <x:c r="AG324" s="33" t="n">
        <x:f>--(WorkforceData[[#This Row],[Total Days Worked]]&gt;=121)</x:f>
        <x:v>0</x:v>
      </x:c>
    </x:row>
    <x:row r="325">
      <x:c r="A325" s="236" t="str">
        <x:v>TRN-0324</x:v>
      </x:c>
      <x:c r="B325" s="243"/>
      <x:c r="C325" s="243"/>
      <x:c r="D325" s="243"/>
      <x:c r="E325" s="243"/>
      <x:c r="F325" s="14" t="str">
        <x:v>Recruiter D</x:v>
      </x:c>
      <x:c r="G325" s="14" t="str">
        <x:v>Training Center B</x:v>
      </x:c>
      <x:c r="H325" s="28">
        <x:v>45909</x:v>
      </x:c>
      <x:c r="I325" s="14">
        <x:v>2025</x:v>
      </x:c>
      <x:c r="J325" s="14" t="s">
        <x:v>127</x:v>
      </x:c>
      <x:c r="K325" s="14">
        <x:v>15</x:v>
      </x:c>
      <x:c r="L325" s="29" t="s">
        <x:v>119</x:v>
      </x:c>
      <x:c r="M325" s="28">
        <x:v>45902</x:v>
      </x:c>
      <x:c r="N325" s="28">
        <x:v>45992</x:v>
      </x:c>
      <x:c r="O325" s="14">
        <x:v>90</x:v>
      </x:c>
      <x:c r="P325" s="14" t="s">
        <x:v>110</x:v>
      </x:c>
      <x:c r="Q325" s="14" t="s">
        <x:v>103</x:v>
      </x:c>
      <x:c r="R325" s="14" t="s">
        <x:v>104</x:v>
      </x:c>
      <x:c r="S325" s="14" t="s">
        <x:v>105</x:v>
      </x:c>
      <x:c r="T325" s="14" t="str">
        <x:v>Region A</x:v>
      </x:c>
      <x:c r="U325" s="28">
        <x:v>45914</x:v>
      </x:c>
      <x:c r="V325" s="30">
        <x:v>5</x:v>
      </x:c>
      <x:c r="W325" s="14" t="s">
        <x:v>109</x:v>
      </x:c>
      <x:c r="X325" s="14" t="s">
        <x:v>106</x:v>
      </x:c>
      <x:c r="Y325" s="32" t="str">
        <x:v>TRN-0324|20250909</x:v>
      </x:c>
      <x:c r="Z325" s="32" t="str" cm="1">
        <x:f t="array" ref="Z32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325" s="33" t="n">
        <x:f>--OR(WorkforceData[[#This Row],[Status]]="Active",WorkforceData[[#This Row],[Promoted]]="Yes",WorkforceData[[#This Row],[Total Days Worked]]&gt;=121)</x:f>
        <x:v>0</x:v>
      </x:c>
      <x:c r="AB325" s="33" t="n">
        <x:f>IF(AND(Q325="Terminated",R325="",O325=0),1,0)</x:f>
        <x:v>0</x:v>
      </x:c>
      <x:c r="AC325" s="33" t="n">
        <x:f>--OR(WorkforceData[[#This Row],[Status]]="Resigned",WorkforceData[[#This Row],[Status After Training]]="Withdrew")</x:f>
        <x:v>1</x:v>
      </x:c>
      <x:c r="AD325" s="34" t="n">
        <x:f>EOMONTH(WorkforceData[[#This Row],[Training Date]],0)</x:f>
        <x:v>45930</x:v>
      </x:c>
      <x:c r="AE325" s="32" t="str">
        <x:f>IF(M325&lt;H325,"Existing Employee",IF(U325="","No Assignment",IF(V325=0,"0 Days",IF(V325&lt;=7,"1-7 Days",IF(V325&lt;=14,"8-14 Days",IF(V325&lt;=21,"15-21 Days","21+ Days"))))))</x:f>
        <x:v>Existing Employee</x:v>
      </x:c>
      <x:c r="AF32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61-90 Days</x:v>
      </x:c>
      <x:c r="AG325" s="33" t="n">
        <x:f>--(WorkforceData[[#This Row],[Total Days Worked]]&gt;=121)</x:f>
        <x:v>0</x:v>
      </x:c>
    </x:row>
    <x:row r="326">
      <x:c r="A326" s="236" t="str">
        <x:v>TRN-0325</x:v>
      </x:c>
      <x:c r="B326" s="243"/>
      <x:c r="C326" s="243"/>
      <x:c r="D326" s="243"/>
      <x:c r="E326" s="243"/>
      <x:c r="F326" s="14" t="str">
        <x:v>Recruiter B</x:v>
      </x:c>
      <x:c r="G326" s="14" t="str">
        <x:v>Training Center B</x:v>
      </x:c>
      <x:c r="H326" s="28">
        <x:v>45909</x:v>
      </x:c>
      <x:c r="I326" s="14">
        <x:v>2025</x:v>
      </x:c>
      <x:c r="J326" s="14" t="s">
        <x:v>127</x:v>
      </x:c>
      <x:c r="K326" s="14">
        <x:v>15</x:v>
      </x:c>
      <x:c r="L326" s="29" t="s">
        <x:v>119</x:v>
      </x:c>
      <x:c r="M326" s="28">
        <x:v>45904</x:v>
      </x:c>
      <x:c r="N326" s="28">
        <x:v>46036</x:v>
      </x:c>
      <x:c r="O326" s="14">
        <x:v>132</x:v>
      </x:c>
      <x:c r="P326" s="14" t="s">
        <x:v>113</x:v>
      </x:c>
      <x:c r="Q326" s="14" t="s">
        <x:v>103</x:v>
      </x:c>
      <x:c r="R326" s="14" t="s">
        <x:v>123</x:v>
      </x:c>
      <x:c r="S326" s="14" t="s">
        <x:v>105</x:v>
      </x:c>
      <x:c r="T326" s="14"/>
      <x:c r="U326" s="28"/>
      <x:c r="V326" s="30"/>
      <x:c r="W326" s="14"/>
      <x:c r="X326" s="14" t="s">
        <x:v>71</x:v>
      </x:c>
      <x:c r="Y326" s="32" t="str">
        <x:v>TRN-0325|20250909</x:v>
      </x:c>
      <x:c r="Z326" s="32" t="str" cm="1">
        <x:f t="array" ref="Z32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Complete</x:v>
      </x:c>
      <x:c r="AA326" s="33" t="n">
        <x:f>--OR(WorkforceData[[#This Row],[Status]]="Active",WorkforceData[[#This Row],[Promoted]]="Yes",WorkforceData[[#This Row],[Total Days Worked]]&gt;=121)</x:f>
        <x:v>1</x:v>
      </x:c>
      <x:c r="AB326" s="33" t="n">
        <x:f>IF(AND(Q326="Terminated",R326="",O326=0),1,0)</x:f>
        <x:v>0</x:v>
      </x:c>
      <x:c r="AC326" s="33" t="n">
        <x:f>--OR(WorkforceData[[#This Row],[Status]]="Resigned",WorkforceData[[#This Row],[Status After Training]]="Withdrew")</x:f>
        <x:v>1</x:v>
      </x:c>
      <x:c r="AD326" s="34" t="n">
        <x:f>EOMONTH(WorkforceData[[#This Row],[Training Date]],0)</x:f>
        <x:v>45930</x:v>
      </x:c>
      <x:c r="AE326" s="32" t="str">
        <x:f>IF(M326&lt;H326,"Existing Employee",IF(U326="","No Assignment",IF(V326=0,"0 Days",IF(V326&lt;=7,"1-7 Days",IF(V326&lt;=14,"8-14 Days",IF(V326&lt;=21,"15-21 Days","21+ Days"))))))</x:f>
        <x:v>Existing Employee</x:v>
      </x:c>
      <x:c r="AF32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26" s="33" t="n">
        <x:f>--(WorkforceData[[#This Row],[Total Days Worked]]&gt;=121)</x:f>
        <x:v>1</x:v>
      </x:c>
    </x:row>
    <x:row r="327">
      <x:c r="A327" s="236" t="str">
        <x:v>TRN-0326</x:v>
      </x:c>
      <x:c r="B327" s="243"/>
      <x:c r="C327" s="243"/>
      <x:c r="D327" s="243"/>
      <x:c r="E327" s="243"/>
      <x:c r="F327" s="14" t="str">
        <x:v>Recruiter F</x:v>
      </x:c>
      <x:c r="G327" s="14" t="str">
        <x:v>Training Center B</x:v>
      </x:c>
      <x:c r="H327" s="28">
        <x:v>45909</x:v>
      </x:c>
      <x:c r="I327" s="14">
        <x:v>2025</x:v>
      </x:c>
      <x:c r="J327" s="14" t="s">
        <x:v>127</x:v>
      </x:c>
      <x:c r="K327" s="14">
        <x:v>15</x:v>
      </x:c>
      <x:c r="L327" s="29" t="s">
        <x:v>119</x:v>
      </x:c>
      <x:c r="M327" s="28">
        <x:v>45902</x:v>
      </x:c>
      <x:c r="N327" s="14"/>
      <x:c r="O327" s="14">
        <x:v>349</x:v>
      </x:c>
      <x:c r="P327" s="14" t="s">
        <x:v>107</x:v>
      </x:c>
      <x:c r="Q327" s="14" t="s">
        <x:v>25</x:v>
      </x:c>
      <x:c r="R327" s="14"/>
      <x:c r="S327" s="14" t="s">
        <x:v>108</x:v>
      </x:c>
      <x:c r="T327" s="14" t="str">
        <x:v>Region C</x:v>
      </x:c>
      <x:c r="U327" s="28">
        <x:v>45911</x:v>
      </x:c>
      <x:c r="V327" s="30">
        <x:v>2</x:v>
      </x:c>
      <x:c r="W327" s="14" t="s">
        <x:v>109</x:v>
      </x:c>
      <x:c r="X327" s="14" t="s">
        <x:v>106</x:v>
      </x:c>
      <x:c r="Y327" s="32" t="str">
        <x:v>TRN-0326|20250909</x:v>
      </x:c>
      <x:c r="Z327" s="32" t="str" cm="1">
        <x:f t="array" ref="Z32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327" s="33" t="n">
        <x:f>--OR(WorkforceData[[#This Row],[Status]]="Active",WorkforceData[[#This Row],[Promoted]]="Yes",WorkforceData[[#This Row],[Total Days Worked]]&gt;=121)</x:f>
        <x:v>1</x:v>
      </x:c>
      <x:c r="AB327" s="33" t="n">
        <x:f>IF(AND(Q327="Terminated",R327="",O327=0),1,0)</x:f>
        <x:v>0</x:v>
      </x:c>
      <x:c r="AC327" s="33" t="n">
        <x:f>--OR(WorkforceData[[#This Row],[Status]]="Resigned",WorkforceData[[#This Row],[Status After Training]]="Withdrew")</x:f>
        <x:v>0</x:v>
      </x:c>
      <x:c r="AD327" s="34" t="n">
        <x:f>EOMONTH(WorkforceData[[#This Row],[Training Date]],0)</x:f>
        <x:v>45930</x:v>
      </x:c>
      <x:c r="AE327" s="32" t="str">
        <x:f>IF(M327&lt;H327,"Existing Employee",IF(U327="","No Assignment",IF(V327=0,"0 Days",IF(V327&lt;=7,"1-7 Days",IF(V327&lt;=14,"8-14 Days",IF(V327&lt;=21,"15-21 Days","21+ Days"))))))</x:f>
        <x:v>Existing Employee</x:v>
      </x:c>
      <x:c r="AF32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27" s="33" t="n">
        <x:f>--(WorkforceData[[#This Row],[Total Days Worked]]&gt;=121)</x:f>
        <x:v>1</x:v>
      </x:c>
    </x:row>
    <x:row r="328">
      <x:c r="A328" s="236" t="str">
        <x:v>TRN-0327</x:v>
      </x:c>
      <x:c r="B328" s="243"/>
      <x:c r="C328" s="243"/>
      <x:c r="D328" s="243"/>
      <x:c r="E328" s="243"/>
      <x:c r="F328" s="14" t="str">
        <x:v>Recruiter H</x:v>
      </x:c>
      <x:c r="G328" s="14" t="str">
        <x:v>Training Center B</x:v>
      </x:c>
      <x:c r="H328" s="28">
        <x:v>45909</x:v>
      </x:c>
      <x:c r="I328" s="14">
        <x:v>2025</x:v>
      </x:c>
      <x:c r="J328" s="14" t="s">
        <x:v>127</x:v>
      </x:c>
      <x:c r="K328" s="14">
        <x:v>15</x:v>
      </x:c>
      <x:c r="L328" s="29" t="s">
        <x:v>119</x:v>
      </x:c>
      <x:c r="M328" s="28">
        <x:v>45899</x:v>
      </x:c>
      <x:c r="N328" s="28">
        <x:v>46251</x:v>
      </x:c>
      <x:c r="O328" s="14">
        <x:v>352</x:v>
      </x:c>
      <x:c r="P328" s="14" t="s">
        <x:v>107</x:v>
      </x:c>
      <x:c r="Q328" s="14" t="s">
        <x:v>103</x:v>
      </x:c>
      <x:c r="R328" s="14" t="s">
        <x:v>104</x:v>
      </x:c>
      <x:c r="S328" s="14" t="s">
        <x:v>108</x:v>
      </x:c>
      <x:c r="T328" s="14" t="str">
        <x:v>Region C</x:v>
      </x:c>
      <x:c r="U328" s="28">
        <x:v>45914</x:v>
      </x:c>
      <x:c r="V328" s="30">
        <x:v>5</x:v>
      </x:c>
      <x:c r="W328" s="14" t="s">
        <x:v>109</x:v>
      </x:c>
      <x:c r="X328" s="14" t="s">
        <x:v>106</x:v>
      </x:c>
      <x:c r="Y328" s="32" t="str">
        <x:v>TRN-0327|20250909</x:v>
      </x:c>
      <x:c r="Z328" s="32" t="str" cm="1">
        <x:f t="array" ref="Z32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328" s="33" t="n">
        <x:f>--OR(WorkforceData[[#This Row],[Status]]="Active",WorkforceData[[#This Row],[Promoted]]="Yes",WorkforceData[[#This Row],[Total Days Worked]]&gt;=121)</x:f>
        <x:v>1</x:v>
      </x:c>
      <x:c r="AB328" s="33" t="n">
        <x:f>IF(AND(Q328="Terminated",R328="",O328=0),1,0)</x:f>
        <x:v>0</x:v>
      </x:c>
      <x:c r="AC328" s="33" t="n">
        <x:f>--OR(WorkforceData[[#This Row],[Status]]="Resigned",WorkforceData[[#This Row],[Status After Training]]="Withdrew")</x:f>
        <x:v>1</x:v>
      </x:c>
      <x:c r="AD328" s="34" t="n">
        <x:f>EOMONTH(WorkforceData[[#This Row],[Training Date]],0)</x:f>
        <x:v>45930</x:v>
      </x:c>
      <x:c r="AE328" s="32" t="str">
        <x:f>IF(M328&lt;H328,"Existing Employee",IF(U328="","No Assignment",IF(V328=0,"0 Days",IF(V328&lt;=7,"1-7 Days",IF(V328&lt;=14,"8-14 Days",IF(V328&lt;=21,"15-21 Days","21+ Days"))))))</x:f>
        <x:v>Existing Employee</x:v>
      </x:c>
      <x:c r="AF32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28" s="33" t="n">
        <x:f>--(WorkforceData[[#This Row],[Total Days Worked]]&gt;=121)</x:f>
        <x:v>1</x:v>
      </x:c>
    </x:row>
    <x:row r="329">
      <x:c r="A329" s="236" t="str">
        <x:v>TRN-0328</x:v>
      </x:c>
      <x:c r="B329" s="243"/>
      <x:c r="C329" s="243"/>
      <x:c r="D329" s="243"/>
      <x:c r="E329" s="243"/>
      <x:c r="F329" s="14" t="str">
        <x:v>Recruiter D</x:v>
      </x:c>
      <x:c r="G329" s="14" t="str">
        <x:v>Training Center B</x:v>
      </x:c>
      <x:c r="H329" s="28">
        <x:v>45909</x:v>
      </x:c>
      <x:c r="I329" s="14">
        <x:v>2025</x:v>
      </x:c>
      <x:c r="J329" s="14" t="s">
        <x:v>127</x:v>
      </x:c>
      <x:c r="K329" s="14">
        <x:v>15</x:v>
      </x:c>
      <x:c r="L329" s="29" t="s">
        <x:v>119</x:v>
      </x:c>
      <x:c r="M329" s="28">
        <x:v>45906</x:v>
      </x:c>
      <x:c r="N329" s="28">
        <x:v>45909</x:v>
      </x:c>
      <x:c r="O329" s="14">
        <x:v>3</x:v>
      </x:c>
      <x:c r="P329" s="14" t="s">
        <x:v>102</x:v>
      </x:c>
      <x:c r="Q329" s="14" t="s">
        <x:v>33</x:v>
      </x:c>
      <x:c r="R329" s="14" t="s">
        <x:v>121</x:v>
      </x:c>
      <x:c r="S329" s="14" t="s">
        <x:v>105</x:v>
      </x:c>
      <x:c r="T329" s="14" t="str">
        <x:v>Region A</x:v>
      </x:c>
      <x:c r="U329" s="28">
        <x:v>45909</x:v>
      </x:c>
      <x:c r="V329" s="30">
        <x:v>0</x:v>
      </x:c>
      <x:c r="W329" s="14" t="s">
        <x:v>109</x:v>
      </x:c>
      <x:c r="X329" s="14" t="s">
        <x:v>106</x:v>
      </x:c>
      <x:c r="Y329" s="32" t="str">
        <x:v>TRN-0328|20250909</x:v>
      </x:c>
      <x:c r="Z329" s="32" t="str" cm="1">
        <x:f t="array" ref="Z32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329" s="33" t="n">
        <x:f>--OR(WorkforceData[[#This Row],[Status]]="Active",WorkforceData[[#This Row],[Promoted]]="Yes",WorkforceData[[#This Row],[Total Days Worked]]&gt;=121)</x:f>
        <x:v>0</x:v>
      </x:c>
      <x:c r="AB329" s="33" t="n">
        <x:f>IF(AND(Q329="Terminated",R329="",O329=0),1,0)</x:f>
        <x:v>0</x:v>
      </x:c>
      <x:c r="AC329" s="33" t="n">
        <x:f>--OR(WorkforceData[[#This Row],[Status]]="Resigned",WorkforceData[[#This Row],[Status After Training]]="Withdrew")</x:f>
        <x:v>0</x:v>
      </x:c>
      <x:c r="AD329" s="34" t="n">
        <x:f>EOMONTH(WorkforceData[[#This Row],[Training Date]],0)</x:f>
        <x:v>45930</x:v>
      </x:c>
      <x:c r="AE329" s="32" t="str">
        <x:f>IF(M329&lt;H329,"Existing Employee",IF(U329="","No Assignment",IF(V329=0,"0 Days",IF(V329&lt;=7,"1-7 Days",IF(V329&lt;=14,"8-14 Days",IF(V329&lt;=21,"15-21 Days","21+ Days"))))))</x:f>
        <x:v>Existing Employee</x:v>
      </x:c>
      <x:c r="AF32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1-7 Days</x:v>
      </x:c>
      <x:c r="AG329" s="33" t="n">
        <x:f>--(WorkforceData[[#This Row],[Total Days Worked]]&gt;=121)</x:f>
        <x:v>0</x:v>
      </x:c>
    </x:row>
    <x:row r="330">
      <x:c r="A330" s="236" t="str">
        <x:v>TRN-0329</x:v>
      </x:c>
      <x:c r="B330" s="243"/>
      <x:c r="C330" s="243"/>
      <x:c r="D330" s="243"/>
      <x:c r="E330" s="243"/>
      <x:c r="F330" s="14" t="str">
        <x:v>Recruiter A</x:v>
      </x:c>
      <x:c r="G330" s="14" t="str">
        <x:v>Training Center B</x:v>
      </x:c>
      <x:c r="H330" s="28">
        <x:v>45909</x:v>
      </x:c>
      <x:c r="I330" s="14">
        <x:v>2025</x:v>
      </x:c>
      <x:c r="J330" s="14" t="s">
        <x:v>127</x:v>
      </x:c>
      <x:c r="K330" s="14">
        <x:v>15</x:v>
      </x:c>
      <x:c r="L330" s="29" t="s">
        <x:v>119</x:v>
      </x:c>
      <x:c r="M330" s="28">
        <x:v>45906</x:v>
      </x:c>
      <x:c r="N330" s="14"/>
      <x:c r="O330" s="14">
        <x:v>345</x:v>
      </x:c>
      <x:c r="P330" s="14" t="s">
        <x:v>107</x:v>
      </x:c>
      <x:c r="Q330" s="14" t="s">
        <x:v>25</x:v>
      </x:c>
      <x:c r="R330" s="14"/>
      <x:c r="S330" s="14" t="s">
        <x:v>108</x:v>
      </x:c>
      <x:c r="T330" s="14" t="str">
        <x:v>Region B</x:v>
      </x:c>
      <x:c r="U330" s="28">
        <x:v>45920</x:v>
      </x:c>
      <x:c r="V330" s="30">
        <x:v>11</x:v>
      </x:c>
      <x:c r="W330" s="14" t="s">
        <x:v>45</x:v>
      </x:c>
      <x:c r="X330" s="14" t="s">
        <x:v>106</x:v>
      </x:c>
      <x:c r="Y330" s="32" t="str">
        <x:v>TRN-0329|20250909</x:v>
      </x:c>
      <x:c r="Z330" s="32" t="str" cm="1">
        <x:f t="array" ref="Z33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330" s="33" t="n">
        <x:f>--OR(WorkforceData[[#This Row],[Status]]="Active",WorkforceData[[#This Row],[Promoted]]="Yes",WorkforceData[[#This Row],[Total Days Worked]]&gt;=121)</x:f>
        <x:v>1</x:v>
      </x:c>
      <x:c r="AB330" s="33" t="n">
        <x:f>IF(AND(Q330="Terminated",R330="",O330=0),1,0)</x:f>
        <x:v>0</x:v>
      </x:c>
      <x:c r="AC330" s="33" t="n">
        <x:f>--OR(WorkforceData[[#This Row],[Status]]="Resigned",WorkforceData[[#This Row],[Status After Training]]="Withdrew")</x:f>
        <x:v>0</x:v>
      </x:c>
      <x:c r="AD330" s="34" t="n">
        <x:f>EOMONTH(WorkforceData[[#This Row],[Training Date]],0)</x:f>
        <x:v>45930</x:v>
      </x:c>
      <x:c r="AE330" s="32" t="str">
        <x:f>IF(M330&lt;H330,"Existing Employee",IF(U330="","No Assignment",IF(V330=0,"0 Days",IF(V330&lt;=7,"1-7 Days",IF(V330&lt;=14,"8-14 Days",IF(V330&lt;=21,"15-21 Days","21+ Days"))))))</x:f>
        <x:v>Existing Employee</x:v>
      </x:c>
      <x:c r="AF33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30" s="33" t="n">
        <x:f>--(WorkforceData[[#This Row],[Total Days Worked]]&gt;=121)</x:f>
        <x:v>1</x:v>
      </x:c>
    </x:row>
    <x:row r="331">
      <x:c r="A331" s="236" t="str">
        <x:v>TRN-0330</x:v>
      </x:c>
      <x:c r="B331" s="243"/>
      <x:c r="C331" s="243"/>
      <x:c r="D331" s="243"/>
      <x:c r="E331" s="243"/>
      <x:c r="F331" s="14" t="str">
        <x:v>Recruiter H</x:v>
      </x:c>
      <x:c r="G331" s="14" t="str">
        <x:v>Training Center B</x:v>
      </x:c>
      <x:c r="H331" s="28">
        <x:v>45909</x:v>
      </x:c>
      <x:c r="I331" s="14">
        <x:v>2025</x:v>
      </x:c>
      <x:c r="J331" s="14" t="s">
        <x:v>127</x:v>
      </x:c>
      <x:c r="K331" s="14">
        <x:v>15</x:v>
      </x:c>
      <x:c r="L331" s="29" t="s">
        <x:v>119</x:v>
      </x:c>
      <x:c r="M331" s="28">
        <x:v>45902</x:v>
      </x:c>
      <x:c r="N331" s="28">
        <x:v>45910</x:v>
      </x:c>
      <x:c r="O331" s="14">
        <x:v>8</x:v>
      </x:c>
      <x:c r="P331" s="14" t="s">
        <x:v>102</x:v>
      </x:c>
      <x:c r="Q331" s="14" t="s">
        <x:v>103</x:v>
      </x:c>
      <x:c r="R331" s="14" t="s">
        <x:v>123</x:v>
      </x:c>
      <x:c r="S331" s="14" t="s">
        <x:v>105</x:v>
      </x:c>
      <x:c r="T331" s="14"/>
      <x:c r="U331" s="28"/>
      <x:c r="V331" s="30"/>
      <x:c r="W331" s="14"/>
      <x:c r="X331" s="14" t="s">
        <x:v>71</x:v>
      </x:c>
      <x:c r="Y331" s="32" t="str">
        <x:v>TRN-0330|20250909</x:v>
      </x:c>
      <x:c r="Z331" s="32" t="str" cm="1">
        <x:f t="array" ref="Z33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331" s="33" t="n">
        <x:f>--OR(WorkforceData[[#This Row],[Status]]="Active",WorkforceData[[#This Row],[Promoted]]="Yes",WorkforceData[[#This Row],[Total Days Worked]]&gt;=121)</x:f>
        <x:v>0</x:v>
      </x:c>
      <x:c r="AB331" s="33" t="n">
        <x:f>IF(AND(Q331="Terminated",R331="",O331=0),1,0)</x:f>
        <x:v>0</x:v>
      </x:c>
      <x:c r="AC331" s="33" t="n">
        <x:f>--OR(WorkforceData[[#This Row],[Status]]="Resigned",WorkforceData[[#This Row],[Status After Training]]="Withdrew")</x:f>
        <x:v>1</x:v>
      </x:c>
      <x:c r="AD331" s="34" t="n">
        <x:f>EOMONTH(WorkforceData[[#This Row],[Training Date]],0)</x:f>
        <x:v>45930</x:v>
      </x:c>
      <x:c r="AE331" s="32" t="str">
        <x:f>IF(M331&lt;H331,"Existing Employee",IF(U331="","No Assignment",IF(V331=0,"0 Days",IF(V331&lt;=7,"1-7 Days",IF(V331&lt;=14,"8-14 Days",IF(V331&lt;=21,"15-21 Days","21+ Days"))))))</x:f>
        <x:v>Existing Employee</x:v>
      </x:c>
      <x:c r="AF33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331" s="33" t="n">
        <x:f>--(WorkforceData[[#This Row],[Total Days Worked]]&gt;=121)</x:f>
        <x:v>0</x:v>
      </x:c>
    </x:row>
    <x:row r="332">
      <x:c r="A332" s="236" t="str">
        <x:v>TRN-0331</x:v>
      </x:c>
      <x:c r="B332" s="243"/>
      <x:c r="C332" s="243"/>
      <x:c r="D332" s="243"/>
      <x:c r="E332" s="243"/>
      <x:c r="F332" s="14" t="str">
        <x:v>Recruiter A</x:v>
      </x:c>
      <x:c r="G332" s="14" t="str">
        <x:v>Training Center B</x:v>
      </x:c>
      <x:c r="H332" s="28">
        <x:v>45909</x:v>
      </x:c>
      <x:c r="I332" s="14">
        <x:v>2025</x:v>
      </x:c>
      <x:c r="J332" s="14" t="s">
        <x:v>127</x:v>
      </x:c>
      <x:c r="K332" s="14">
        <x:v>15</x:v>
      </x:c>
      <x:c r="L332" s="29" t="s">
        <x:v>119</x:v>
      </x:c>
      <x:c r="M332" s="28">
        <x:v>45909</x:v>
      </x:c>
      <x:c r="N332" s="14"/>
      <x:c r="O332" s="14">
        <x:v>342</x:v>
      </x:c>
      <x:c r="P332" s="14" t="s">
        <x:v>107</x:v>
      </x:c>
      <x:c r="Q332" s="14" t="s">
        <x:v>25</x:v>
      </x:c>
      <x:c r="R332" s="14"/>
      <x:c r="S332" s="14" t="s">
        <x:v>108</x:v>
      </x:c>
      <x:c r="T332" s="14" t="str">
        <x:v>Region A</x:v>
      </x:c>
      <x:c r="U332" s="28">
        <x:v>45923</x:v>
      </x:c>
      <x:c r="V332" s="30">
        <x:v>14</x:v>
      </x:c>
      <x:c r="W332" s="14" t="s">
        <x:v>45</x:v>
      </x:c>
      <x:c r="X332" s="14" t="s">
        <x:v>106</x:v>
      </x:c>
      <x:c r="Y332" s="32" t="str">
        <x:v>TRN-0331|20250909</x:v>
      </x:c>
      <x:c r="Z332" s="32" t="str" cm="1">
        <x:f t="array" ref="Z33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332" s="33" t="n">
        <x:f>--OR(WorkforceData[[#This Row],[Status]]="Active",WorkforceData[[#This Row],[Promoted]]="Yes",WorkforceData[[#This Row],[Total Days Worked]]&gt;=121)</x:f>
        <x:v>1</x:v>
      </x:c>
      <x:c r="AB332" s="33" t="n">
        <x:f>IF(AND(Q332="Terminated",R332="",O332=0),1,0)</x:f>
        <x:v>0</x:v>
      </x:c>
      <x:c r="AC332" s="33" t="n">
        <x:f>--OR(WorkforceData[[#This Row],[Status]]="Resigned",WorkforceData[[#This Row],[Status After Training]]="Withdrew")</x:f>
        <x:v>0</x:v>
      </x:c>
      <x:c r="AD332" s="34" t="n">
        <x:f>EOMONTH(WorkforceData[[#This Row],[Training Date]],0)</x:f>
        <x:v>45930</x:v>
      </x:c>
      <x:c r="AE332" s="32" t="str">
        <x:f>IF(M332&lt;H332,"Existing Employee",IF(U332="","No Assignment",IF(V332=0,"0 Days",IF(V332&lt;=7,"1-7 Days",IF(V332&lt;=14,"8-14 Days",IF(V332&lt;=21,"15-21 Days","21+ Days"))))))</x:f>
        <x:v>8-14 Days</x:v>
      </x:c>
      <x:c r="AF33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32" s="33" t="n">
        <x:f>--(WorkforceData[[#This Row],[Total Days Worked]]&gt;=121)</x:f>
        <x:v>1</x:v>
      </x:c>
    </x:row>
    <x:row r="333">
      <x:c r="A333" s="236" t="str">
        <x:v>TRN-0332</x:v>
      </x:c>
      <x:c r="B333" s="243"/>
      <x:c r="C333" s="243"/>
      <x:c r="D333" s="243"/>
      <x:c r="E333" s="243"/>
      <x:c r="F333" s="14" t="str">
        <x:v>Recruiter B</x:v>
      </x:c>
      <x:c r="G333" s="14" t="str">
        <x:v>Training Center B</x:v>
      </x:c>
      <x:c r="H333" s="28">
        <x:v>45909</x:v>
      </x:c>
      <x:c r="I333" s="14">
        <x:v>2025</x:v>
      </x:c>
      <x:c r="J333" s="14" t="s">
        <x:v>127</x:v>
      </x:c>
      <x:c r="K333" s="14">
        <x:v>15</x:v>
      </x:c>
      <x:c r="L333" s="29" t="s">
        <x:v>119</x:v>
      </x:c>
      <x:c r="M333" s="28">
        <x:v>45909</x:v>
      </x:c>
      <x:c r="N333" s="28">
        <x:v>45926</x:v>
      </x:c>
      <x:c r="O333" s="14">
        <x:v>17</x:v>
      </x:c>
      <x:c r="P333" s="14" t="s">
        <x:v>102</x:v>
      </x:c>
      <x:c r="Q333" s="14" t="s">
        <x:v>33</x:v>
      </x:c>
      <x:c r="R333" s="14" t="s">
        <x:v>121</x:v>
      </x:c>
      <x:c r="S333" s="14" t="s">
        <x:v>105</x:v>
      </x:c>
      <x:c r="T333" s="14"/>
      <x:c r="U333" s="28"/>
      <x:c r="V333" s="30"/>
      <x:c r="W333" s="14"/>
      <x:c r="X333" s="14" t="s">
        <x:v>71</x:v>
      </x:c>
      <x:c r="Y333" s="32" t="str">
        <x:v>TRN-0332|20250909</x:v>
      </x:c>
      <x:c r="Z333" s="32" t="str" cm="1">
        <x:f t="array" ref="Z33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333" s="33" t="n">
        <x:f>--OR(WorkforceData[[#This Row],[Status]]="Active",WorkforceData[[#This Row],[Promoted]]="Yes",WorkforceData[[#This Row],[Total Days Worked]]&gt;=121)</x:f>
        <x:v>0</x:v>
      </x:c>
      <x:c r="AB333" s="33" t="n">
        <x:f>IF(AND(Q333="Terminated",R333="",O333=0),1,0)</x:f>
        <x:v>0</x:v>
      </x:c>
      <x:c r="AC333" s="33" t="n">
        <x:f>--OR(WorkforceData[[#This Row],[Status]]="Resigned",WorkforceData[[#This Row],[Status After Training]]="Withdrew")</x:f>
        <x:v>0</x:v>
      </x:c>
      <x:c r="AD333" s="34" t="n">
        <x:f>EOMONTH(WorkforceData[[#This Row],[Training Date]],0)</x:f>
        <x:v>45930</x:v>
      </x:c>
      <x:c r="AE333" s="32" t="str">
        <x:f>IF(M333&lt;H333,"Existing Employee",IF(U333="","No Assignment",IF(V333=0,"0 Days",IF(V333&lt;=7,"1-7 Days",IF(V333&lt;=14,"8-14 Days",IF(V333&lt;=21,"15-21 Days","21+ Days"))))))</x:f>
        <x:v>No Assignment</x:v>
      </x:c>
      <x:c r="AF33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333" s="33" t="n">
        <x:f>--(WorkforceData[[#This Row],[Total Days Worked]]&gt;=121)</x:f>
        <x:v>0</x:v>
      </x:c>
    </x:row>
    <x:row r="334">
      <x:c r="A334" s="236" t="str">
        <x:v>TRN-0333</x:v>
      </x:c>
      <x:c r="B334" s="243"/>
      <x:c r="C334" s="243"/>
      <x:c r="D334" s="243"/>
      <x:c r="E334" s="243"/>
      <x:c r="F334" s="14" t="str">
        <x:v>Recruiter B</x:v>
      </x:c>
      <x:c r="G334" s="14" t="str">
        <x:v>Training Center B</x:v>
      </x:c>
      <x:c r="H334" s="28">
        <x:v>45909</x:v>
      </x:c>
      <x:c r="I334" s="14">
        <x:v>2025</x:v>
      </x:c>
      <x:c r="J334" s="14" t="s">
        <x:v>127</x:v>
      </x:c>
      <x:c r="K334" s="14">
        <x:v>15</x:v>
      </x:c>
      <x:c r="L334" s="29" t="s">
        <x:v>119</x:v>
      </x:c>
      <x:c r="M334" s="28">
        <x:v>45908</x:v>
      </x:c>
      <x:c r="N334" s="14"/>
      <x:c r="O334" s="14">
        <x:v>343</x:v>
      </x:c>
      <x:c r="P334" s="14" t="s">
        <x:v>107</x:v>
      </x:c>
      <x:c r="Q334" s="14" t="s">
        <x:v>25</x:v>
      </x:c>
      <x:c r="R334" s="14"/>
      <x:c r="S334" s="14" t="s">
        <x:v>108</x:v>
      </x:c>
      <x:c r="T334" s="14" t="str">
        <x:v>Region B</x:v>
      </x:c>
      <x:c r="U334" s="28">
        <x:v>45995</x:v>
      </x:c>
      <x:c r="V334" s="30">
        <x:v>86</x:v>
      </x:c>
      <x:c r="W334" s="14" t="s">
        <x:v>114</x:v>
      </x:c>
      <x:c r="X334" s="14" t="s">
        <x:v>125</x:v>
      </x:c>
      <x:c r="Y334" s="32" t="str">
        <x:v>TRN-0333|20250909</x:v>
      </x:c>
      <x:c r="Z334" s="32" t="str" cm="1">
        <x:f t="array" ref="Z33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334" s="33" t="n">
        <x:f>--OR(WorkforceData[[#This Row],[Status]]="Active",WorkforceData[[#This Row],[Promoted]]="Yes",WorkforceData[[#This Row],[Total Days Worked]]&gt;=121)</x:f>
        <x:v>1</x:v>
      </x:c>
      <x:c r="AB334" s="33" t="n">
        <x:f>IF(AND(Q334="Terminated",R334="",O334=0),1,0)</x:f>
        <x:v>0</x:v>
      </x:c>
      <x:c r="AC334" s="33" t="n">
        <x:f>--OR(WorkforceData[[#This Row],[Status]]="Resigned",WorkforceData[[#This Row],[Status After Training]]="Withdrew")</x:f>
        <x:v>0</x:v>
      </x:c>
      <x:c r="AD334" s="34" t="n">
        <x:f>EOMONTH(WorkforceData[[#This Row],[Training Date]],0)</x:f>
        <x:v>45930</x:v>
      </x:c>
      <x:c r="AE334" s="32" t="str">
        <x:f>IF(M334&lt;H334,"Existing Employee",IF(U334="","No Assignment",IF(V334=0,"0 Days",IF(V334&lt;=7,"1-7 Days",IF(V334&lt;=14,"8-14 Days",IF(V334&lt;=21,"15-21 Days","21+ Days"))))))</x:f>
        <x:v>Existing Employee</x:v>
      </x:c>
      <x:c r="AF33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34" s="33" t="n">
        <x:f>--(WorkforceData[[#This Row],[Total Days Worked]]&gt;=121)</x:f>
        <x:v>1</x:v>
      </x:c>
    </x:row>
    <x:row r="335">
      <x:c r="A335" s="236" t="str">
        <x:v>TRN-0334</x:v>
      </x:c>
      <x:c r="B335" s="243"/>
      <x:c r="C335" s="243"/>
      <x:c r="D335" s="243"/>
      <x:c r="E335" s="243"/>
      <x:c r="F335" s="14" t="str">
        <x:v>Recruiter A</x:v>
      </x:c>
      <x:c r="G335" s="14" t="str">
        <x:v>Training Center A</x:v>
      </x:c>
      <x:c r="H335" s="28">
        <x:v>45642</x:v>
      </x:c>
      <x:c r="I335" s="14">
        <x:v>2024</x:v>
      </x:c>
      <x:c r="J335" s="14" t="s">
        <x:v>131</x:v>
      </x:c>
      <x:c r="K335" s="14">
        <x:v>17</x:v>
      </x:c>
      <x:c r="L335" s="29" t="s">
        <x:v>119</x:v>
      </x:c>
      <x:c r="M335" s="28">
        <x:v>45642</x:v>
      </x:c>
      <x:c r="N335" s="28">
        <x:v>46251</x:v>
      </x:c>
      <x:c r="O335" s="14">
        <x:v>609</x:v>
      </x:c>
      <x:c r="P335" s="14" t="s">
        <x:v>120</x:v>
      </x:c>
      <x:c r="Q335" s="14" t="s">
        <x:v>103</x:v>
      </x:c>
      <x:c r="R335" s="14" t="s">
        <x:v>104</x:v>
      </x:c>
      <x:c r="S335" s="14" t="s">
        <x:v>108</x:v>
      </x:c>
      <x:c r="T335" s="14" t="str">
        <x:v>Region A</x:v>
      </x:c>
      <x:c r="U335" s="28">
        <x:v>45643</x:v>
      </x:c>
      <x:c r="V335" s="30">
        <x:v>1</x:v>
      </x:c>
      <x:c r="W335" s="14" t="s">
        <x:v>109</x:v>
      </x:c>
      <x:c r="X335" s="14" t="s">
        <x:v>106</x:v>
      </x:c>
      <x:c r="Y335" s="32" t="str">
        <x:v>TRN-0334|20241216</x:v>
      </x:c>
      <x:c r="Z335" s="32" t="str" cm="1">
        <x:f t="array" ref="Z33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335" s="33" t="n">
        <x:f>--OR(WorkforceData[[#This Row],[Status]]="Active",WorkforceData[[#This Row],[Promoted]]="Yes",WorkforceData[[#This Row],[Total Days Worked]]&gt;=121)</x:f>
        <x:v>1</x:v>
      </x:c>
      <x:c r="AB335" s="33" t="n">
        <x:f>IF(AND(Q335="Terminated",R335="",O335=0),1,0)</x:f>
        <x:v>0</x:v>
      </x:c>
      <x:c r="AC335" s="33" t="n">
        <x:f>--OR(WorkforceData[[#This Row],[Status]]="Resigned",WorkforceData[[#This Row],[Status After Training]]="Withdrew")</x:f>
        <x:v>1</x:v>
      </x:c>
      <x:c r="AD335" s="34" t="n">
        <x:f>EOMONTH(WorkforceData[[#This Row],[Training Date]],0)</x:f>
        <x:v>45657</x:v>
      </x:c>
      <x:c r="AE335" s="32" t="str">
        <x:f>IF(M335&lt;H335,"Existing Employee",IF(U335="","No Assignment",IF(V335=0,"0 Days",IF(V335&lt;=7,"1-7 Days",IF(V335&lt;=14,"8-14 Days",IF(V335&lt;=21,"15-21 Days","21+ Days"))))))</x:f>
        <x:v>1-7 Days</x:v>
      </x:c>
      <x:c r="AF33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35" s="33" t="n">
        <x:f>--(WorkforceData[[#This Row],[Total Days Worked]]&gt;=121)</x:f>
        <x:v>1</x:v>
      </x:c>
    </x:row>
    <x:row r="336">
      <x:c r="A336" s="236" t="str">
        <x:v>TRN-0335</x:v>
      </x:c>
      <x:c r="B336" s="243"/>
      <x:c r="C336" s="243"/>
      <x:c r="D336" s="243"/>
      <x:c r="E336" s="243"/>
      <x:c r="F336" s="14" t="str">
        <x:v>Recruiter D</x:v>
      </x:c>
      <x:c r="G336" s="14" t="str">
        <x:v>Training Center A</x:v>
      </x:c>
      <x:c r="H336" s="28">
        <x:v>45642</x:v>
      </x:c>
      <x:c r="I336" s="14">
        <x:v>2024</x:v>
      </x:c>
      <x:c r="J336" s="14" t="s">
        <x:v>131</x:v>
      </x:c>
      <x:c r="K336" s="14">
        <x:v>17</x:v>
      </x:c>
      <x:c r="L336" s="29" t="s">
        <x:v>119</x:v>
      </x:c>
      <x:c r="M336" s="28">
        <x:v>45642</x:v>
      </x:c>
      <x:c r="N336" s="14"/>
      <x:c r="O336" s="14">
        <x:v>609</x:v>
      </x:c>
      <x:c r="P336" s="14" t="s">
        <x:v>120</x:v>
      </x:c>
      <x:c r="Q336" s="14" t="s">
        <x:v>25</x:v>
      </x:c>
      <x:c r="R336" s="14"/>
      <x:c r="S336" s="14" t="s">
        <x:v>108</x:v>
      </x:c>
      <x:c r="T336" s="14" t="str">
        <x:v>Region C</x:v>
      </x:c>
      <x:c r="U336" s="28">
        <x:v>45646</x:v>
      </x:c>
      <x:c r="V336" s="30">
        <x:v>4</x:v>
      </x:c>
      <x:c r="W336" s="14" t="s">
        <x:v>109</x:v>
      </x:c>
      <x:c r="X336" s="14" t="s">
        <x:v>106</x:v>
      </x:c>
      <x:c r="Y336" s="32" t="str">
        <x:v>TRN-0335|20241216</x:v>
      </x:c>
      <x:c r="Z336" s="32" t="str" cm="1">
        <x:f t="array" ref="Z33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336" s="33" t="n">
        <x:f>--OR(WorkforceData[[#This Row],[Status]]="Active",WorkforceData[[#This Row],[Promoted]]="Yes",WorkforceData[[#This Row],[Total Days Worked]]&gt;=121)</x:f>
        <x:v>1</x:v>
      </x:c>
      <x:c r="AB336" s="33" t="n">
        <x:f>IF(AND(Q336="Terminated",R336="",O336=0),1,0)</x:f>
        <x:v>0</x:v>
      </x:c>
      <x:c r="AC336" s="33" t="n">
        <x:f>--OR(WorkforceData[[#This Row],[Status]]="Resigned",WorkforceData[[#This Row],[Status After Training]]="Withdrew")</x:f>
        <x:v>0</x:v>
      </x:c>
      <x:c r="AD336" s="34" t="n">
        <x:f>EOMONTH(WorkforceData[[#This Row],[Training Date]],0)</x:f>
        <x:v>45657</x:v>
      </x:c>
      <x:c r="AE336" s="32" t="str">
        <x:f>IF(M336&lt;H336,"Existing Employee",IF(U336="","No Assignment",IF(V336=0,"0 Days",IF(V336&lt;=7,"1-7 Days",IF(V336&lt;=14,"8-14 Days",IF(V336&lt;=21,"15-21 Days","21+ Days"))))))</x:f>
        <x:v>1-7 Days</x:v>
      </x:c>
      <x:c r="AF33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36" s="33" t="n">
        <x:f>--(WorkforceData[[#This Row],[Total Days Worked]]&gt;=121)</x:f>
        <x:v>1</x:v>
      </x:c>
    </x:row>
    <x:row r="337">
      <x:c r="A337" s="236" t="str">
        <x:v>TRN-0336</x:v>
      </x:c>
      <x:c r="B337" s="243"/>
      <x:c r="C337" s="243"/>
      <x:c r="D337" s="243"/>
      <x:c r="E337" s="243"/>
      <x:c r="F337" s="14" t="str">
        <x:v>Recruiter A</x:v>
      </x:c>
      <x:c r="G337" s="14" t="str">
        <x:v>Training Center A</x:v>
      </x:c>
      <x:c r="H337" s="28">
        <x:v>45642</x:v>
      </x:c>
      <x:c r="I337" s="14">
        <x:v>2024</x:v>
      </x:c>
      <x:c r="J337" s="14" t="s">
        <x:v>131</x:v>
      </x:c>
      <x:c r="K337" s="14">
        <x:v>17</x:v>
      </x:c>
      <x:c r="L337" s="29" t="s">
        <x:v>119</x:v>
      </x:c>
      <x:c r="M337" s="28">
        <x:v>45632</x:v>
      </x:c>
      <x:c r="N337" s="14"/>
      <x:c r="O337" s="14">
        <x:v>619</x:v>
      </x:c>
      <x:c r="P337" s="14" t="s">
        <x:v>120</x:v>
      </x:c>
      <x:c r="Q337" s="14" t="s">
        <x:v>38</x:v>
      </x:c>
      <x:c r="R337" s="14"/>
      <x:c r="S337" s="14" t="s">
        <x:v>108</x:v>
      </x:c>
      <x:c r="T337" s="14" t="str">
        <x:v>Region D</x:v>
      </x:c>
      <x:c r="U337" s="28">
        <x:v>45644</x:v>
      </x:c>
      <x:c r="V337" s="30">
        <x:v>2</x:v>
      </x:c>
      <x:c r="W337" s="14" t="s">
        <x:v>109</x:v>
      </x:c>
      <x:c r="X337" s="14" t="s">
        <x:v>106</x:v>
      </x:c>
      <x:c r="Y337" s="32" t="str">
        <x:v>TRN-0336|20241216</x:v>
      </x:c>
      <x:c r="Z337" s="32" t="str" cm="1">
        <x:f t="array" ref="Z33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337" s="33" t="n">
        <x:f>--OR(WorkforceData[[#This Row],[Status]]="Active",WorkforceData[[#This Row],[Promoted]]="Yes",WorkforceData[[#This Row],[Total Days Worked]]&gt;=121)</x:f>
        <x:v>1</x:v>
      </x:c>
      <x:c r="AB337" s="33" t="n">
        <x:f>IF(AND(Q337="Terminated",R337="",O337=0),1,0)</x:f>
        <x:v>0</x:v>
      </x:c>
      <x:c r="AC337" s="33" t="n">
        <x:f>--OR(WorkforceData[[#This Row],[Status]]="Resigned",WorkforceData[[#This Row],[Status After Training]]="Withdrew")</x:f>
        <x:v>0</x:v>
      </x:c>
      <x:c r="AD337" s="34" t="n">
        <x:f>EOMONTH(WorkforceData[[#This Row],[Training Date]],0)</x:f>
        <x:v>45657</x:v>
      </x:c>
      <x:c r="AE337" s="32" t="str">
        <x:f>IF(M337&lt;H337,"Existing Employee",IF(U337="","No Assignment",IF(V337=0,"0 Days",IF(V337&lt;=7,"1-7 Days",IF(V337&lt;=14,"8-14 Days",IF(V337&lt;=21,"15-21 Days","21+ Days"))))))</x:f>
        <x:v>Existing Employee</x:v>
      </x:c>
      <x:c r="AF33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37" s="33" t="n">
        <x:f>--(WorkforceData[[#This Row],[Total Days Worked]]&gt;=121)</x:f>
        <x:v>1</x:v>
      </x:c>
    </x:row>
    <x:row r="338">
      <x:c r="A338" s="236" t="str">
        <x:v>TRN-0337</x:v>
      </x:c>
      <x:c r="B338" s="243"/>
      <x:c r="C338" s="243"/>
      <x:c r="D338" s="243"/>
      <x:c r="E338" s="243"/>
      <x:c r="F338" s="14" t="str">
        <x:v>Recruiter D</x:v>
      </x:c>
      <x:c r="G338" s="14" t="str">
        <x:v>Training Center A</x:v>
      </x:c>
      <x:c r="H338" s="28">
        <x:v>45642</x:v>
      </x:c>
      <x:c r="I338" s="14">
        <x:v>2024</x:v>
      </x:c>
      <x:c r="J338" s="14" t="s">
        <x:v>131</x:v>
      </x:c>
      <x:c r="K338" s="14">
        <x:v>17</x:v>
      </x:c>
      <x:c r="L338" s="29" t="s">
        <x:v>119</x:v>
      </x:c>
      <x:c r="M338" s="28">
        <x:v>45639</x:v>
      </x:c>
      <x:c r="N338" s="28">
        <x:v>45648</x:v>
      </x:c>
      <x:c r="O338" s="14">
        <x:v>9</x:v>
      </x:c>
      <x:c r="P338" s="14" t="s">
        <x:v>102</x:v>
      </x:c>
      <x:c r="Q338" s="14" t="s">
        <x:v>103</x:v>
      </x:c>
      <x:c r="R338" s="14" t="s">
        <x:v>111</x:v>
      </x:c>
      <x:c r="S338" s="14" t="s">
        <x:v>105</x:v>
      </x:c>
      <x:c r="T338" s="14" t="str">
        <x:v>Region C</x:v>
      </x:c>
      <x:c r="U338" s="28">
        <x:v>45644</x:v>
      </x:c>
      <x:c r="V338" s="30">
        <x:v>2</x:v>
      </x:c>
      <x:c r="W338" s="14" t="s">
        <x:v>109</x:v>
      </x:c>
      <x:c r="X338" s="14" t="s">
        <x:v>106</x:v>
      </x:c>
      <x:c r="Y338" s="32" t="str">
        <x:v>TRN-0337|20241216</x:v>
      </x:c>
      <x:c r="Z338" s="32" t="str" cm="1">
        <x:f t="array" ref="Z33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338" s="33" t="n">
        <x:f>--OR(WorkforceData[[#This Row],[Status]]="Active",WorkforceData[[#This Row],[Promoted]]="Yes",WorkforceData[[#This Row],[Total Days Worked]]&gt;=121)</x:f>
        <x:v>0</x:v>
      </x:c>
      <x:c r="AB338" s="33" t="n">
        <x:f>IF(AND(Q338="Terminated",R338="",O338=0),1,0)</x:f>
        <x:v>0</x:v>
      </x:c>
      <x:c r="AC338" s="33" t="n">
        <x:f>--OR(WorkforceData[[#This Row],[Status]]="Resigned",WorkforceData[[#This Row],[Status After Training]]="Withdrew")</x:f>
        <x:v>1</x:v>
      </x:c>
      <x:c r="AD338" s="34" t="n">
        <x:f>EOMONTH(WorkforceData[[#This Row],[Training Date]],0)</x:f>
        <x:v>45657</x:v>
      </x:c>
      <x:c r="AE338" s="32" t="str">
        <x:f>IF(M338&lt;H338,"Existing Employee",IF(U338="","No Assignment",IF(V338=0,"0 Days",IF(V338&lt;=7,"1-7 Days",IF(V338&lt;=14,"8-14 Days",IF(V338&lt;=21,"15-21 Days","21+ Days"))))))</x:f>
        <x:v>Existing Employee</x:v>
      </x:c>
      <x:c r="AF33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338" s="33" t="n">
        <x:f>--(WorkforceData[[#This Row],[Total Days Worked]]&gt;=121)</x:f>
        <x:v>0</x:v>
      </x:c>
    </x:row>
    <x:row r="339">
      <x:c r="A339" s="236" t="str">
        <x:v>TRN-0338</x:v>
      </x:c>
      <x:c r="B339" s="243"/>
      <x:c r="C339" s="243"/>
      <x:c r="D339" s="243"/>
      <x:c r="E339" s="243"/>
      <x:c r="F339" s="14" t="str">
        <x:v>Recruiter B</x:v>
      </x:c>
      <x:c r="G339" s="14" t="str">
        <x:v>Training Center A</x:v>
      </x:c>
      <x:c r="H339" s="28">
        <x:v>45642</x:v>
      </x:c>
      <x:c r="I339" s="14">
        <x:v>2024</x:v>
      </x:c>
      <x:c r="J339" s="14" t="s">
        <x:v>131</x:v>
      </x:c>
      <x:c r="K339" s="14">
        <x:v>17</x:v>
      </x:c>
      <x:c r="L339" s="29" t="s">
        <x:v>119</x:v>
      </x:c>
      <x:c r="M339" s="28">
        <x:v>45640</x:v>
      </x:c>
      <x:c r="N339" s="28">
        <x:v>45653</x:v>
      </x:c>
      <x:c r="O339" s="14">
        <x:v>13</x:v>
      </x:c>
      <x:c r="P339" s="14" t="s">
        <x:v>102</x:v>
      </x:c>
      <x:c r="Q339" s="14" t="s">
        <x:v>103</x:v>
      </x:c>
      <x:c r="R339" s="14" t="s">
        <x:v>104</x:v>
      </x:c>
      <x:c r="S339" s="14" t="s">
        <x:v>105</x:v>
      </x:c>
      <x:c r="T339" s="14" t="str">
        <x:v>Region D</x:v>
      </x:c>
      <x:c r="U339" s="28">
        <x:v>45650</x:v>
      </x:c>
      <x:c r="V339" s="30">
        <x:v>8</x:v>
      </x:c>
      <x:c r="W339" s="14" t="s">
        <x:v>45</x:v>
      </x:c>
      <x:c r="X339" s="14" t="s">
        <x:v>106</x:v>
      </x:c>
      <x:c r="Y339" s="32" t="str">
        <x:v>TRN-0338|20241216</x:v>
      </x:c>
      <x:c r="Z339" s="32" t="str" cm="1">
        <x:f t="array" ref="Z33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339" s="33" t="n">
        <x:f>--OR(WorkforceData[[#This Row],[Status]]="Active",WorkforceData[[#This Row],[Promoted]]="Yes",WorkforceData[[#This Row],[Total Days Worked]]&gt;=121)</x:f>
        <x:v>0</x:v>
      </x:c>
      <x:c r="AB339" s="33" t="n">
        <x:f>IF(AND(Q339="Terminated",R339="",O339=0),1,0)</x:f>
        <x:v>0</x:v>
      </x:c>
      <x:c r="AC339" s="33" t="n">
        <x:f>--OR(WorkforceData[[#This Row],[Status]]="Resigned",WorkforceData[[#This Row],[Status After Training]]="Withdrew")</x:f>
        <x:v>1</x:v>
      </x:c>
      <x:c r="AD339" s="34" t="n">
        <x:f>EOMONTH(WorkforceData[[#This Row],[Training Date]],0)</x:f>
        <x:v>45657</x:v>
      </x:c>
      <x:c r="AE339" s="32" t="str">
        <x:f>IF(M339&lt;H339,"Existing Employee",IF(U339="","No Assignment",IF(V339=0,"0 Days",IF(V339&lt;=7,"1-7 Days",IF(V339&lt;=14,"8-14 Days",IF(V339&lt;=21,"15-21 Days","21+ Days"))))))</x:f>
        <x:v>Existing Employee</x:v>
      </x:c>
      <x:c r="AF33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339" s="33" t="n">
        <x:f>--(WorkforceData[[#This Row],[Total Days Worked]]&gt;=121)</x:f>
        <x:v>0</x:v>
      </x:c>
    </x:row>
    <x:row r="340">
      <x:c r="A340" s="236" t="str">
        <x:v>TRN-0339</x:v>
      </x:c>
      <x:c r="B340" s="243"/>
      <x:c r="C340" s="243"/>
      <x:c r="D340" s="243"/>
      <x:c r="E340" s="243"/>
      <x:c r="F340" s="14" t="str">
        <x:v>Recruiter D</x:v>
      </x:c>
      <x:c r="G340" s="14" t="str">
        <x:v>Training Center A</x:v>
      </x:c>
      <x:c r="H340" s="28">
        <x:v>45642</x:v>
      </x:c>
      <x:c r="I340" s="14">
        <x:v>2024</x:v>
      </x:c>
      <x:c r="J340" s="14" t="s">
        <x:v>131</x:v>
      </x:c>
      <x:c r="K340" s="14">
        <x:v>17</x:v>
      </x:c>
      <x:c r="L340" s="29" t="s">
        <x:v>119</x:v>
      </x:c>
      <x:c r="M340" s="28">
        <x:v>45639</x:v>
      </x:c>
      <x:c r="N340" s="14"/>
      <x:c r="O340" s="14">
        <x:v>612</x:v>
      </x:c>
      <x:c r="P340" s="14" t="s">
        <x:v>120</x:v>
      </x:c>
      <x:c r="Q340" s="14" t="s">
        <x:v>38</x:v>
      </x:c>
      <x:c r="R340" s="14"/>
      <x:c r="S340" s="14" t="s">
        <x:v>108</x:v>
      </x:c>
      <x:c r="T340" s="14" t="str">
        <x:v>Region A</x:v>
      </x:c>
      <x:c r="U340" s="28">
        <x:v>45740</x:v>
      </x:c>
      <x:c r="V340" s="30">
        <x:v>98</x:v>
      </x:c>
      <x:c r="W340" s="14" t="s">
        <x:v>114</x:v>
      </x:c>
      <x:c r="X340" s="14" t="s">
        <x:v>117</x:v>
      </x:c>
      <x:c r="Y340" s="32" t="str">
        <x:v>TRN-0339|20241216</x:v>
      </x:c>
      <x:c r="Z340" s="32" t="str" cm="1">
        <x:f t="array" ref="Z34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340" s="33" t="n">
        <x:f>--OR(WorkforceData[[#This Row],[Status]]="Active",WorkforceData[[#This Row],[Promoted]]="Yes",WorkforceData[[#This Row],[Total Days Worked]]&gt;=121)</x:f>
        <x:v>1</x:v>
      </x:c>
      <x:c r="AB340" s="33" t="n">
        <x:f>IF(AND(Q340="Terminated",R340="",O340=0),1,0)</x:f>
        <x:v>0</x:v>
      </x:c>
      <x:c r="AC340" s="33" t="n">
        <x:f>--OR(WorkforceData[[#This Row],[Status]]="Resigned",WorkforceData[[#This Row],[Status After Training]]="Withdrew")</x:f>
        <x:v>0</x:v>
      </x:c>
      <x:c r="AD340" s="34" t="n">
        <x:f>EOMONTH(WorkforceData[[#This Row],[Training Date]],0)</x:f>
        <x:v>45657</x:v>
      </x:c>
      <x:c r="AE340" s="32" t="str">
        <x:f>IF(M340&lt;H340,"Existing Employee",IF(U340="","No Assignment",IF(V340=0,"0 Days",IF(V340&lt;=7,"1-7 Days",IF(V340&lt;=14,"8-14 Days",IF(V340&lt;=21,"15-21 Days","21+ Days"))))))</x:f>
        <x:v>Existing Employee</x:v>
      </x:c>
      <x:c r="AF34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40" s="33" t="n">
        <x:f>--(WorkforceData[[#This Row],[Total Days Worked]]&gt;=121)</x:f>
        <x:v>1</x:v>
      </x:c>
    </x:row>
    <x:row r="341">
      <x:c r="A341" s="236" t="str">
        <x:v>TRN-0340</x:v>
      </x:c>
      <x:c r="B341" s="243"/>
      <x:c r="C341" s="243"/>
      <x:c r="D341" s="243"/>
      <x:c r="E341" s="243"/>
      <x:c r="F341" s="14" t="str">
        <x:v>Recruiter A</x:v>
      </x:c>
      <x:c r="G341" s="14" t="str">
        <x:v>Training Center A</x:v>
      </x:c>
      <x:c r="H341" s="28">
        <x:v>45642</x:v>
      </x:c>
      <x:c r="I341" s="14">
        <x:v>2024</x:v>
      </x:c>
      <x:c r="J341" s="14" t="s">
        <x:v>131</x:v>
      </x:c>
      <x:c r="K341" s="14">
        <x:v>17</x:v>
      </x:c>
      <x:c r="L341" s="29" t="s">
        <x:v>119</x:v>
      </x:c>
      <x:c r="M341" s="28">
        <x:v>45639</x:v>
      </x:c>
      <x:c r="N341" s="28">
        <x:v>45886</x:v>
      </x:c>
      <x:c r="O341" s="14">
        <x:v>247</x:v>
      </x:c>
      <x:c r="P341" s="14" t="s">
        <x:v>107</x:v>
      </x:c>
      <x:c r="Q341" s="14" t="s">
        <x:v>103</x:v>
      </x:c>
      <x:c r="R341" s="14" t="s">
        <x:v>104</x:v>
      </x:c>
      <x:c r="S341" s="14" t="s">
        <x:v>108</x:v>
      </x:c>
      <x:c r="T341" s="14" t="str">
        <x:v>Region B</x:v>
      </x:c>
      <x:c r="U341" s="28">
        <x:v>45655</x:v>
      </x:c>
      <x:c r="V341" s="30">
        <x:v>13</x:v>
      </x:c>
      <x:c r="W341" s="14" t="s">
        <x:v>45</x:v>
      </x:c>
      <x:c r="X341" s="14" t="s">
        <x:v>106</x:v>
      </x:c>
      <x:c r="Y341" s="32" t="str">
        <x:v>TRN-0340|20241216</x:v>
      </x:c>
      <x:c r="Z341" s="32" t="str" cm="1">
        <x:f t="array" ref="Z34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341" s="33" t="n">
        <x:f>--OR(WorkforceData[[#This Row],[Status]]="Active",WorkforceData[[#This Row],[Promoted]]="Yes",WorkforceData[[#This Row],[Total Days Worked]]&gt;=121)</x:f>
        <x:v>1</x:v>
      </x:c>
      <x:c r="AB341" s="33" t="n">
        <x:f>IF(AND(Q341="Terminated",R341="",O341=0),1,0)</x:f>
        <x:v>0</x:v>
      </x:c>
      <x:c r="AC341" s="33" t="n">
        <x:f>--OR(WorkforceData[[#This Row],[Status]]="Resigned",WorkforceData[[#This Row],[Status After Training]]="Withdrew")</x:f>
        <x:v>1</x:v>
      </x:c>
      <x:c r="AD341" s="34" t="n">
        <x:f>EOMONTH(WorkforceData[[#This Row],[Training Date]],0)</x:f>
        <x:v>45657</x:v>
      </x:c>
      <x:c r="AE341" s="32" t="str">
        <x:f>IF(M341&lt;H341,"Existing Employee",IF(U341="","No Assignment",IF(V341=0,"0 Days",IF(V341&lt;=7,"1-7 Days",IF(V341&lt;=14,"8-14 Days",IF(V341&lt;=21,"15-21 Days","21+ Days"))))))</x:f>
        <x:v>Existing Employee</x:v>
      </x:c>
      <x:c r="AF34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41" s="33" t="n">
        <x:f>--(WorkforceData[[#This Row],[Total Days Worked]]&gt;=121)</x:f>
        <x:v>1</x:v>
      </x:c>
    </x:row>
    <x:row r="342">
      <x:c r="A342" s="236" t="str">
        <x:v>TRN-0341</x:v>
      </x:c>
      <x:c r="B342" s="243"/>
      <x:c r="C342" s="243"/>
      <x:c r="D342" s="243"/>
      <x:c r="E342" s="243"/>
      <x:c r="F342" s="14" t="str">
        <x:v>Recruiter H</x:v>
      </x:c>
      <x:c r="G342" s="14" t="str">
        <x:v>Training Center A</x:v>
      </x:c>
      <x:c r="H342" s="28">
        <x:v>45642</x:v>
      </x:c>
      <x:c r="I342" s="14">
        <x:v>2024</x:v>
      </x:c>
      <x:c r="J342" s="14" t="s">
        <x:v>131</x:v>
      </x:c>
      <x:c r="K342" s="14">
        <x:v>17</x:v>
      </x:c>
      <x:c r="L342" s="29" t="s">
        <x:v>119</x:v>
      </x:c>
      <x:c r="M342" s="28">
        <x:v>45632</x:v>
      </x:c>
      <x:c r="N342" s="28">
        <x:v>45792</x:v>
      </x:c>
      <x:c r="O342" s="14">
        <x:v>160</x:v>
      </x:c>
      <x:c r="P342" s="14" t="s">
        <x:v>113</x:v>
      </x:c>
      <x:c r="Q342" s="14" t="s">
        <x:v>103</x:v>
      </x:c>
      <x:c r="R342" s="14" t="s">
        <x:v>104</x:v>
      </x:c>
      <x:c r="S342" s="14" t="s">
        <x:v>105</x:v>
      </x:c>
      <x:c r="T342" s="14" t="str">
        <x:v>Region A</x:v>
      </x:c>
      <x:c r="U342" s="28">
        <x:v>45643</x:v>
      </x:c>
      <x:c r="V342" s="30">
        <x:v>1</x:v>
      </x:c>
      <x:c r="W342" s="14" t="s">
        <x:v>109</x:v>
      </x:c>
      <x:c r="X342" s="14" t="s">
        <x:v>106</x:v>
      </x:c>
      <x:c r="Y342" s="32" t="str">
        <x:v>TRN-0341|20241216</x:v>
      </x:c>
      <x:c r="Z342" s="32" t="str" cm="1">
        <x:f t="array" ref="Z34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Complete</x:v>
      </x:c>
      <x:c r="AA342" s="33" t="n">
        <x:f>--OR(WorkforceData[[#This Row],[Status]]="Active",WorkforceData[[#This Row],[Promoted]]="Yes",WorkforceData[[#This Row],[Total Days Worked]]&gt;=121)</x:f>
        <x:v>1</x:v>
      </x:c>
      <x:c r="AB342" s="33" t="n">
        <x:f>IF(AND(Q342="Terminated",R342="",O342=0),1,0)</x:f>
        <x:v>0</x:v>
      </x:c>
      <x:c r="AC342" s="33" t="n">
        <x:f>--OR(WorkforceData[[#This Row],[Status]]="Resigned",WorkforceData[[#This Row],[Status After Training]]="Withdrew")</x:f>
        <x:v>1</x:v>
      </x:c>
      <x:c r="AD342" s="34" t="n">
        <x:f>EOMONTH(WorkforceData[[#This Row],[Training Date]],0)</x:f>
        <x:v>45657</x:v>
      </x:c>
      <x:c r="AE342" s="32" t="str">
        <x:f>IF(M342&lt;H342,"Existing Employee",IF(U342="","No Assignment",IF(V342=0,"0 Days",IF(V342&lt;=7,"1-7 Days",IF(V342&lt;=14,"8-14 Days",IF(V342&lt;=21,"15-21 Days","21+ Days"))))))</x:f>
        <x:v>Existing Employee</x:v>
      </x:c>
      <x:c r="AF34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42" s="33" t="n">
        <x:f>--(WorkforceData[[#This Row],[Total Days Worked]]&gt;=121)</x:f>
        <x:v>1</x:v>
      </x:c>
    </x:row>
    <x:row r="343">
      <x:c r="A343" s="236" t="str">
        <x:v>TRN-0342</x:v>
      </x:c>
      <x:c r="B343" s="243"/>
      <x:c r="C343" s="243"/>
      <x:c r="D343" s="243"/>
      <x:c r="E343" s="243"/>
      <x:c r="F343" s="14" t="str">
        <x:v>Recruiter A</x:v>
      </x:c>
      <x:c r="G343" s="14" t="str">
        <x:v>Training Center A</x:v>
      </x:c>
      <x:c r="H343" s="28">
        <x:v>45642</x:v>
      </x:c>
      <x:c r="I343" s="14">
        <x:v>2024</x:v>
      </x:c>
      <x:c r="J343" s="14" t="s">
        <x:v>131</x:v>
      </x:c>
      <x:c r="K343" s="14">
        <x:v>17</x:v>
      </x:c>
      <x:c r="L343" s="29" t="s">
        <x:v>119</x:v>
      </x:c>
      <x:c r="M343" s="28">
        <x:v>45632</x:v>
      </x:c>
      <x:c r="N343" s="14"/>
      <x:c r="O343" s="14">
        <x:v>619</x:v>
      </x:c>
      <x:c r="P343" s="14" t="s">
        <x:v>120</x:v>
      </x:c>
      <x:c r="Q343" s="14" t="s">
        <x:v>38</x:v>
      </x:c>
      <x:c r="R343" s="14"/>
      <x:c r="S343" s="14" t="s">
        <x:v>108</x:v>
      </x:c>
      <x:c r="T343" s="14" t="str">
        <x:v>Region D</x:v>
      </x:c>
      <x:c r="U343" s="28">
        <x:v>45663</x:v>
      </x:c>
      <x:c r="V343" s="30">
        <x:v>21</x:v>
      </x:c>
      <x:c r="W343" s="14" t="s">
        <x:v>112</x:v>
      </x:c>
      <x:c r="X343" s="14" t="s">
        <x:v>106</x:v>
      </x:c>
      <x:c r="Y343" s="32" t="str">
        <x:v>TRN-0342|20241216</x:v>
      </x:c>
      <x:c r="Z343" s="32" t="str" cm="1">
        <x:f t="array" ref="Z34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343" s="33" t="n">
        <x:f>--OR(WorkforceData[[#This Row],[Status]]="Active",WorkforceData[[#This Row],[Promoted]]="Yes",WorkforceData[[#This Row],[Total Days Worked]]&gt;=121)</x:f>
        <x:v>1</x:v>
      </x:c>
      <x:c r="AB343" s="33" t="n">
        <x:f>IF(AND(Q343="Terminated",R343="",O343=0),1,0)</x:f>
        <x:v>0</x:v>
      </x:c>
      <x:c r="AC343" s="33" t="n">
        <x:f>--OR(WorkforceData[[#This Row],[Status]]="Resigned",WorkforceData[[#This Row],[Status After Training]]="Withdrew")</x:f>
        <x:v>0</x:v>
      </x:c>
      <x:c r="AD343" s="34" t="n">
        <x:f>EOMONTH(WorkforceData[[#This Row],[Training Date]],0)</x:f>
        <x:v>45657</x:v>
      </x:c>
      <x:c r="AE343" s="32" t="str">
        <x:f>IF(M343&lt;H343,"Existing Employee",IF(U343="","No Assignment",IF(V343=0,"0 Days",IF(V343&lt;=7,"1-7 Days",IF(V343&lt;=14,"8-14 Days",IF(V343&lt;=21,"15-21 Days","21+ Days"))))))</x:f>
        <x:v>Existing Employee</x:v>
      </x:c>
      <x:c r="AF34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43" s="33" t="n">
        <x:f>--(WorkforceData[[#This Row],[Total Days Worked]]&gt;=121)</x:f>
        <x:v>1</x:v>
      </x:c>
    </x:row>
    <x:row r="344">
      <x:c r="A344" s="236" t="str">
        <x:v>TRN-0343</x:v>
      </x:c>
      <x:c r="B344" s="243"/>
      <x:c r="C344" s="243"/>
      <x:c r="D344" s="243"/>
      <x:c r="E344" s="243"/>
      <x:c r="F344" s="14" t="str">
        <x:v>Recruiter C</x:v>
      </x:c>
      <x:c r="G344" s="14" t="str">
        <x:v>Training Center A</x:v>
      </x:c>
      <x:c r="H344" s="28">
        <x:v>45642</x:v>
      </x:c>
      <x:c r="I344" s="14">
        <x:v>2024</x:v>
      </x:c>
      <x:c r="J344" s="14" t="s">
        <x:v>131</x:v>
      </x:c>
      <x:c r="K344" s="14">
        <x:v>17</x:v>
      </x:c>
      <x:c r="L344" s="29" t="s">
        <x:v>119</x:v>
      </x:c>
      <x:c r="M344" s="28">
        <x:v>45639</x:v>
      </x:c>
      <x:c r="N344" s="28">
        <x:v>45656</x:v>
      </x:c>
      <x:c r="O344" s="14">
        <x:v>17</x:v>
      </x:c>
      <x:c r="P344" s="14" t="s">
        <x:v>102</x:v>
      </x:c>
      <x:c r="Q344" s="14" t="s">
        <x:v>103</x:v>
      </x:c>
      <x:c r="R344" s="14" t="s">
        <x:v>104</x:v>
      </x:c>
      <x:c r="S344" s="14" t="s">
        <x:v>105</x:v>
      </x:c>
      <x:c r="T344" s="14" t="str">
        <x:v>Region B</x:v>
      </x:c>
      <x:c r="U344" s="28">
        <x:v>45656</x:v>
      </x:c>
      <x:c r="V344" s="30">
        <x:v>14</x:v>
      </x:c>
      <x:c r="W344" s="14" t="s">
        <x:v>45</x:v>
      </x:c>
      <x:c r="X344" s="14" t="s">
        <x:v>117</x:v>
      </x:c>
      <x:c r="Y344" s="32" t="str">
        <x:v>TRN-0343|20241216</x:v>
      </x:c>
      <x:c r="Z344" s="32" t="str" cm="1">
        <x:f t="array" ref="Z34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344" s="33" t="n">
        <x:f>--OR(WorkforceData[[#This Row],[Status]]="Active",WorkforceData[[#This Row],[Promoted]]="Yes",WorkforceData[[#This Row],[Total Days Worked]]&gt;=121)</x:f>
        <x:v>0</x:v>
      </x:c>
      <x:c r="AB344" s="33" t="n">
        <x:f>IF(AND(Q344="Terminated",R344="",O344=0),1,0)</x:f>
        <x:v>0</x:v>
      </x:c>
      <x:c r="AC344" s="33" t="n">
        <x:f>--OR(WorkforceData[[#This Row],[Status]]="Resigned",WorkforceData[[#This Row],[Status After Training]]="Withdrew")</x:f>
        <x:v>1</x:v>
      </x:c>
      <x:c r="AD344" s="34" t="n">
        <x:f>EOMONTH(WorkforceData[[#This Row],[Training Date]],0)</x:f>
        <x:v>45657</x:v>
      </x:c>
      <x:c r="AE344" s="32" t="str">
        <x:f>IF(M344&lt;H344,"Existing Employee",IF(U344="","No Assignment",IF(V344=0,"0 Days",IF(V344&lt;=7,"1-7 Days",IF(V344&lt;=14,"8-14 Days",IF(V344&lt;=21,"15-21 Days","21+ Days"))))))</x:f>
        <x:v>Existing Employee</x:v>
      </x:c>
      <x:c r="AF34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344" s="33" t="n">
        <x:f>--(WorkforceData[[#This Row],[Total Days Worked]]&gt;=121)</x:f>
        <x:v>0</x:v>
      </x:c>
    </x:row>
    <x:row r="345">
      <x:c r="A345" s="236" t="str">
        <x:v>TRN-0344</x:v>
      </x:c>
      <x:c r="B345" s="243"/>
      <x:c r="C345" s="243"/>
      <x:c r="D345" s="243"/>
      <x:c r="E345" s="243"/>
      <x:c r="F345" s="14" t="str">
        <x:v>Recruiter C</x:v>
      </x:c>
      <x:c r="G345" s="14" t="str">
        <x:v>Training Center A</x:v>
      </x:c>
      <x:c r="H345" s="28">
        <x:v>45642</x:v>
      </x:c>
      <x:c r="I345" s="14">
        <x:v>2024</x:v>
      </x:c>
      <x:c r="J345" s="14" t="s">
        <x:v>131</x:v>
      </x:c>
      <x:c r="K345" s="14">
        <x:v>17</x:v>
      </x:c>
      <x:c r="L345" s="29" t="s">
        <x:v>119</x:v>
      </x:c>
      <x:c r="M345" s="28">
        <x:v>45635</x:v>
      </x:c>
      <x:c r="N345" s="28">
        <x:v>45699</x:v>
      </x:c>
      <x:c r="O345" s="14">
        <x:v>64</x:v>
      </x:c>
      <x:c r="P345" s="14" t="s">
        <x:v>110</x:v>
      </x:c>
      <x:c r="Q345" s="14" t="s">
        <x:v>33</x:v>
      </x:c>
      <x:c r="R345" s="14" t="s">
        <x:v>121</x:v>
      </x:c>
      <x:c r="S345" s="14" t="s">
        <x:v>105</x:v>
      </x:c>
      <x:c r="T345" s="14" t="str">
        <x:v>Region D</x:v>
      </x:c>
      <x:c r="U345" s="28">
        <x:v>45684</x:v>
      </x:c>
      <x:c r="V345" s="30">
        <x:v>42</x:v>
      </x:c>
      <x:c r="W345" s="14" t="s">
        <x:v>63</x:v>
      </x:c>
      <x:c r="X345" s="14" t="s">
        <x:v>117</x:v>
      </x:c>
      <x:c r="Y345" s="32" t="str">
        <x:v>TRN-0344|20241216</x:v>
      </x:c>
      <x:c r="Z345" s="32" t="str" cm="1">
        <x:f t="array" ref="Z34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345" s="33" t="n">
        <x:f>--OR(WorkforceData[[#This Row],[Status]]="Active",WorkforceData[[#This Row],[Promoted]]="Yes",WorkforceData[[#This Row],[Total Days Worked]]&gt;=121)</x:f>
        <x:v>0</x:v>
      </x:c>
      <x:c r="AB345" s="33" t="n">
        <x:f>IF(AND(Q345="Terminated",R345="",O345=0),1,0)</x:f>
        <x:v>0</x:v>
      </x:c>
      <x:c r="AC345" s="33" t="n">
        <x:f>--OR(WorkforceData[[#This Row],[Status]]="Resigned",WorkforceData[[#This Row],[Status After Training]]="Withdrew")</x:f>
        <x:v>0</x:v>
      </x:c>
      <x:c r="AD345" s="34" t="n">
        <x:f>EOMONTH(WorkforceData[[#This Row],[Training Date]],0)</x:f>
        <x:v>45657</x:v>
      </x:c>
      <x:c r="AE345" s="32" t="str">
        <x:f>IF(M345&lt;H345,"Existing Employee",IF(U345="","No Assignment",IF(V345=0,"0 Days",IF(V345&lt;=7,"1-7 Days",IF(V345&lt;=14,"8-14 Days",IF(V345&lt;=21,"15-21 Days","21+ Days"))))))</x:f>
        <x:v>Existing Employee</x:v>
      </x:c>
      <x:c r="AF34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61-90 Days</x:v>
      </x:c>
      <x:c r="AG345" s="33" t="n">
        <x:f>--(WorkforceData[[#This Row],[Total Days Worked]]&gt;=121)</x:f>
        <x:v>0</x:v>
      </x:c>
    </x:row>
    <x:row r="346">
      <x:c r="A346" s="236" t="str">
        <x:v>TRN-0345</x:v>
      </x:c>
      <x:c r="B346" s="243"/>
      <x:c r="C346" s="243"/>
      <x:c r="D346" s="243"/>
      <x:c r="E346" s="243"/>
      <x:c r="F346" s="14" t="str">
        <x:v>Recruiter F</x:v>
      </x:c>
      <x:c r="G346" s="14" t="str">
        <x:v>Training Center A</x:v>
      </x:c>
      <x:c r="H346" s="28">
        <x:v>45642</x:v>
      </x:c>
      <x:c r="I346" s="14">
        <x:v>2024</x:v>
      </x:c>
      <x:c r="J346" s="14" t="s">
        <x:v>131</x:v>
      </x:c>
      <x:c r="K346" s="14">
        <x:v>17</x:v>
      </x:c>
      <x:c r="L346" s="29" t="s">
        <x:v>119</x:v>
      </x:c>
      <x:c r="M346" s="28">
        <x:v>45637</x:v>
      </x:c>
      <x:c r="N346" s="14"/>
      <x:c r="O346" s="14">
        <x:v>614</x:v>
      </x:c>
      <x:c r="P346" s="14" t="s">
        <x:v>120</x:v>
      </x:c>
      <x:c r="Q346" s="14" t="s">
        <x:v>25</x:v>
      </x:c>
      <x:c r="R346" s="14"/>
      <x:c r="S346" s="14" t="s">
        <x:v>108</x:v>
      </x:c>
      <x:c r="T346" s="14" t="str">
        <x:v>Region C</x:v>
      </x:c>
      <x:c r="U346" s="28">
        <x:v>45649</x:v>
      </x:c>
      <x:c r="V346" s="30">
        <x:v>7</x:v>
      </x:c>
      <x:c r="W346" s="14" t="s">
        <x:v>109</x:v>
      </x:c>
      <x:c r="X346" s="14" t="s">
        <x:v>106</x:v>
      </x:c>
      <x:c r="Y346" s="32" t="str">
        <x:v>TRN-0345|20241216</x:v>
      </x:c>
      <x:c r="Z346" s="32" t="str" cm="1">
        <x:f t="array" ref="Z34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346" s="33" t="n">
        <x:f>--OR(WorkforceData[[#This Row],[Status]]="Active",WorkforceData[[#This Row],[Promoted]]="Yes",WorkforceData[[#This Row],[Total Days Worked]]&gt;=121)</x:f>
        <x:v>1</x:v>
      </x:c>
      <x:c r="AB346" s="33" t="n">
        <x:f>IF(AND(Q346="Terminated",R346="",O346=0),1,0)</x:f>
        <x:v>0</x:v>
      </x:c>
      <x:c r="AC346" s="33" t="n">
        <x:f>--OR(WorkforceData[[#This Row],[Status]]="Resigned",WorkforceData[[#This Row],[Status After Training]]="Withdrew")</x:f>
        <x:v>0</x:v>
      </x:c>
      <x:c r="AD346" s="34" t="n">
        <x:f>EOMONTH(WorkforceData[[#This Row],[Training Date]],0)</x:f>
        <x:v>45657</x:v>
      </x:c>
      <x:c r="AE346" s="32" t="str">
        <x:f>IF(M346&lt;H346,"Existing Employee",IF(U346="","No Assignment",IF(V346=0,"0 Days",IF(V346&lt;=7,"1-7 Days",IF(V346&lt;=14,"8-14 Days",IF(V346&lt;=21,"15-21 Days","21+ Days"))))))</x:f>
        <x:v>Existing Employee</x:v>
      </x:c>
      <x:c r="AF34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46" s="33" t="n">
        <x:f>--(WorkforceData[[#This Row],[Total Days Worked]]&gt;=121)</x:f>
        <x:v>1</x:v>
      </x:c>
    </x:row>
    <x:row r="347">
      <x:c r="A347" s="236" t="str">
        <x:v>TRN-0346</x:v>
      </x:c>
      <x:c r="B347" s="243"/>
      <x:c r="C347" s="243"/>
      <x:c r="D347" s="243"/>
      <x:c r="E347" s="243"/>
      <x:c r="F347" s="14" t="str">
        <x:v>Recruiter E</x:v>
      </x:c>
      <x:c r="G347" s="14" t="str">
        <x:v>Training Center A</x:v>
      </x:c>
      <x:c r="H347" s="28">
        <x:v>45642</x:v>
      </x:c>
      <x:c r="I347" s="14">
        <x:v>2024</x:v>
      </x:c>
      <x:c r="J347" s="14" t="s">
        <x:v>131</x:v>
      </x:c>
      <x:c r="K347" s="14">
        <x:v>17</x:v>
      </x:c>
      <x:c r="L347" s="29" t="s">
        <x:v>119</x:v>
      </x:c>
      <x:c r="M347" s="28">
        <x:v>45632</x:v>
      </x:c>
      <x:c r="N347" s="14"/>
      <x:c r="O347" s="14">
        <x:v>619</x:v>
      </x:c>
      <x:c r="P347" s="14" t="s">
        <x:v>120</x:v>
      </x:c>
      <x:c r="Q347" s="14" t="s">
        <x:v>25</x:v>
      </x:c>
      <x:c r="R347" s="14"/>
      <x:c r="S347" s="14" t="s">
        <x:v>108</x:v>
      </x:c>
      <x:c r="T347" s="14" t="str">
        <x:v>Region A</x:v>
      </x:c>
      <x:c r="U347" s="28">
        <x:v>45669</x:v>
      </x:c>
      <x:c r="V347" s="30">
        <x:v>27</x:v>
      </x:c>
      <x:c r="W347" s="14" t="s">
        <x:v>112</x:v>
      </x:c>
      <x:c r="X347" s="14" t="s">
        <x:v>106</x:v>
      </x:c>
      <x:c r="Y347" s="32" t="str">
        <x:v>TRN-0346|20241216</x:v>
      </x:c>
      <x:c r="Z347" s="32" t="str" cm="1">
        <x:f t="array" ref="Z34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347" s="33" t="n">
        <x:f>--OR(WorkforceData[[#This Row],[Status]]="Active",WorkforceData[[#This Row],[Promoted]]="Yes",WorkforceData[[#This Row],[Total Days Worked]]&gt;=121)</x:f>
        <x:v>1</x:v>
      </x:c>
      <x:c r="AB347" s="33" t="n">
        <x:f>IF(AND(Q347="Terminated",R347="",O347=0),1,0)</x:f>
        <x:v>0</x:v>
      </x:c>
      <x:c r="AC347" s="33" t="n">
        <x:f>--OR(WorkforceData[[#This Row],[Status]]="Resigned",WorkforceData[[#This Row],[Status After Training]]="Withdrew")</x:f>
        <x:v>0</x:v>
      </x:c>
      <x:c r="AD347" s="34" t="n">
        <x:f>EOMONTH(WorkforceData[[#This Row],[Training Date]],0)</x:f>
        <x:v>45657</x:v>
      </x:c>
      <x:c r="AE347" s="32" t="str">
        <x:f>IF(M347&lt;H347,"Existing Employee",IF(U347="","No Assignment",IF(V347=0,"0 Days",IF(V347&lt;=7,"1-7 Days",IF(V347&lt;=14,"8-14 Days",IF(V347&lt;=21,"15-21 Days","21+ Days"))))))</x:f>
        <x:v>Existing Employee</x:v>
      </x:c>
      <x:c r="AF34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47" s="33" t="n">
        <x:f>--(WorkforceData[[#This Row],[Total Days Worked]]&gt;=121)</x:f>
        <x:v>1</x:v>
      </x:c>
    </x:row>
    <x:row r="348">
      <x:c r="A348" s="236" t="str">
        <x:v>TRN-0347</x:v>
      </x:c>
      <x:c r="B348" s="243"/>
      <x:c r="C348" s="243"/>
      <x:c r="D348" s="243"/>
      <x:c r="E348" s="243"/>
      <x:c r="F348" s="14" t="str">
        <x:v>Recruiter D</x:v>
      </x:c>
      <x:c r="G348" s="14" t="str">
        <x:v>Training Center A</x:v>
      </x:c>
      <x:c r="H348" s="28">
        <x:v>45642</x:v>
      </x:c>
      <x:c r="I348" s="14">
        <x:v>2024</x:v>
      </x:c>
      <x:c r="J348" s="14" t="s">
        <x:v>131</x:v>
      </x:c>
      <x:c r="K348" s="14">
        <x:v>17</x:v>
      </x:c>
      <x:c r="L348" s="29" t="s">
        <x:v>119</x:v>
      </x:c>
      <x:c r="M348" s="28">
        <x:v>45632</x:v>
      </x:c>
      <x:c r="N348" s="28">
        <x:v>45832</x:v>
      </x:c>
      <x:c r="O348" s="14">
        <x:v>200</x:v>
      </x:c>
      <x:c r="P348" s="14" t="s">
        <x:v>107</x:v>
      </x:c>
      <x:c r="Q348" s="14" t="s">
        <x:v>33</x:v>
      </x:c>
      <x:c r="R348" s="14" t="s">
        <x:v>124</x:v>
      </x:c>
      <x:c r="S348" s="14" t="s">
        <x:v>108</x:v>
      </x:c>
      <x:c r="T348" s="14" t="str">
        <x:v>Region D</x:v>
      </x:c>
      <x:c r="U348" s="28">
        <x:v>45647</x:v>
      </x:c>
      <x:c r="V348" s="30">
        <x:v>5</x:v>
      </x:c>
      <x:c r="W348" s="14" t="s">
        <x:v>109</x:v>
      </x:c>
      <x:c r="X348" s="14" t="s">
        <x:v>125</x:v>
      </x:c>
      <x:c r="Y348" s="32" t="str">
        <x:v>TRN-0347|20241216</x:v>
      </x:c>
      <x:c r="Z348" s="32" t="str" cm="1">
        <x:f t="array" ref="Z34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348" s="33" t="n">
        <x:f>--OR(WorkforceData[[#This Row],[Status]]="Active",WorkforceData[[#This Row],[Promoted]]="Yes",WorkforceData[[#This Row],[Total Days Worked]]&gt;=121)</x:f>
        <x:v>1</x:v>
      </x:c>
      <x:c r="AB348" s="33" t="n">
        <x:f>IF(AND(Q348="Terminated",R348="",O348=0),1,0)</x:f>
        <x:v>0</x:v>
      </x:c>
      <x:c r="AC348" s="33" t="n">
        <x:f>--OR(WorkforceData[[#This Row],[Status]]="Resigned",WorkforceData[[#This Row],[Status After Training]]="Withdrew")</x:f>
        <x:v>0</x:v>
      </x:c>
      <x:c r="AD348" s="34" t="n">
        <x:f>EOMONTH(WorkforceData[[#This Row],[Training Date]],0)</x:f>
        <x:v>45657</x:v>
      </x:c>
      <x:c r="AE348" s="32" t="str">
        <x:f>IF(M348&lt;H348,"Existing Employee",IF(U348="","No Assignment",IF(V348=0,"0 Days",IF(V348&lt;=7,"1-7 Days",IF(V348&lt;=14,"8-14 Days",IF(V348&lt;=21,"15-21 Days","21+ Days"))))))</x:f>
        <x:v>Existing Employee</x:v>
      </x:c>
      <x:c r="AF34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48" s="33" t="n">
        <x:f>--(WorkforceData[[#This Row],[Total Days Worked]]&gt;=121)</x:f>
        <x:v>1</x:v>
      </x:c>
    </x:row>
    <x:row r="349">
      <x:c r="A349" s="236" t="str">
        <x:v>TRN-0348</x:v>
      </x:c>
      <x:c r="B349" s="243"/>
      <x:c r="C349" s="243"/>
      <x:c r="D349" s="243"/>
      <x:c r="E349" s="243"/>
      <x:c r="F349" s="14" t="str">
        <x:v>Recruiter D</x:v>
      </x:c>
      <x:c r="G349" s="14" t="str">
        <x:v>Training Center A</x:v>
      </x:c>
      <x:c r="H349" s="28">
        <x:v>45642</x:v>
      </x:c>
      <x:c r="I349" s="14">
        <x:v>2024</x:v>
      </x:c>
      <x:c r="J349" s="14" t="s">
        <x:v>131</x:v>
      </x:c>
      <x:c r="K349" s="14">
        <x:v>17</x:v>
      </x:c>
      <x:c r="L349" s="29" t="s">
        <x:v>119</x:v>
      </x:c>
      <x:c r="M349" s="28">
        <x:v>45642</x:v>
      </x:c>
      <x:c r="N349" s="28">
        <x:v>45659</x:v>
      </x:c>
      <x:c r="O349" s="14">
        <x:v>17</x:v>
      </x:c>
      <x:c r="P349" s="14" t="s">
        <x:v>102</x:v>
      </x:c>
      <x:c r="Q349" s="14" t="s">
        <x:v>103</x:v>
      </x:c>
      <x:c r="R349" s="14" t="s">
        <x:v>104</x:v>
      </x:c>
      <x:c r="S349" s="14" t="s">
        <x:v>105</x:v>
      </x:c>
      <x:c r="T349" s="14" t="str">
        <x:v>Region D</x:v>
      </x:c>
      <x:c r="U349" s="28">
        <x:v>45654</x:v>
      </x:c>
      <x:c r="V349" s="30">
        <x:v>12</x:v>
      </x:c>
      <x:c r="W349" s="14" t="s">
        <x:v>45</x:v>
      </x:c>
      <x:c r="X349" s="14" t="s">
        <x:v>106</x:v>
      </x:c>
      <x:c r="Y349" s="32" t="str">
        <x:v>TRN-0348|20241216</x:v>
      </x:c>
      <x:c r="Z349" s="32" t="str" cm="1">
        <x:f t="array" ref="Z34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349" s="33" t="n">
        <x:f>--OR(WorkforceData[[#This Row],[Status]]="Active",WorkforceData[[#This Row],[Promoted]]="Yes",WorkforceData[[#This Row],[Total Days Worked]]&gt;=121)</x:f>
        <x:v>0</x:v>
      </x:c>
      <x:c r="AB349" s="33" t="n">
        <x:f>IF(AND(Q349="Terminated",R349="",O349=0),1,0)</x:f>
        <x:v>0</x:v>
      </x:c>
      <x:c r="AC349" s="33" t="n">
        <x:f>--OR(WorkforceData[[#This Row],[Status]]="Resigned",WorkforceData[[#This Row],[Status After Training]]="Withdrew")</x:f>
        <x:v>1</x:v>
      </x:c>
      <x:c r="AD349" s="34" t="n">
        <x:f>EOMONTH(WorkforceData[[#This Row],[Training Date]],0)</x:f>
        <x:v>45657</x:v>
      </x:c>
      <x:c r="AE349" s="32" t="str">
        <x:f>IF(M349&lt;H349,"Existing Employee",IF(U349="","No Assignment",IF(V349=0,"0 Days",IF(V349&lt;=7,"1-7 Days",IF(V349&lt;=14,"8-14 Days",IF(V349&lt;=21,"15-21 Days","21+ Days"))))))</x:f>
        <x:v>8-14 Days</x:v>
      </x:c>
      <x:c r="AF34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349" s="33" t="n">
        <x:f>--(WorkforceData[[#This Row],[Total Days Worked]]&gt;=121)</x:f>
        <x:v>0</x:v>
      </x:c>
    </x:row>
    <x:row r="350">
      <x:c r="A350" s="236" t="str">
        <x:v>TRN-0349</x:v>
      </x:c>
      <x:c r="B350" s="243"/>
      <x:c r="C350" s="243"/>
      <x:c r="D350" s="243"/>
      <x:c r="E350" s="243"/>
      <x:c r="F350" s="14" t="str">
        <x:v>Recruiter G</x:v>
      </x:c>
      <x:c r="G350" s="14" t="str">
        <x:v>Training Center A</x:v>
      </x:c>
      <x:c r="H350" s="28">
        <x:v>45642</x:v>
      </x:c>
      <x:c r="I350" s="14">
        <x:v>2024</x:v>
      </x:c>
      <x:c r="J350" s="14" t="s">
        <x:v>131</x:v>
      </x:c>
      <x:c r="K350" s="14">
        <x:v>17</x:v>
      </x:c>
      <x:c r="L350" s="29" t="s">
        <x:v>119</x:v>
      </x:c>
      <x:c r="M350" s="28">
        <x:v>45642</x:v>
      </x:c>
      <x:c r="N350" s="28">
        <x:v>45666</x:v>
      </x:c>
      <x:c r="O350" s="14">
        <x:v>24</x:v>
      </x:c>
      <x:c r="P350" s="14" t="s">
        <x:v>102</x:v>
      </x:c>
      <x:c r="Q350" s="14" t="s">
        <x:v>103</x:v>
      </x:c>
      <x:c r="R350" s="14" t="s">
        <x:v>104</x:v>
      </x:c>
      <x:c r="S350" s="14" t="s">
        <x:v>105</x:v>
      </x:c>
      <x:c r="T350" s="14" t="str">
        <x:v>Region E</x:v>
      </x:c>
      <x:c r="U350" s="28">
        <x:v>45654</x:v>
      </x:c>
      <x:c r="V350" s="30">
        <x:v>12</x:v>
      </x:c>
      <x:c r="W350" s="14" t="s">
        <x:v>45</x:v>
      </x:c>
      <x:c r="X350" s="14" t="s">
        <x:v>106</x:v>
      </x:c>
      <x:c r="Y350" s="32" t="str">
        <x:v>TRN-0349|20241216</x:v>
      </x:c>
      <x:c r="Z350" s="32" t="str" cm="1">
        <x:f t="array" ref="Z35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350" s="33" t="n">
        <x:f>--OR(WorkforceData[[#This Row],[Status]]="Active",WorkforceData[[#This Row],[Promoted]]="Yes",WorkforceData[[#This Row],[Total Days Worked]]&gt;=121)</x:f>
        <x:v>0</x:v>
      </x:c>
      <x:c r="AB350" s="33" t="n">
        <x:f>IF(AND(Q350="Terminated",R350="",O350=0),1,0)</x:f>
        <x:v>0</x:v>
      </x:c>
      <x:c r="AC350" s="33" t="n">
        <x:f>--OR(WorkforceData[[#This Row],[Status]]="Resigned",WorkforceData[[#This Row],[Status After Training]]="Withdrew")</x:f>
        <x:v>1</x:v>
      </x:c>
      <x:c r="AD350" s="34" t="n">
        <x:f>EOMONTH(WorkforceData[[#This Row],[Training Date]],0)</x:f>
        <x:v>45657</x:v>
      </x:c>
      <x:c r="AE350" s="32" t="str">
        <x:f>IF(M350&lt;H350,"Existing Employee",IF(U350="","No Assignment",IF(V350=0,"0 Days",IF(V350&lt;=7,"1-7 Days",IF(V350&lt;=14,"8-14 Days",IF(V350&lt;=21,"15-21 Days","21+ Days"))))))</x:f>
        <x:v>8-14 Days</x:v>
      </x:c>
      <x:c r="AF35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350" s="33" t="n">
        <x:f>--(WorkforceData[[#This Row],[Total Days Worked]]&gt;=121)</x:f>
        <x:v>0</x:v>
      </x:c>
    </x:row>
    <x:row r="351">
      <x:c r="A351" s="236" t="str">
        <x:v>TRN-0350</x:v>
      </x:c>
      <x:c r="B351" s="243"/>
      <x:c r="C351" s="243"/>
      <x:c r="D351" s="243"/>
      <x:c r="E351" s="243"/>
      <x:c r="F351" s="14" t="str">
        <x:v>Recruiter A</x:v>
      </x:c>
      <x:c r="G351" s="14" t="str">
        <x:v>Training Center A</x:v>
      </x:c>
      <x:c r="H351" s="28">
        <x:v>45642</x:v>
      </x:c>
      <x:c r="I351" s="14">
        <x:v>2024</x:v>
      </x:c>
      <x:c r="J351" s="14" t="s">
        <x:v>131</x:v>
      </x:c>
      <x:c r="K351" s="14">
        <x:v>17</x:v>
      </x:c>
      <x:c r="L351" s="29" t="s">
        <x:v>119</x:v>
      </x:c>
      <x:c r="M351" s="28">
        <x:v>45640</x:v>
      </x:c>
      <x:c r="N351" s="14"/>
      <x:c r="O351" s="14">
        <x:v>611</x:v>
      </x:c>
      <x:c r="P351" s="14" t="s">
        <x:v>120</x:v>
      </x:c>
      <x:c r="Q351" s="14" t="s">
        <x:v>25</x:v>
      </x:c>
      <x:c r="R351" s="14"/>
      <x:c r="S351" s="14" t="s">
        <x:v>108</x:v>
      </x:c>
      <x:c r="T351" s="14" t="str">
        <x:v>Region E</x:v>
      </x:c>
      <x:c r="U351" s="28">
        <x:v>45645</x:v>
      </x:c>
      <x:c r="V351" s="30">
        <x:v>3</x:v>
      </x:c>
      <x:c r="W351" s="14" t="s">
        <x:v>109</x:v>
      </x:c>
      <x:c r="X351" s="14" t="s">
        <x:v>106</x:v>
      </x:c>
      <x:c r="Y351" s="32" t="str">
        <x:v>TRN-0350|20241216</x:v>
      </x:c>
      <x:c r="Z351" s="32" t="str" cm="1">
        <x:f t="array" ref="Z35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351" s="33" t="n">
        <x:f>--OR(WorkforceData[[#This Row],[Status]]="Active",WorkforceData[[#This Row],[Promoted]]="Yes",WorkforceData[[#This Row],[Total Days Worked]]&gt;=121)</x:f>
        <x:v>1</x:v>
      </x:c>
      <x:c r="AB351" s="33" t="n">
        <x:f>IF(AND(Q351="Terminated",R351="",O351=0),1,0)</x:f>
        <x:v>0</x:v>
      </x:c>
      <x:c r="AC351" s="33" t="n">
        <x:f>--OR(WorkforceData[[#This Row],[Status]]="Resigned",WorkforceData[[#This Row],[Status After Training]]="Withdrew")</x:f>
        <x:v>0</x:v>
      </x:c>
      <x:c r="AD351" s="34" t="n">
        <x:f>EOMONTH(WorkforceData[[#This Row],[Training Date]],0)</x:f>
        <x:v>45657</x:v>
      </x:c>
      <x:c r="AE351" s="32" t="str">
        <x:f>IF(M351&lt;H351,"Existing Employee",IF(U351="","No Assignment",IF(V351=0,"0 Days",IF(V351&lt;=7,"1-7 Days",IF(V351&lt;=14,"8-14 Days",IF(V351&lt;=21,"15-21 Days","21+ Days"))))))</x:f>
        <x:v>Existing Employee</x:v>
      </x:c>
      <x:c r="AF35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51" s="33" t="n">
        <x:f>--(WorkforceData[[#This Row],[Total Days Worked]]&gt;=121)</x:f>
        <x:v>1</x:v>
      </x:c>
    </x:row>
    <x:row r="352">
      <x:c r="A352" s="236" t="str">
        <x:v>TRN-0351</x:v>
      </x:c>
      <x:c r="B352" s="243"/>
      <x:c r="C352" s="243"/>
      <x:c r="D352" s="243"/>
      <x:c r="E352" s="243"/>
      <x:c r="F352" s="14" t="str">
        <x:v>Recruiter E</x:v>
      </x:c>
      <x:c r="G352" s="14" t="str">
        <x:v>Training Center B</x:v>
      </x:c>
      <x:c r="H352" s="28">
        <x:v>45193</x:v>
      </x:c>
      <x:c r="I352" s="14">
        <x:v>2023</x:v>
      </x:c>
      <x:c r="J352" s="14" t="s">
        <x:v>127</x:v>
      </x:c>
      <x:c r="K352" s="14">
        <x:v>19</x:v>
      </x:c>
      <x:c r="L352" s="29" t="s">
        <x:v>119</x:v>
      </x:c>
      <x:c r="M352" s="28">
        <x:v>45193</x:v>
      </x:c>
      <x:c r="N352" s="28">
        <x:v>45263</x:v>
      </x:c>
      <x:c r="O352" s="14">
        <x:v>70</x:v>
      </x:c>
      <x:c r="P352" s="14" t="s">
        <x:v>110</x:v>
      </x:c>
      <x:c r="Q352" s="14" t="s">
        <x:v>103</x:v>
      </x:c>
      <x:c r="R352" s="14" t="s">
        <x:v>104</x:v>
      </x:c>
      <x:c r="S352" s="14" t="s">
        <x:v>105</x:v>
      </x:c>
      <x:c r="T352" s="14" t="str">
        <x:v>Region C</x:v>
      </x:c>
      <x:c r="U352" s="28">
        <x:v>45198</x:v>
      </x:c>
      <x:c r="V352" s="30">
        <x:v>5</x:v>
      </x:c>
      <x:c r="W352" s="14" t="s">
        <x:v>109</x:v>
      </x:c>
      <x:c r="X352" s="14" t="s">
        <x:v>106</x:v>
      </x:c>
      <x:c r="Y352" s="32" t="str">
        <x:v>TRN-0351|20230924</x:v>
      </x:c>
      <x:c r="Z352" s="32" t="str" cm="1">
        <x:f t="array" ref="Z35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352" s="33" t="n">
        <x:f>--OR(WorkforceData[[#This Row],[Status]]="Active",WorkforceData[[#This Row],[Promoted]]="Yes",WorkforceData[[#This Row],[Total Days Worked]]&gt;=121)</x:f>
        <x:v>0</x:v>
      </x:c>
      <x:c r="AB352" s="33" t="n">
        <x:f>IF(AND(Q352="Terminated",R352="",O352=0),1,0)</x:f>
        <x:v>0</x:v>
      </x:c>
      <x:c r="AC352" s="33" t="n">
        <x:f>--OR(WorkforceData[[#This Row],[Status]]="Resigned",WorkforceData[[#This Row],[Status After Training]]="Withdrew")</x:f>
        <x:v>1</x:v>
      </x:c>
      <x:c r="AD352" s="34" t="n">
        <x:f>EOMONTH(WorkforceData[[#This Row],[Training Date]],0)</x:f>
        <x:v>45199</x:v>
      </x:c>
      <x:c r="AE352" s="32" t="str">
        <x:f>IF(M352&lt;H352,"Existing Employee",IF(U352="","No Assignment",IF(V352=0,"0 Days",IF(V352&lt;=7,"1-7 Days",IF(V352&lt;=14,"8-14 Days",IF(V352&lt;=21,"15-21 Days","21+ Days"))))))</x:f>
        <x:v>1-7 Days</x:v>
      </x:c>
      <x:c r="AF35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61-90 Days</x:v>
      </x:c>
      <x:c r="AG352" s="33" t="n">
        <x:f>--(WorkforceData[[#This Row],[Total Days Worked]]&gt;=121)</x:f>
        <x:v>0</x:v>
      </x:c>
    </x:row>
    <x:row r="353">
      <x:c r="A353" s="236" t="str">
        <x:v>TRN-0352</x:v>
      </x:c>
      <x:c r="B353" s="243"/>
      <x:c r="C353" s="243"/>
      <x:c r="D353" s="243"/>
      <x:c r="E353" s="243"/>
      <x:c r="F353" s="14" t="str">
        <x:v>Recruiter C</x:v>
      </x:c>
      <x:c r="G353" s="14" t="str">
        <x:v>Training Center B</x:v>
      </x:c>
      <x:c r="H353" s="28">
        <x:v>45193</x:v>
      </x:c>
      <x:c r="I353" s="14">
        <x:v>2023</x:v>
      </x:c>
      <x:c r="J353" s="14" t="s">
        <x:v>127</x:v>
      </x:c>
      <x:c r="K353" s="14">
        <x:v>19</x:v>
      </x:c>
      <x:c r="L353" s="29" t="s">
        <x:v>119</x:v>
      </x:c>
      <x:c r="M353" s="28">
        <x:v>45193</x:v>
      </x:c>
      <x:c r="N353" s="14"/>
      <x:c r="O353" s="14">
        <x:v>1058</x:v>
      </x:c>
      <x:c r="P353" s="14" t="s">
        <x:v>122</x:v>
      </x:c>
      <x:c r="Q353" s="14" t="s">
        <x:v>25</x:v>
      </x:c>
      <x:c r="R353" s="14"/>
      <x:c r="S353" s="14" t="s">
        <x:v>108</x:v>
      </x:c>
      <x:c r="T353" s="14" t="str">
        <x:v>Region B</x:v>
      </x:c>
      <x:c r="U353" s="28">
        <x:v>45193</x:v>
      </x:c>
      <x:c r="V353" s="30">
        <x:v>0</x:v>
      </x:c>
      <x:c r="W353" s="14" t="s">
        <x:v>109</x:v>
      </x:c>
      <x:c r="X353" s="14" t="s">
        <x:v>106</x:v>
      </x:c>
      <x:c r="Y353" s="32" t="str">
        <x:v>TRN-0352|20230924</x:v>
      </x:c>
      <x:c r="Z353" s="32" t="str" cm="1">
        <x:f t="array" ref="Z35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353" s="33" t="n">
        <x:f>--OR(WorkforceData[[#This Row],[Status]]="Active",WorkforceData[[#This Row],[Promoted]]="Yes",WorkforceData[[#This Row],[Total Days Worked]]&gt;=121)</x:f>
        <x:v>1</x:v>
      </x:c>
      <x:c r="AB353" s="33" t="n">
        <x:f>IF(AND(Q353="Terminated",R353="",O353=0),1,0)</x:f>
        <x:v>0</x:v>
      </x:c>
      <x:c r="AC353" s="33" t="n">
        <x:f>--OR(WorkforceData[[#This Row],[Status]]="Resigned",WorkforceData[[#This Row],[Status After Training]]="Withdrew")</x:f>
        <x:v>0</x:v>
      </x:c>
      <x:c r="AD353" s="34" t="n">
        <x:f>EOMONTH(WorkforceData[[#This Row],[Training Date]],0)</x:f>
        <x:v>45199</x:v>
      </x:c>
      <x:c r="AE353" s="32" t="str">
        <x:f>IF(M353&lt;H353,"Existing Employee",IF(U353="","No Assignment",IF(V353=0,"0 Days",IF(V353&lt;=7,"1-7 Days",IF(V353&lt;=14,"8-14 Days",IF(V353&lt;=21,"15-21 Days","21+ Days"))))))</x:f>
        <x:v>0 Days</x:v>
      </x:c>
      <x:c r="AF35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53" s="33" t="n">
        <x:f>--(WorkforceData[[#This Row],[Total Days Worked]]&gt;=121)</x:f>
        <x:v>1</x:v>
      </x:c>
    </x:row>
    <x:row r="354">
      <x:c r="A354" s="236" t="str">
        <x:v>TRN-0353</x:v>
      </x:c>
      <x:c r="B354" s="243"/>
      <x:c r="C354" s="243"/>
      <x:c r="D354" s="243"/>
      <x:c r="E354" s="243"/>
      <x:c r="F354" s="14" t="str">
        <x:v>Recruiter G</x:v>
      </x:c>
      <x:c r="G354" s="14" t="str">
        <x:v>Training Center B</x:v>
      </x:c>
      <x:c r="H354" s="28">
        <x:v>45193</x:v>
      </x:c>
      <x:c r="I354" s="14">
        <x:v>2023</x:v>
      </x:c>
      <x:c r="J354" s="14" t="s">
        <x:v>127</x:v>
      </x:c>
      <x:c r="K354" s="14">
        <x:v>19</x:v>
      </x:c>
      <x:c r="L354" s="29" t="s">
        <x:v>119</x:v>
      </x:c>
      <x:c r="M354" s="28">
        <x:v>45183</x:v>
      </x:c>
      <x:c r="N354" s="28">
        <x:v>45336</x:v>
      </x:c>
      <x:c r="O354" s="14">
        <x:v>153</x:v>
      </x:c>
      <x:c r="P354" s="14" t="s">
        <x:v>113</x:v>
      </x:c>
      <x:c r="Q354" s="14" t="s">
        <x:v>103</x:v>
      </x:c>
      <x:c r="R354" s="14" t="s">
        <x:v>123</x:v>
      </x:c>
      <x:c r="S354" s="14" t="s">
        <x:v>105</x:v>
      </x:c>
      <x:c r="T354" s="14" t="str">
        <x:v>Region D</x:v>
      </x:c>
      <x:c r="U354" s="28">
        <x:v>45221</x:v>
      </x:c>
      <x:c r="V354" s="30">
        <x:v>28</x:v>
      </x:c>
      <x:c r="W354" s="14" t="s">
        <x:v>112</x:v>
      </x:c>
      <x:c r="X354" s="14" t="s">
        <x:v>106</x:v>
      </x:c>
      <x:c r="Y354" s="32" t="str">
        <x:v>TRN-0353|20230924</x:v>
      </x:c>
      <x:c r="Z354" s="32" t="str" cm="1">
        <x:f t="array" ref="Z35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Complete</x:v>
      </x:c>
      <x:c r="AA354" s="33" t="n">
        <x:f>--OR(WorkforceData[[#This Row],[Status]]="Active",WorkforceData[[#This Row],[Promoted]]="Yes",WorkforceData[[#This Row],[Total Days Worked]]&gt;=121)</x:f>
        <x:v>1</x:v>
      </x:c>
      <x:c r="AB354" s="33" t="n">
        <x:f>IF(AND(Q354="Terminated",R354="",O354=0),1,0)</x:f>
        <x:v>0</x:v>
      </x:c>
      <x:c r="AC354" s="33" t="n">
        <x:f>--OR(WorkforceData[[#This Row],[Status]]="Resigned",WorkforceData[[#This Row],[Status After Training]]="Withdrew")</x:f>
        <x:v>1</x:v>
      </x:c>
      <x:c r="AD354" s="34" t="n">
        <x:f>EOMONTH(WorkforceData[[#This Row],[Training Date]],0)</x:f>
        <x:v>45199</x:v>
      </x:c>
      <x:c r="AE354" s="32" t="str">
        <x:f>IF(M354&lt;H354,"Existing Employee",IF(U354="","No Assignment",IF(V354=0,"0 Days",IF(V354&lt;=7,"1-7 Days",IF(V354&lt;=14,"8-14 Days",IF(V354&lt;=21,"15-21 Days","21+ Days"))))))</x:f>
        <x:v>Existing Employee</x:v>
      </x:c>
      <x:c r="AF35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54" s="33" t="n">
        <x:f>--(WorkforceData[[#This Row],[Total Days Worked]]&gt;=121)</x:f>
        <x:v>1</x:v>
      </x:c>
    </x:row>
    <x:row r="355">
      <x:c r="A355" s="236" t="str">
        <x:v>TRN-0354</x:v>
      </x:c>
      <x:c r="B355" s="243"/>
      <x:c r="C355" s="243"/>
      <x:c r="D355" s="243"/>
      <x:c r="E355" s="243"/>
      <x:c r="F355" s="14" t="str">
        <x:v>Recruiter G</x:v>
      </x:c>
      <x:c r="G355" s="14" t="str">
        <x:v>Training Center B</x:v>
      </x:c>
      <x:c r="H355" s="28">
        <x:v>45193</x:v>
      </x:c>
      <x:c r="I355" s="14">
        <x:v>2023</x:v>
      </x:c>
      <x:c r="J355" s="14" t="s">
        <x:v>127</x:v>
      </x:c>
      <x:c r="K355" s="14">
        <x:v>19</x:v>
      </x:c>
      <x:c r="L355" s="29" t="s">
        <x:v>119</x:v>
      </x:c>
      <x:c r="M355" s="28">
        <x:v>45193</x:v>
      </x:c>
      <x:c r="N355" s="28">
        <x:v>45216</x:v>
      </x:c>
      <x:c r="O355" s="14">
        <x:v>23</x:v>
      </x:c>
      <x:c r="P355" s="14" t="s">
        <x:v>102</x:v>
      </x:c>
      <x:c r="Q355" s="14" t="s">
        <x:v>103</x:v>
      </x:c>
      <x:c r="R355" s="14" t="s">
        <x:v>111</x:v>
      </x:c>
      <x:c r="S355" s="14" t="s">
        <x:v>105</x:v>
      </x:c>
      <x:c r="T355" s="14" t="str">
        <x:v>Region E</x:v>
      </x:c>
      <x:c r="U355" s="28">
        <x:v>45216</x:v>
      </x:c>
      <x:c r="V355" s="30">
        <x:v>23</x:v>
      </x:c>
      <x:c r="W355" s="14" t="s">
        <x:v>112</x:v>
      </x:c>
      <x:c r="X355" s="14" t="s">
        <x:v>117</x:v>
      </x:c>
      <x:c r="Y355" s="32" t="str">
        <x:v>TRN-0354|20230924</x:v>
      </x:c>
      <x:c r="Z355" s="32" t="str" cm="1">
        <x:f t="array" ref="Z35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355" s="33" t="n">
        <x:f>--OR(WorkforceData[[#This Row],[Status]]="Active",WorkforceData[[#This Row],[Promoted]]="Yes",WorkforceData[[#This Row],[Total Days Worked]]&gt;=121)</x:f>
        <x:v>0</x:v>
      </x:c>
      <x:c r="AB355" s="33" t="n">
        <x:f>IF(AND(Q355="Terminated",R355="",O355=0),1,0)</x:f>
        <x:v>0</x:v>
      </x:c>
      <x:c r="AC355" s="33" t="n">
        <x:f>--OR(WorkforceData[[#This Row],[Status]]="Resigned",WorkforceData[[#This Row],[Status After Training]]="Withdrew")</x:f>
        <x:v>1</x:v>
      </x:c>
      <x:c r="AD355" s="34" t="n">
        <x:f>EOMONTH(WorkforceData[[#This Row],[Training Date]],0)</x:f>
        <x:v>45199</x:v>
      </x:c>
      <x:c r="AE355" s="32" t="str">
        <x:f>IF(M355&lt;H355,"Existing Employee",IF(U355="","No Assignment",IF(V355=0,"0 Days",IF(V355&lt;=7,"1-7 Days",IF(V355&lt;=14,"8-14 Days",IF(V355&lt;=21,"15-21 Days","21+ Days"))))))</x:f>
        <x:v>21+ Days</x:v>
      </x:c>
      <x:c r="AF35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355" s="33" t="n">
        <x:f>--(WorkforceData[[#This Row],[Total Days Worked]]&gt;=121)</x:f>
        <x:v>0</x:v>
      </x:c>
    </x:row>
    <x:row r="356">
      <x:c r="A356" s="236" t="str">
        <x:v>TRN-0355</x:v>
      </x:c>
      <x:c r="B356" s="243"/>
      <x:c r="C356" s="243"/>
      <x:c r="D356" s="243"/>
      <x:c r="E356" s="243"/>
      <x:c r="F356" s="14" t="str">
        <x:v>Recruiter A</x:v>
      </x:c>
      <x:c r="G356" s="14" t="str">
        <x:v>Training Center B</x:v>
      </x:c>
      <x:c r="H356" s="28">
        <x:v>45193</x:v>
      </x:c>
      <x:c r="I356" s="14">
        <x:v>2023</x:v>
      </x:c>
      <x:c r="J356" s="14" t="s">
        <x:v>127</x:v>
      </x:c>
      <x:c r="K356" s="14">
        <x:v>19</x:v>
      </x:c>
      <x:c r="L356" s="29" t="s">
        <x:v>119</x:v>
      </x:c>
      <x:c r="M356" s="28">
        <x:v>45188</x:v>
      </x:c>
      <x:c r="N356" s="28">
        <x:v>45348</x:v>
      </x:c>
      <x:c r="O356" s="14">
        <x:v>160</x:v>
      </x:c>
      <x:c r="P356" s="14" t="s">
        <x:v>113</x:v>
      </x:c>
      <x:c r="Q356" s="14" t="s">
        <x:v>103</x:v>
      </x:c>
      <x:c r="R356" s="14" t="s">
        <x:v>104</x:v>
      </x:c>
      <x:c r="S356" s="14" t="s">
        <x:v>105</x:v>
      </x:c>
      <x:c r="T356" s="14" t="str">
        <x:v>Region D</x:v>
      </x:c>
      <x:c r="U356" s="28">
        <x:v>45198</x:v>
      </x:c>
      <x:c r="V356" s="30">
        <x:v>5</x:v>
      </x:c>
      <x:c r="W356" s="14" t="s">
        <x:v>109</x:v>
      </x:c>
      <x:c r="X356" s="14" t="s">
        <x:v>106</x:v>
      </x:c>
      <x:c r="Y356" s="32" t="str">
        <x:v>TRN-0355|20230924</x:v>
      </x:c>
      <x:c r="Z356" s="32" t="str" cm="1">
        <x:f t="array" ref="Z35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Complete</x:v>
      </x:c>
      <x:c r="AA356" s="33" t="n">
        <x:f>--OR(WorkforceData[[#This Row],[Status]]="Active",WorkforceData[[#This Row],[Promoted]]="Yes",WorkforceData[[#This Row],[Total Days Worked]]&gt;=121)</x:f>
        <x:v>1</x:v>
      </x:c>
      <x:c r="AB356" s="33" t="n">
        <x:f>IF(AND(Q356="Terminated",R356="",O356=0),1,0)</x:f>
        <x:v>0</x:v>
      </x:c>
      <x:c r="AC356" s="33" t="n">
        <x:f>--OR(WorkforceData[[#This Row],[Status]]="Resigned",WorkforceData[[#This Row],[Status After Training]]="Withdrew")</x:f>
        <x:v>1</x:v>
      </x:c>
      <x:c r="AD356" s="34" t="n">
        <x:f>EOMONTH(WorkforceData[[#This Row],[Training Date]],0)</x:f>
        <x:v>45199</x:v>
      </x:c>
      <x:c r="AE356" s="32" t="str">
        <x:f>IF(M356&lt;H356,"Existing Employee",IF(U356="","No Assignment",IF(V356=0,"0 Days",IF(V356&lt;=7,"1-7 Days",IF(V356&lt;=14,"8-14 Days",IF(V356&lt;=21,"15-21 Days","21+ Days"))))))</x:f>
        <x:v>Existing Employee</x:v>
      </x:c>
      <x:c r="AF35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56" s="33" t="n">
        <x:f>--(WorkforceData[[#This Row],[Total Days Worked]]&gt;=121)</x:f>
        <x:v>1</x:v>
      </x:c>
    </x:row>
    <x:row r="357">
      <x:c r="A357" s="236" t="str">
        <x:v>TRN-0356</x:v>
      </x:c>
      <x:c r="B357" s="243"/>
      <x:c r="C357" s="243"/>
      <x:c r="D357" s="243"/>
      <x:c r="E357" s="243"/>
      <x:c r="F357" s="14" t="str">
        <x:v>Recruiter G</x:v>
      </x:c>
      <x:c r="G357" s="14" t="str">
        <x:v>Training Center B</x:v>
      </x:c>
      <x:c r="H357" s="28">
        <x:v>45193</x:v>
      </x:c>
      <x:c r="I357" s="14">
        <x:v>2023</x:v>
      </x:c>
      <x:c r="J357" s="14" t="s">
        <x:v>127</x:v>
      </x:c>
      <x:c r="K357" s="14">
        <x:v>19</x:v>
      </x:c>
      <x:c r="L357" s="29" t="s">
        <x:v>119</x:v>
      </x:c>
      <x:c r="M357" s="28">
        <x:v>45192</x:v>
      </x:c>
      <x:c r="N357" s="14"/>
      <x:c r="O357" s="14">
        <x:v>1059</x:v>
      </x:c>
      <x:c r="P357" s="14" t="s">
        <x:v>122</x:v>
      </x:c>
      <x:c r="Q357" s="14" t="s">
        <x:v>25</x:v>
      </x:c>
      <x:c r="R357" s="14"/>
      <x:c r="S357" s="14" t="s">
        <x:v>108</x:v>
      </x:c>
      <x:c r="T357" s="14" t="str">
        <x:v>Region B</x:v>
      </x:c>
      <x:c r="U357" s="28">
        <x:v>45200</x:v>
      </x:c>
      <x:c r="V357" s="30">
        <x:v>7</x:v>
      </x:c>
      <x:c r="W357" s="14" t="s">
        <x:v>109</x:v>
      </x:c>
      <x:c r="X357" s="14" t="s">
        <x:v>106</x:v>
      </x:c>
      <x:c r="Y357" s="32" t="str">
        <x:v>TRN-0356|20230924</x:v>
      </x:c>
      <x:c r="Z357" s="32" t="str" cm="1">
        <x:f t="array" ref="Z35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357" s="33" t="n">
        <x:f>--OR(WorkforceData[[#This Row],[Status]]="Active",WorkforceData[[#This Row],[Promoted]]="Yes",WorkforceData[[#This Row],[Total Days Worked]]&gt;=121)</x:f>
        <x:v>1</x:v>
      </x:c>
      <x:c r="AB357" s="33" t="n">
        <x:f>IF(AND(Q357="Terminated",R357="",O357=0),1,0)</x:f>
        <x:v>0</x:v>
      </x:c>
      <x:c r="AC357" s="33" t="n">
        <x:f>--OR(WorkforceData[[#This Row],[Status]]="Resigned",WorkforceData[[#This Row],[Status After Training]]="Withdrew")</x:f>
        <x:v>0</x:v>
      </x:c>
      <x:c r="AD357" s="34" t="n">
        <x:f>EOMONTH(WorkforceData[[#This Row],[Training Date]],0)</x:f>
        <x:v>45199</x:v>
      </x:c>
      <x:c r="AE357" s="32" t="str">
        <x:f>IF(M357&lt;H357,"Existing Employee",IF(U357="","No Assignment",IF(V357=0,"0 Days",IF(V357&lt;=7,"1-7 Days",IF(V357&lt;=14,"8-14 Days",IF(V357&lt;=21,"15-21 Days","21+ Days"))))))</x:f>
        <x:v>Existing Employee</x:v>
      </x:c>
      <x:c r="AF35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57" s="33" t="n">
        <x:f>--(WorkforceData[[#This Row],[Total Days Worked]]&gt;=121)</x:f>
        <x:v>1</x:v>
      </x:c>
    </x:row>
    <x:row r="358">
      <x:c r="A358" s="236" t="str">
        <x:v>TRN-0357</x:v>
      </x:c>
      <x:c r="B358" s="243"/>
      <x:c r="C358" s="243"/>
      <x:c r="D358" s="243"/>
      <x:c r="E358" s="243"/>
      <x:c r="F358" s="14" t="str">
        <x:v>Recruiter C</x:v>
      </x:c>
      <x:c r="G358" s="14" t="str">
        <x:v>Training Center B</x:v>
      </x:c>
      <x:c r="H358" s="28">
        <x:v>45193</x:v>
      </x:c>
      <x:c r="I358" s="14">
        <x:v>2023</x:v>
      </x:c>
      <x:c r="J358" s="14" t="s">
        <x:v>127</x:v>
      </x:c>
      <x:c r="K358" s="14">
        <x:v>19</x:v>
      </x:c>
      <x:c r="L358" s="29" t="s">
        <x:v>119</x:v>
      </x:c>
      <x:c r="M358" s="28">
        <x:v>45193</x:v>
      </x:c>
      <x:c r="N358" s="14"/>
      <x:c r="O358" s="14">
        <x:v>1058</x:v>
      </x:c>
      <x:c r="P358" s="14" t="s">
        <x:v>122</x:v>
      </x:c>
      <x:c r="Q358" s="14" t="s">
        <x:v>25</x:v>
      </x:c>
      <x:c r="R358" s="14"/>
      <x:c r="S358" s="14" t="s">
        <x:v>108</x:v>
      </x:c>
      <x:c r="T358" s="14" t="str">
        <x:v>Region A</x:v>
      </x:c>
      <x:c r="U358" s="28">
        <x:v>45267</x:v>
      </x:c>
      <x:c r="V358" s="30">
        <x:v>74</x:v>
      </x:c>
      <x:c r="W358" s="14" t="s">
        <x:v>114</x:v>
      </x:c>
      <x:c r="X358" s="14" t="s">
        <x:v>117</x:v>
      </x:c>
      <x:c r="Y358" s="32" t="str">
        <x:v>TRN-0357|20230924</x:v>
      </x:c>
      <x:c r="Z358" s="32" t="str" cm="1">
        <x:f t="array" ref="Z35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358" s="33" t="n">
        <x:f>--OR(WorkforceData[[#This Row],[Status]]="Active",WorkforceData[[#This Row],[Promoted]]="Yes",WorkforceData[[#This Row],[Total Days Worked]]&gt;=121)</x:f>
        <x:v>1</x:v>
      </x:c>
      <x:c r="AB358" s="33" t="n">
        <x:f>IF(AND(Q358="Terminated",R358="",O358=0),1,0)</x:f>
        <x:v>0</x:v>
      </x:c>
      <x:c r="AC358" s="33" t="n">
        <x:f>--OR(WorkforceData[[#This Row],[Status]]="Resigned",WorkforceData[[#This Row],[Status After Training]]="Withdrew")</x:f>
        <x:v>0</x:v>
      </x:c>
      <x:c r="AD358" s="34" t="n">
        <x:f>EOMONTH(WorkforceData[[#This Row],[Training Date]],0)</x:f>
        <x:v>45199</x:v>
      </x:c>
      <x:c r="AE358" s="32" t="str">
        <x:f>IF(M358&lt;H358,"Existing Employee",IF(U358="","No Assignment",IF(V358=0,"0 Days",IF(V358&lt;=7,"1-7 Days",IF(V358&lt;=14,"8-14 Days",IF(V358&lt;=21,"15-21 Days","21+ Days"))))))</x:f>
        <x:v>21+ Days</x:v>
      </x:c>
      <x:c r="AF35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58" s="33" t="n">
        <x:f>--(WorkforceData[[#This Row],[Total Days Worked]]&gt;=121)</x:f>
        <x:v>1</x:v>
      </x:c>
    </x:row>
    <x:row r="359">
      <x:c r="A359" s="236" t="str">
        <x:v>TRN-0358</x:v>
      </x:c>
      <x:c r="B359" s="243"/>
      <x:c r="C359" s="243"/>
      <x:c r="D359" s="243"/>
      <x:c r="E359" s="243"/>
      <x:c r="F359" s="14" t="str">
        <x:v>Recruiter C</x:v>
      </x:c>
      <x:c r="G359" s="14" t="str">
        <x:v>Training Center B</x:v>
      </x:c>
      <x:c r="H359" s="28">
        <x:v>45193</x:v>
      </x:c>
      <x:c r="I359" s="14">
        <x:v>2023</x:v>
      </x:c>
      <x:c r="J359" s="14" t="s">
        <x:v>127</x:v>
      </x:c>
      <x:c r="K359" s="14">
        <x:v>19</x:v>
      </x:c>
      <x:c r="L359" s="29" t="s">
        <x:v>119</x:v>
      </x:c>
      <x:c r="M359" s="28">
        <x:v>45188</x:v>
      </x:c>
      <x:c r="N359" s="28">
        <x:v>45208</x:v>
      </x:c>
      <x:c r="O359" s="14">
        <x:v>20</x:v>
      </x:c>
      <x:c r="P359" s="14" t="s">
        <x:v>102</x:v>
      </x:c>
      <x:c r="Q359" s="14" t="s">
        <x:v>33</x:v>
      </x:c>
      <x:c r="R359" s="14" t="s">
        <x:v>116</x:v>
      </x:c>
      <x:c r="S359" s="14" t="s">
        <x:v>105</x:v>
      </x:c>
      <x:c r="T359" s="14" t="str">
        <x:v>Region D</x:v>
      </x:c>
      <x:c r="U359" s="28">
        <x:v>45193</x:v>
      </x:c>
      <x:c r="V359" s="30">
        <x:v>0</x:v>
      </x:c>
      <x:c r="W359" s="14" t="s">
        <x:v>109</x:v>
      </x:c>
      <x:c r="X359" s="14" t="s">
        <x:v>106</x:v>
      </x:c>
      <x:c r="Y359" s="32" t="str">
        <x:v>TRN-0358|20230924</x:v>
      </x:c>
      <x:c r="Z359" s="32" t="str" cm="1">
        <x:f t="array" ref="Z35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359" s="33" t="n">
        <x:f>--OR(WorkforceData[[#This Row],[Status]]="Active",WorkforceData[[#This Row],[Promoted]]="Yes",WorkforceData[[#This Row],[Total Days Worked]]&gt;=121)</x:f>
        <x:v>0</x:v>
      </x:c>
      <x:c r="AB359" s="33" t="n">
        <x:f>IF(AND(Q359="Terminated",R359="",O359=0),1,0)</x:f>
        <x:v>0</x:v>
      </x:c>
      <x:c r="AC359" s="33" t="n">
        <x:f>--OR(WorkforceData[[#This Row],[Status]]="Resigned",WorkforceData[[#This Row],[Status After Training]]="Withdrew")</x:f>
        <x:v>0</x:v>
      </x:c>
      <x:c r="AD359" s="34" t="n">
        <x:f>EOMONTH(WorkforceData[[#This Row],[Training Date]],0)</x:f>
        <x:v>45199</x:v>
      </x:c>
      <x:c r="AE359" s="32" t="str">
        <x:f>IF(M359&lt;H359,"Existing Employee",IF(U359="","No Assignment",IF(V359=0,"0 Days",IF(V359&lt;=7,"1-7 Days",IF(V359&lt;=14,"8-14 Days",IF(V359&lt;=21,"15-21 Days","21+ Days"))))))</x:f>
        <x:v>Existing Employee</x:v>
      </x:c>
      <x:c r="AF35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359" s="33" t="n">
        <x:f>--(WorkforceData[[#This Row],[Total Days Worked]]&gt;=121)</x:f>
        <x:v>0</x:v>
      </x:c>
    </x:row>
    <x:row r="360">
      <x:c r="A360" s="236" t="str">
        <x:v>TRN-0359</x:v>
      </x:c>
      <x:c r="B360" s="243"/>
      <x:c r="C360" s="243"/>
      <x:c r="D360" s="243"/>
      <x:c r="E360" s="243"/>
      <x:c r="F360" s="14" t="str">
        <x:v>Recruiter G</x:v>
      </x:c>
      <x:c r="G360" s="14" t="str">
        <x:v>Training Center B</x:v>
      </x:c>
      <x:c r="H360" s="28">
        <x:v>45193</x:v>
      </x:c>
      <x:c r="I360" s="14">
        <x:v>2023</x:v>
      </x:c>
      <x:c r="J360" s="14" t="s">
        <x:v>127</x:v>
      </x:c>
      <x:c r="K360" s="14">
        <x:v>19</x:v>
      </x:c>
      <x:c r="L360" s="29" t="s">
        <x:v>119</x:v>
      </x:c>
      <x:c r="M360" s="28">
        <x:v>45188</x:v>
      </x:c>
      <x:c r="N360" s="28">
        <x:v>45224</x:v>
      </x:c>
      <x:c r="O360" s="14">
        <x:v>36</x:v>
      </x:c>
      <x:c r="P360" s="14" t="s">
        <x:v>110</x:v>
      </x:c>
      <x:c r="Q360" s="14" t="s">
        <x:v>103</x:v>
      </x:c>
      <x:c r="R360" s="14" t="s">
        <x:v>123</x:v>
      </x:c>
      <x:c r="S360" s="14" t="s">
        <x:v>105</x:v>
      </x:c>
      <x:c r="T360" s="14" t="str">
        <x:v>Region A</x:v>
      </x:c>
      <x:c r="U360" s="28">
        <x:v>45197</x:v>
      </x:c>
      <x:c r="V360" s="30">
        <x:v>4</x:v>
      </x:c>
      <x:c r="W360" s="14" t="s">
        <x:v>109</x:v>
      </x:c>
      <x:c r="X360" s="14" t="s">
        <x:v>106</x:v>
      </x:c>
      <x:c r="Y360" s="32" t="str">
        <x:v>TRN-0359|20230924</x:v>
      </x:c>
      <x:c r="Z360" s="32" t="str" cm="1">
        <x:f t="array" ref="Z36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360" s="33" t="n">
        <x:f>--OR(WorkforceData[[#This Row],[Status]]="Active",WorkforceData[[#This Row],[Promoted]]="Yes",WorkforceData[[#This Row],[Total Days Worked]]&gt;=121)</x:f>
        <x:v>0</x:v>
      </x:c>
      <x:c r="AB360" s="33" t="n">
        <x:f>IF(AND(Q360="Terminated",R360="",O360=0),1,0)</x:f>
        <x:v>0</x:v>
      </x:c>
      <x:c r="AC360" s="33" t="n">
        <x:f>--OR(WorkforceData[[#This Row],[Status]]="Resigned",WorkforceData[[#This Row],[Status After Training]]="Withdrew")</x:f>
        <x:v>1</x:v>
      </x:c>
      <x:c r="AD360" s="34" t="n">
        <x:f>EOMONTH(WorkforceData[[#This Row],[Training Date]],0)</x:f>
        <x:v>45199</x:v>
      </x:c>
      <x:c r="AE360" s="32" t="str">
        <x:f>IF(M360&lt;H360,"Existing Employee",IF(U360="","No Assignment",IF(V360=0,"0 Days",IF(V360&lt;=7,"1-7 Days",IF(V360&lt;=14,"8-14 Days",IF(V360&lt;=21,"15-21 Days","21+ Days"))))))</x:f>
        <x:v>Existing Employee</x:v>
      </x:c>
      <x:c r="AF36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360" s="33" t="n">
        <x:f>--(WorkforceData[[#This Row],[Total Days Worked]]&gt;=121)</x:f>
        <x:v>0</x:v>
      </x:c>
    </x:row>
    <x:row r="361">
      <x:c r="A361" s="236" t="str">
        <x:v>TRN-0360</x:v>
      </x:c>
      <x:c r="B361" s="243"/>
      <x:c r="C361" s="243"/>
      <x:c r="D361" s="243"/>
      <x:c r="E361" s="243"/>
      <x:c r="F361" s="14" t="str">
        <x:v>Recruiter D</x:v>
      </x:c>
      <x:c r="G361" s="14" t="str">
        <x:v>Training Center B</x:v>
      </x:c>
      <x:c r="H361" s="28">
        <x:v>45193</x:v>
      </x:c>
      <x:c r="I361" s="14">
        <x:v>2023</x:v>
      </x:c>
      <x:c r="J361" s="14" t="s">
        <x:v>127</x:v>
      </x:c>
      <x:c r="K361" s="14">
        <x:v>19</x:v>
      </x:c>
      <x:c r="L361" s="29" t="s">
        <x:v>119</x:v>
      </x:c>
      <x:c r="M361" s="28">
        <x:v>45193</x:v>
      </x:c>
      <x:c r="N361" s="14"/>
      <x:c r="O361" s="14">
        <x:v>1058</x:v>
      </x:c>
      <x:c r="P361" s="14" t="s">
        <x:v>122</x:v>
      </x:c>
      <x:c r="Q361" s="14" t="s">
        <x:v>38</x:v>
      </x:c>
      <x:c r="R361" s="14"/>
      <x:c r="S361" s="14" t="s">
        <x:v>108</x:v>
      </x:c>
      <x:c r="T361" s="14" t="str">
        <x:v>Region D</x:v>
      </x:c>
      <x:c r="U361" s="28">
        <x:v>45213</x:v>
      </x:c>
      <x:c r="V361" s="30">
        <x:v>20</x:v>
      </x:c>
      <x:c r="W361" s="14" t="s">
        <x:v>112</x:v>
      </x:c>
      <x:c r="X361" s="14" t="s">
        <x:v>106</x:v>
      </x:c>
      <x:c r="Y361" s="32" t="str">
        <x:v>TRN-0360|20230924</x:v>
      </x:c>
      <x:c r="Z361" s="32" t="str" cm="1">
        <x:f t="array" ref="Z36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361" s="33" t="n">
        <x:f>--OR(WorkforceData[[#This Row],[Status]]="Active",WorkforceData[[#This Row],[Promoted]]="Yes",WorkforceData[[#This Row],[Total Days Worked]]&gt;=121)</x:f>
        <x:v>1</x:v>
      </x:c>
      <x:c r="AB361" s="33" t="n">
        <x:f>IF(AND(Q361="Terminated",R361="",O361=0),1,0)</x:f>
        <x:v>0</x:v>
      </x:c>
      <x:c r="AC361" s="33" t="n">
        <x:f>--OR(WorkforceData[[#This Row],[Status]]="Resigned",WorkforceData[[#This Row],[Status After Training]]="Withdrew")</x:f>
        <x:v>0</x:v>
      </x:c>
      <x:c r="AD361" s="34" t="n">
        <x:f>EOMONTH(WorkforceData[[#This Row],[Training Date]],0)</x:f>
        <x:v>45199</x:v>
      </x:c>
      <x:c r="AE361" s="32" t="str">
        <x:f>IF(M361&lt;H361,"Existing Employee",IF(U361="","No Assignment",IF(V361=0,"0 Days",IF(V361&lt;=7,"1-7 Days",IF(V361&lt;=14,"8-14 Days",IF(V361&lt;=21,"15-21 Days","21+ Days"))))))</x:f>
        <x:v>15-21 Days</x:v>
      </x:c>
      <x:c r="AF36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61" s="33" t="n">
        <x:f>--(WorkforceData[[#This Row],[Total Days Worked]]&gt;=121)</x:f>
        <x:v>1</x:v>
      </x:c>
    </x:row>
    <x:row r="362">
      <x:c r="A362" s="236" t="str">
        <x:v>TRN-0361</x:v>
      </x:c>
      <x:c r="B362" s="243"/>
      <x:c r="C362" s="243"/>
      <x:c r="D362" s="243"/>
      <x:c r="E362" s="243"/>
      <x:c r="F362" s="14" t="str">
        <x:v>Recruiter E</x:v>
      </x:c>
      <x:c r="G362" s="14" t="str">
        <x:v>Training Center B</x:v>
      </x:c>
      <x:c r="H362" s="28">
        <x:v>45193</x:v>
      </x:c>
      <x:c r="I362" s="14">
        <x:v>2023</x:v>
      </x:c>
      <x:c r="J362" s="14" t="s">
        <x:v>127</x:v>
      </x:c>
      <x:c r="K362" s="14">
        <x:v>19</x:v>
      </x:c>
      <x:c r="L362" s="29" t="s">
        <x:v>119</x:v>
      </x:c>
      <x:c r="M362" s="28">
        <x:v>45188</x:v>
      </x:c>
      <x:c r="N362" s="28">
        <x:v>45278</x:v>
      </x:c>
      <x:c r="O362" s="14">
        <x:v>90</x:v>
      </x:c>
      <x:c r="P362" s="14" t="s">
        <x:v>110</x:v>
      </x:c>
      <x:c r="Q362" s="14" t="s">
        <x:v>103</x:v>
      </x:c>
      <x:c r="R362" s="14" t="s">
        <x:v>123</x:v>
      </x:c>
      <x:c r="S362" s="14" t="s">
        <x:v>105</x:v>
      </x:c>
      <x:c r="T362" s="14" t="str">
        <x:v>Region A</x:v>
      </x:c>
      <x:c r="U362" s="28">
        <x:v>45199</x:v>
      </x:c>
      <x:c r="V362" s="30">
        <x:v>6</x:v>
      </x:c>
      <x:c r="W362" s="14" t="s">
        <x:v>109</x:v>
      </x:c>
      <x:c r="X362" s="14" t="s">
        <x:v>106</x:v>
      </x:c>
      <x:c r="Y362" s="32" t="str">
        <x:v>TRN-0361|20230924</x:v>
      </x:c>
      <x:c r="Z362" s="32" t="str" cm="1">
        <x:f t="array" ref="Z36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362" s="33" t="n">
        <x:f>--OR(WorkforceData[[#This Row],[Status]]="Active",WorkforceData[[#This Row],[Promoted]]="Yes",WorkforceData[[#This Row],[Total Days Worked]]&gt;=121)</x:f>
        <x:v>0</x:v>
      </x:c>
      <x:c r="AB362" s="33" t="n">
        <x:f>IF(AND(Q362="Terminated",R362="",O362=0),1,0)</x:f>
        <x:v>0</x:v>
      </x:c>
      <x:c r="AC362" s="33" t="n">
        <x:f>--OR(WorkforceData[[#This Row],[Status]]="Resigned",WorkforceData[[#This Row],[Status After Training]]="Withdrew")</x:f>
        <x:v>1</x:v>
      </x:c>
      <x:c r="AD362" s="34" t="n">
        <x:f>EOMONTH(WorkforceData[[#This Row],[Training Date]],0)</x:f>
        <x:v>45199</x:v>
      </x:c>
      <x:c r="AE362" s="32" t="str">
        <x:f>IF(M362&lt;H362,"Existing Employee",IF(U362="","No Assignment",IF(V362=0,"0 Days",IF(V362&lt;=7,"1-7 Days",IF(V362&lt;=14,"8-14 Days",IF(V362&lt;=21,"15-21 Days","21+ Days"))))))</x:f>
        <x:v>Existing Employee</x:v>
      </x:c>
      <x:c r="AF36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61-90 Days</x:v>
      </x:c>
      <x:c r="AG362" s="33" t="n">
        <x:f>--(WorkforceData[[#This Row],[Total Days Worked]]&gt;=121)</x:f>
        <x:v>0</x:v>
      </x:c>
    </x:row>
    <x:row r="363">
      <x:c r="A363" s="236" t="str">
        <x:v>TRN-0362</x:v>
      </x:c>
      <x:c r="B363" s="243"/>
      <x:c r="C363" s="243"/>
      <x:c r="D363" s="243"/>
      <x:c r="E363" s="243"/>
      <x:c r="F363" s="14" t="str">
        <x:v>Recruiter F</x:v>
      </x:c>
      <x:c r="G363" s="14" t="str">
        <x:v>Training Center B</x:v>
      </x:c>
      <x:c r="H363" s="28">
        <x:v>45193</x:v>
      </x:c>
      <x:c r="I363" s="14">
        <x:v>2023</x:v>
      </x:c>
      <x:c r="J363" s="14" t="s">
        <x:v>127</x:v>
      </x:c>
      <x:c r="K363" s="14">
        <x:v>19</x:v>
      </x:c>
      <x:c r="L363" s="29" t="s">
        <x:v>119</x:v>
      </x:c>
      <x:c r="M363" s="28">
        <x:v>45191</x:v>
      </x:c>
      <x:c r="N363" s="28">
        <x:v>45194</x:v>
      </x:c>
      <x:c r="O363" s="14">
        <x:v>3</x:v>
      </x:c>
      <x:c r="P363" s="14" t="s">
        <x:v>102</x:v>
      </x:c>
      <x:c r="Q363" s="14" t="s">
        <x:v>33</x:v>
      </x:c>
      <x:c r="R363" s="14" t="s">
        <x:v>116</x:v>
      </x:c>
      <x:c r="S363" s="14" t="s">
        <x:v>105</x:v>
      </x:c>
      <x:c r="T363" s="14" t="str">
        <x:v>Region D</x:v>
      </x:c>
      <x:c r="U363" s="28">
        <x:v>45194</x:v>
      </x:c>
      <x:c r="V363" s="30">
        <x:v>1</x:v>
      </x:c>
      <x:c r="W363" s="14" t="s">
        <x:v>109</x:v>
      </x:c>
      <x:c r="X363" s="14" t="s">
        <x:v>106</x:v>
      </x:c>
      <x:c r="Y363" s="32" t="str">
        <x:v>TRN-0362|20230924</x:v>
      </x:c>
      <x:c r="Z363" s="32" t="str" cm="1">
        <x:f t="array" ref="Z36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363" s="33" t="n">
        <x:f>--OR(WorkforceData[[#This Row],[Status]]="Active",WorkforceData[[#This Row],[Promoted]]="Yes",WorkforceData[[#This Row],[Total Days Worked]]&gt;=121)</x:f>
        <x:v>0</x:v>
      </x:c>
      <x:c r="AB363" s="33" t="n">
        <x:f>IF(AND(Q363="Terminated",R363="",O363=0),1,0)</x:f>
        <x:v>0</x:v>
      </x:c>
      <x:c r="AC363" s="33" t="n">
        <x:f>--OR(WorkforceData[[#This Row],[Status]]="Resigned",WorkforceData[[#This Row],[Status After Training]]="Withdrew")</x:f>
        <x:v>0</x:v>
      </x:c>
      <x:c r="AD363" s="34" t="n">
        <x:f>EOMONTH(WorkforceData[[#This Row],[Training Date]],0)</x:f>
        <x:v>45199</x:v>
      </x:c>
      <x:c r="AE363" s="32" t="str">
        <x:f>IF(M363&lt;H363,"Existing Employee",IF(U363="","No Assignment",IF(V363=0,"0 Days",IF(V363&lt;=7,"1-7 Days",IF(V363&lt;=14,"8-14 Days",IF(V363&lt;=21,"15-21 Days","21+ Days"))))))</x:f>
        <x:v>Existing Employee</x:v>
      </x:c>
      <x:c r="AF36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1-7 Days</x:v>
      </x:c>
      <x:c r="AG363" s="33" t="n">
        <x:f>--(WorkforceData[[#This Row],[Total Days Worked]]&gt;=121)</x:f>
        <x:v>0</x:v>
      </x:c>
    </x:row>
    <x:row r="364">
      <x:c r="A364" s="236" t="str">
        <x:v>TRN-0363</x:v>
      </x:c>
      <x:c r="B364" s="243"/>
      <x:c r="C364" s="243"/>
      <x:c r="D364" s="243"/>
      <x:c r="E364" s="243"/>
      <x:c r="F364" s="14" t="str">
        <x:v>Recruiter E</x:v>
      </x:c>
      <x:c r="G364" s="14" t="str">
        <x:v>Training Center B</x:v>
      </x:c>
      <x:c r="H364" s="28">
        <x:v>45193</x:v>
      </x:c>
      <x:c r="I364" s="14">
        <x:v>2023</x:v>
      </x:c>
      <x:c r="J364" s="14" t="s">
        <x:v>127</x:v>
      </x:c>
      <x:c r="K364" s="14">
        <x:v>19</x:v>
      </x:c>
      <x:c r="L364" s="29" t="s">
        <x:v>119</x:v>
      </x:c>
      <x:c r="M364" s="28">
        <x:v>45183</x:v>
      </x:c>
      <x:c r="N364" s="28">
        <x:v>45359</x:v>
      </x:c>
      <x:c r="O364" s="14">
        <x:v>176</x:v>
      </x:c>
      <x:c r="P364" s="14" t="s">
        <x:v>113</x:v>
      </x:c>
      <x:c r="Q364" s="14" t="s">
        <x:v>103</x:v>
      </x:c>
      <x:c r="R364" s="14" t="s">
        <x:v>111</x:v>
      </x:c>
      <x:c r="S364" s="14" t="s">
        <x:v>105</x:v>
      </x:c>
      <x:c r="T364" s="14" t="str">
        <x:v>Region E</x:v>
      </x:c>
      <x:c r="U364" s="28">
        <x:v>45206</x:v>
      </x:c>
      <x:c r="V364" s="30">
        <x:v>13</x:v>
      </x:c>
      <x:c r="W364" s="14" t="s">
        <x:v>45</x:v>
      </x:c>
      <x:c r="X364" s="14" t="s">
        <x:v>106</x:v>
      </x:c>
      <x:c r="Y364" s="32" t="str">
        <x:v>TRN-0363|20230924</x:v>
      </x:c>
      <x:c r="Z364" s="32" t="str" cm="1">
        <x:f t="array" ref="Z36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Complete</x:v>
      </x:c>
      <x:c r="AA364" s="33" t="n">
        <x:f>--OR(WorkforceData[[#This Row],[Status]]="Active",WorkforceData[[#This Row],[Promoted]]="Yes",WorkforceData[[#This Row],[Total Days Worked]]&gt;=121)</x:f>
        <x:v>1</x:v>
      </x:c>
      <x:c r="AB364" s="33" t="n">
        <x:f>IF(AND(Q364="Terminated",R364="",O364=0),1,0)</x:f>
        <x:v>0</x:v>
      </x:c>
      <x:c r="AC364" s="33" t="n">
        <x:f>--OR(WorkforceData[[#This Row],[Status]]="Resigned",WorkforceData[[#This Row],[Status After Training]]="Withdrew")</x:f>
        <x:v>1</x:v>
      </x:c>
      <x:c r="AD364" s="34" t="n">
        <x:f>EOMONTH(WorkforceData[[#This Row],[Training Date]],0)</x:f>
        <x:v>45199</x:v>
      </x:c>
      <x:c r="AE364" s="32" t="str">
        <x:f>IF(M364&lt;H364,"Existing Employee",IF(U364="","No Assignment",IF(V364=0,"0 Days",IF(V364&lt;=7,"1-7 Days",IF(V364&lt;=14,"8-14 Days",IF(V364&lt;=21,"15-21 Days","21+ Days"))))))</x:f>
        <x:v>Existing Employee</x:v>
      </x:c>
      <x:c r="AF36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64" s="33" t="n">
        <x:f>--(WorkforceData[[#This Row],[Total Days Worked]]&gt;=121)</x:f>
        <x:v>1</x:v>
      </x:c>
    </x:row>
    <x:row r="365">
      <x:c r="A365" s="236" t="str">
        <x:v>TRN-0364</x:v>
      </x:c>
      <x:c r="B365" s="243"/>
      <x:c r="C365" s="243"/>
      <x:c r="D365" s="243"/>
      <x:c r="E365" s="243"/>
      <x:c r="F365" s="14" t="str">
        <x:v>Recruiter H</x:v>
      </x:c>
      <x:c r="G365" s="14" t="str">
        <x:v>Training Center B</x:v>
      </x:c>
      <x:c r="H365" s="28">
        <x:v>45193</x:v>
      </x:c>
      <x:c r="I365" s="14">
        <x:v>2023</x:v>
      </x:c>
      <x:c r="J365" s="14" t="s">
        <x:v>127</x:v>
      </x:c>
      <x:c r="K365" s="14">
        <x:v>19</x:v>
      </x:c>
      <x:c r="L365" s="29" t="s">
        <x:v>119</x:v>
      </x:c>
      <x:c r="M365" s="28">
        <x:v>45193</x:v>
      </x:c>
      <x:c r="N365" s="14"/>
      <x:c r="O365" s="14">
        <x:v>1058</x:v>
      </x:c>
      <x:c r="P365" s="14" t="s">
        <x:v>122</x:v>
      </x:c>
      <x:c r="Q365" s="14" t="s">
        <x:v>38</x:v>
      </x:c>
      <x:c r="R365" s="14"/>
      <x:c r="S365" s="14" t="s">
        <x:v>108</x:v>
      </x:c>
      <x:c r="T365" s="14" t="str">
        <x:v>Region D</x:v>
      </x:c>
      <x:c r="U365" s="28">
        <x:v>45206</x:v>
      </x:c>
      <x:c r="V365" s="30">
        <x:v>13</x:v>
      </x:c>
      <x:c r="W365" s="14" t="s">
        <x:v>45</x:v>
      </x:c>
      <x:c r="X365" s="14" t="s">
        <x:v>106</x:v>
      </x:c>
      <x:c r="Y365" s="32" t="str">
        <x:v>TRN-0364|20230924</x:v>
      </x:c>
      <x:c r="Z365" s="32" t="str" cm="1">
        <x:f t="array" ref="Z36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365" s="33" t="n">
        <x:f>--OR(WorkforceData[[#This Row],[Status]]="Active",WorkforceData[[#This Row],[Promoted]]="Yes",WorkforceData[[#This Row],[Total Days Worked]]&gt;=121)</x:f>
        <x:v>1</x:v>
      </x:c>
      <x:c r="AB365" s="33" t="n">
        <x:f>IF(AND(Q365="Terminated",R365="",O365=0),1,0)</x:f>
        <x:v>0</x:v>
      </x:c>
      <x:c r="AC365" s="33" t="n">
        <x:f>--OR(WorkforceData[[#This Row],[Status]]="Resigned",WorkforceData[[#This Row],[Status After Training]]="Withdrew")</x:f>
        <x:v>0</x:v>
      </x:c>
      <x:c r="AD365" s="34" t="n">
        <x:f>EOMONTH(WorkforceData[[#This Row],[Training Date]],0)</x:f>
        <x:v>45199</x:v>
      </x:c>
      <x:c r="AE365" s="32" t="str">
        <x:f>IF(M365&lt;H365,"Existing Employee",IF(U365="","No Assignment",IF(V365=0,"0 Days",IF(V365&lt;=7,"1-7 Days",IF(V365&lt;=14,"8-14 Days",IF(V365&lt;=21,"15-21 Days","21+ Days"))))))</x:f>
        <x:v>8-14 Days</x:v>
      </x:c>
      <x:c r="AF36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65" s="33" t="n">
        <x:f>--(WorkforceData[[#This Row],[Total Days Worked]]&gt;=121)</x:f>
        <x:v>1</x:v>
      </x:c>
    </x:row>
    <x:row r="366">
      <x:c r="A366" s="236" t="str">
        <x:v>TRN-0365</x:v>
      </x:c>
      <x:c r="B366" s="243"/>
      <x:c r="C366" s="243"/>
      <x:c r="D366" s="243"/>
      <x:c r="E366" s="243"/>
      <x:c r="F366" s="14" t="str">
        <x:v>Recruiter E</x:v>
      </x:c>
      <x:c r="G366" s="14" t="str">
        <x:v>Training Center B</x:v>
      </x:c>
      <x:c r="H366" s="28">
        <x:v>45193</x:v>
      </x:c>
      <x:c r="I366" s="14">
        <x:v>2023</x:v>
      </x:c>
      <x:c r="J366" s="14" t="s">
        <x:v>127</x:v>
      </x:c>
      <x:c r="K366" s="14">
        <x:v>19</x:v>
      </x:c>
      <x:c r="L366" s="29" t="s">
        <x:v>119</x:v>
      </x:c>
      <x:c r="M366" s="28">
        <x:v>45192</x:v>
      </x:c>
      <x:c r="N366" s="28">
        <x:v>45413</x:v>
      </x:c>
      <x:c r="O366" s="14">
        <x:v>221</x:v>
      </x:c>
      <x:c r="P366" s="14" t="s">
        <x:v>107</x:v>
      </x:c>
      <x:c r="Q366" s="14" t="s">
        <x:v>103</x:v>
      </x:c>
      <x:c r="R366" s="14" t="s">
        <x:v>104</x:v>
      </x:c>
      <x:c r="S366" s="14" t="s">
        <x:v>108</x:v>
      </x:c>
      <x:c r="T366" s="14" t="str">
        <x:v>Region B</x:v>
      </x:c>
      <x:c r="U366" s="28">
        <x:v>45199</x:v>
      </x:c>
      <x:c r="V366" s="30">
        <x:v>6</x:v>
      </x:c>
      <x:c r="W366" s="14" t="s">
        <x:v>109</x:v>
      </x:c>
      <x:c r="X366" s="14" t="s">
        <x:v>106</x:v>
      </x:c>
      <x:c r="Y366" s="32" t="str">
        <x:v>TRN-0365|20230924</x:v>
      </x:c>
      <x:c r="Z366" s="32" t="str" cm="1">
        <x:f t="array" ref="Z36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366" s="33" t="n">
        <x:f>--OR(WorkforceData[[#This Row],[Status]]="Active",WorkforceData[[#This Row],[Promoted]]="Yes",WorkforceData[[#This Row],[Total Days Worked]]&gt;=121)</x:f>
        <x:v>1</x:v>
      </x:c>
      <x:c r="AB366" s="33" t="n">
        <x:f>IF(AND(Q366="Terminated",R366="",O366=0),1,0)</x:f>
        <x:v>0</x:v>
      </x:c>
      <x:c r="AC366" s="33" t="n">
        <x:f>--OR(WorkforceData[[#This Row],[Status]]="Resigned",WorkforceData[[#This Row],[Status After Training]]="Withdrew")</x:f>
        <x:v>1</x:v>
      </x:c>
      <x:c r="AD366" s="34" t="n">
        <x:f>EOMONTH(WorkforceData[[#This Row],[Training Date]],0)</x:f>
        <x:v>45199</x:v>
      </x:c>
      <x:c r="AE366" s="32" t="str">
        <x:f>IF(M366&lt;H366,"Existing Employee",IF(U366="","No Assignment",IF(V366=0,"0 Days",IF(V366&lt;=7,"1-7 Days",IF(V366&lt;=14,"8-14 Days",IF(V366&lt;=21,"15-21 Days","21+ Days"))))))</x:f>
        <x:v>Existing Employee</x:v>
      </x:c>
      <x:c r="AF36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66" s="33" t="n">
        <x:f>--(WorkforceData[[#This Row],[Total Days Worked]]&gt;=121)</x:f>
        <x:v>1</x:v>
      </x:c>
    </x:row>
    <x:row r="367">
      <x:c r="A367" s="236" t="str">
        <x:v>TRN-0366</x:v>
      </x:c>
      <x:c r="B367" s="243"/>
      <x:c r="C367" s="243"/>
      <x:c r="D367" s="243"/>
      <x:c r="E367" s="243"/>
      <x:c r="F367" s="14" t="str">
        <x:v>Recruiter H</x:v>
      </x:c>
      <x:c r="G367" s="14" t="str">
        <x:v>Training Center B</x:v>
      </x:c>
      <x:c r="H367" s="28">
        <x:v>45193</x:v>
      </x:c>
      <x:c r="I367" s="14">
        <x:v>2023</x:v>
      </x:c>
      <x:c r="J367" s="14" t="s">
        <x:v>127</x:v>
      </x:c>
      <x:c r="K367" s="14">
        <x:v>19</x:v>
      </x:c>
      <x:c r="L367" s="29" t="s">
        <x:v>119</x:v>
      </x:c>
      <x:c r="M367" s="28">
        <x:v>45192</x:v>
      </x:c>
      <x:c r="N367" s="14"/>
      <x:c r="O367" s="14">
        <x:v>1059</x:v>
      </x:c>
      <x:c r="P367" s="14" t="s">
        <x:v>122</x:v>
      </x:c>
      <x:c r="Q367" s="14" t="s">
        <x:v>25</x:v>
      </x:c>
      <x:c r="R367" s="14"/>
      <x:c r="S367" s="14" t="s">
        <x:v>108</x:v>
      </x:c>
      <x:c r="T367" s="14" t="str">
        <x:v>Region A</x:v>
      </x:c>
      <x:c r="U367" s="28">
        <x:v>45216</x:v>
      </x:c>
      <x:c r="V367" s="30">
        <x:v>23</x:v>
      </x:c>
      <x:c r="W367" s="14" t="s">
        <x:v>112</x:v>
      </x:c>
      <x:c r="X367" s="14" t="s">
        <x:v>106</x:v>
      </x:c>
      <x:c r="Y367" s="32" t="str">
        <x:v>TRN-0366|20230924</x:v>
      </x:c>
      <x:c r="Z367" s="32" t="str" cm="1">
        <x:f t="array" ref="Z36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367" s="33" t="n">
        <x:f>--OR(WorkforceData[[#This Row],[Status]]="Active",WorkforceData[[#This Row],[Promoted]]="Yes",WorkforceData[[#This Row],[Total Days Worked]]&gt;=121)</x:f>
        <x:v>1</x:v>
      </x:c>
      <x:c r="AB367" s="33" t="n">
        <x:f>IF(AND(Q367="Terminated",R367="",O367=0),1,0)</x:f>
        <x:v>0</x:v>
      </x:c>
      <x:c r="AC367" s="33" t="n">
        <x:f>--OR(WorkforceData[[#This Row],[Status]]="Resigned",WorkforceData[[#This Row],[Status After Training]]="Withdrew")</x:f>
        <x:v>0</x:v>
      </x:c>
      <x:c r="AD367" s="34" t="n">
        <x:f>EOMONTH(WorkforceData[[#This Row],[Training Date]],0)</x:f>
        <x:v>45199</x:v>
      </x:c>
      <x:c r="AE367" s="32" t="str">
        <x:f>IF(M367&lt;H367,"Existing Employee",IF(U367="","No Assignment",IF(V367=0,"0 Days",IF(V367&lt;=7,"1-7 Days",IF(V367&lt;=14,"8-14 Days",IF(V367&lt;=21,"15-21 Days","21+ Days"))))))</x:f>
        <x:v>Existing Employee</x:v>
      </x:c>
      <x:c r="AF36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67" s="33" t="n">
        <x:f>--(WorkforceData[[#This Row],[Total Days Worked]]&gt;=121)</x:f>
        <x:v>1</x:v>
      </x:c>
    </x:row>
    <x:row r="368">
      <x:c r="A368" s="236" t="str">
        <x:v>TRN-0367</x:v>
      </x:c>
      <x:c r="B368" s="243"/>
      <x:c r="C368" s="243"/>
      <x:c r="D368" s="243"/>
      <x:c r="E368" s="243"/>
      <x:c r="F368" s="14" t="str">
        <x:v>Recruiter B</x:v>
      </x:c>
      <x:c r="G368" s="14" t="str">
        <x:v>Training Center B</x:v>
      </x:c>
      <x:c r="H368" s="28">
        <x:v>45193</x:v>
      </x:c>
      <x:c r="I368" s="14">
        <x:v>2023</x:v>
      </x:c>
      <x:c r="J368" s="14" t="s">
        <x:v>127</x:v>
      </x:c>
      <x:c r="K368" s="14">
        <x:v>19</x:v>
      </x:c>
      <x:c r="L368" s="29" t="s">
        <x:v>119</x:v>
      </x:c>
      <x:c r="M368" s="28">
        <x:v>45193</x:v>
      </x:c>
      <x:c r="N368" s="14"/>
      <x:c r="O368" s="14">
        <x:v>1058</x:v>
      </x:c>
      <x:c r="P368" s="14" t="s">
        <x:v>122</x:v>
      </x:c>
      <x:c r="Q368" s="14" t="s">
        <x:v>25</x:v>
      </x:c>
      <x:c r="R368" s="14"/>
      <x:c r="S368" s="14" t="s">
        <x:v>108</x:v>
      </x:c>
      <x:c r="T368" s="14" t="str">
        <x:v>Region D</x:v>
      </x:c>
      <x:c r="U368" s="28">
        <x:v>45200</x:v>
      </x:c>
      <x:c r="V368" s="30">
        <x:v>7</x:v>
      </x:c>
      <x:c r="W368" s="14" t="s">
        <x:v>109</x:v>
      </x:c>
      <x:c r="X368" s="14" t="s">
        <x:v>106</x:v>
      </x:c>
      <x:c r="Y368" s="32" t="str">
        <x:v>TRN-0367|20230924</x:v>
      </x:c>
      <x:c r="Z368" s="32" t="str" cm="1">
        <x:f t="array" ref="Z36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368" s="33" t="n">
        <x:f>--OR(WorkforceData[[#This Row],[Status]]="Active",WorkforceData[[#This Row],[Promoted]]="Yes",WorkforceData[[#This Row],[Total Days Worked]]&gt;=121)</x:f>
        <x:v>1</x:v>
      </x:c>
      <x:c r="AB368" s="33" t="n">
        <x:f>IF(AND(Q368="Terminated",R368="",O368=0),1,0)</x:f>
        <x:v>0</x:v>
      </x:c>
      <x:c r="AC368" s="33" t="n">
        <x:f>--OR(WorkforceData[[#This Row],[Status]]="Resigned",WorkforceData[[#This Row],[Status After Training]]="Withdrew")</x:f>
        <x:v>0</x:v>
      </x:c>
      <x:c r="AD368" s="34" t="n">
        <x:f>EOMONTH(WorkforceData[[#This Row],[Training Date]],0)</x:f>
        <x:v>45199</x:v>
      </x:c>
      <x:c r="AE368" s="32" t="str">
        <x:f>IF(M368&lt;H368,"Existing Employee",IF(U368="","No Assignment",IF(V368=0,"0 Days",IF(V368&lt;=7,"1-7 Days",IF(V368&lt;=14,"8-14 Days",IF(V368&lt;=21,"15-21 Days","21+ Days"))))))</x:f>
        <x:v>1-7 Days</x:v>
      </x:c>
      <x:c r="AF36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68" s="33" t="n">
        <x:f>--(WorkforceData[[#This Row],[Total Days Worked]]&gt;=121)</x:f>
        <x:v>1</x:v>
      </x:c>
    </x:row>
    <x:row r="369">
      <x:c r="A369" s="236" t="str">
        <x:v>TRN-0368</x:v>
      </x:c>
      <x:c r="B369" s="243"/>
      <x:c r="C369" s="243"/>
      <x:c r="D369" s="243"/>
      <x:c r="E369" s="243"/>
      <x:c r="F369" s="14" t="str">
        <x:v>Recruiter H</x:v>
      </x:c>
      <x:c r="G369" s="14" t="str">
        <x:v>Training Center B</x:v>
      </x:c>
      <x:c r="H369" s="28">
        <x:v>45193</x:v>
      </x:c>
      <x:c r="I369" s="14">
        <x:v>2023</x:v>
      </x:c>
      <x:c r="J369" s="14" t="s">
        <x:v>127</x:v>
      </x:c>
      <x:c r="K369" s="14">
        <x:v>19</x:v>
      </x:c>
      <x:c r="L369" s="29" t="s">
        <x:v>119</x:v>
      </x:c>
      <x:c r="M369" s="28">
        <x:v>45191</x:v>
      </x:c>
      <x:c r="N369" s="28">
        <x:v>45391</x:v>
      </x:c>
      <x:c r="O369" s="14">
        <x:v>200</x:v>
      </x:c>
      <x:c r="P369" s="14" t="s">
        <x:v>107</x:v>
      </x:c>
      <x:c r="Q369" s="14" t="s">
        <x:v>103</x:v>
      </x:c>
      <x:c r="R369" s="14" t="s">
        <x:v>104</x:v>
      </x:c>
      <x:c r="S369" s="14" t="s">
        <x:v>108</x:v>
      </x:c>
      <x:c r="T369" s="14" t="str">
        <x:v>Region B</x:v>
      </x:c>
      <x:c r="U369" s="28">
        <x:v>45215</x:v>
      </x:c>
      <x:c r="V369" s="30">
        <x:v>22</x:v>
      </x:c>
      <x:c r="W369" s="14" t="s">
        <x:v>112</x:v>
      </x:c>
      <x:c r="X369" s="14" t="s">
        <x:v>106</x:v>
      </x:c>
      <x:c r="Y369" s="32" t="str">
        <x:v>TRN-0368|20230924</x:v>
      </x:c>
      <x:c r="Z369" s="32" t="str" cm="1">
        <x:f t="array" ref="Z36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369" s="33" t="n">
        <x:f>--OR(WorkforceData[[#This Row],[Status]]="Active",WorkforceData[[#This Row],[Promoted]]="Yes",WorkforceData[[#This Row],[Total Days Worked]]&gt;=121)</x:f>
        <x:v>1</x:v>
      </x:c>
      <x:c r="AB369" s="33" t="n">
        <x:f>IF(AND(Q369="Terminated",R369="",O369=0),1,0)</x:f>
        <x:v>0</x:v>
      </x:c>
      <x:c r="AC369" s="33" t="n">
        <x:f>--OR(WorkforceData[[#This Row],[Status]]="Resigned",WorkforceData[[#This Row],[Status After Training]]="Withdrew")</x:f>
        <x:v>1</x:v>
      </x:c>
      <x:c r="AD369" s="34" t="n">
        <x:f>EOMONTH(WorkforceData[[#This Row],[Training Date]],0)</x:f>
        <x:v>45199</x:v>
      </x:c>
      <x:c r="AE369" s="32" t="str">
        <x:f>IF(M369&lt;H369,"Existing Employee",IF(U369="","No Assignment",IF(V369=0,"0 Days",IF(V369&lt;=7,"1-7 Days",IF(V369&lt;=14,"8-14 Days",IF(V369&lt;=21,"15-21 Days","21+ Days"))))))</x:f>
        <x:v>Existing Employee</x:v>
      </x:c>
      <x:c r="AF36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69" s="33" t="n">
        <x:f>--(WorkforceData[[#This Row],[Total Days Worked]]&gt;=121)</x:f>
        <x:v>1</x:v>
      </x:c>
    </x:row>
    <x:row r="370">
      <x:c r="A370" s="236" t="str">
        <x:v>TRN-0369</x:v>
      </x:c>
      <x:c r="B370" s="243"/>
      <x:c r="C370" s="243"/>
      <x:c r="D370" s="243"/>
      <x:c r="E370" s="243"/>
      <x:c r="F370" s="14" t="str">
        <x:v>Recruiter G</x:v>
      </x:c>
      <x:c r="G370" s="14" t="str">
        <x:v>Training Center B</x:v>
      </x:c>
      <x:c r="H370" s="28">
        <x:v>45193</x:v>
      </x:c>
      <x:c r="I370" s="14">
        <x:v>2023</x:v>
      </x:c>
      <x:c r="J370" s="14" t="s">
        <x:v>127</x:v>
      </x:c>
      <x:c r="K370" s="14">
        <x:v>19</x:v>
      </x:c>
      <x:c r="L370" s="29" t="s">
        <x:v>119</x:v>
      </x:c>
      <x:c r="M370" s="28">
        <x:v>45193</x:v>
      </x:c>
      <x:c r="N370" s="28">
        <x:v>45283</x:v>
      </x:c>
      <x:c r="O370" s="14">
        <x:v>90</x:v>
      </x:c>
      <x:c r="P370" s="14" t="s">
        <x:v>110</x:v>
      </x:c>
      <x:c r="Q370" s="14" t="s">
        <x:v>103</x:v>
      </x:c>
      <x:c r="R370" s="14" t="s">
        <x:v>104</x:v>
      </x:c>
      <x:c r="S370" s="14" t="s">
        <x:v>105</x:v>
      </x:c>
      <x:c r="T370" s="14" t="str">
        <x:v>Region C</x:v>
      </x:c>
      <x:c r="U370" s="28">
        <x:v>45283</x:v>
      </x:c>
      <x:c r="V370" s="30">
        <x:v>90</x:v>
      </x:c>
      <x:c r="W370" s="14" t="s">
        <x:v>114</x:v>
      </x:c>
      <x:c r="X370" s="14" t="s">
        <x:v>117</x:v>
      </x:c>
      <x:c r="Y370" s="32" t="str">
        <x:v>TRN-0369|20230924</x:v>
      </x:c>
      <x:c r="Z370" s="32" t="str" cm="1">
        <x:f t="array" ref="Z37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370" s="33" t="n">
        <x:f>--OR(WorkforceData[[#This Row],[Status]]="Active",WorkforceData[[#This Row],[Promoted]]="Yes",WorkforceData[[#This Row],[Total Days Worked]]&gt;=121)</x:f>
        <x:v>0</x:v>
      </x:c>
      <x:c r="AB370" s="33" t="n">
        <x:f>IF(AND(Q370="Terminated",R370="",O370=0),1,0)</x:f>
        <x:v>0</x:v>
      </x:c>
      <x:c r="AC370" s="33" t="n">
        <x:f>--OR(WorkforceData[[#This Row],[Status]]="Resigned",WorkforceData[[#This Row],[Status After Training]]="Withdrew")</x:f>
        <x:v>1</x:v>
      </x:c>
      <x:c r="AD370" s="34" t="n">
        <x:f>EOMONTH(WorkforceData[[#This Row],[Training Date]],0)</x:f>
        <x:v>45199</x:v>
      </x:c>
      <x:c r="AE370" s="32" t="str">
        <x:f>IF(M370&lt;H370,"Existing Employee",IF(U370="","No Assignment",IF(V370=0,"0 Days",IF(V370&lt;=7,"1-7 Days",IF(V370&lt;=14,"8-14 Days",IF(V370&lt;=21,"15-21 Days","21+ Days"))))))</x:f>
        <x:v>21+ Days</x:v>
      </x:c>
      <x:c r="AF37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61-90 Days</x:v>
      </x:c>
      <x:c r="AG370" s="33" t="n">
        <x:f>--(WorkforceData[[#This Row],[Total Days Worked]]&gt;=121)</x:f>
        <x:v>0</x:v>
      </x:c>
    </x:row>
    <x:row r="371">
      <x:c r="A371" s="236" t="str">
        <x:v>TRN-0370</x:v>
      </x:c>
      <x:c r="B371" s="243"/>
      <x:c r="C371" s="243"/>
      <x:c r="D371" s="243"/>
      <x:c r="E371" s="243"/>
      <x:c r="F371" s="14" t="str">
        <x:v>Recruiter E</x:v>
      </x:c>
      <x:c r="G371" s="14" t="str">
        <x:v>Training Center B</x:v>
      </x:c>
      <x:c r="H371" s="28">
        <x:v>46149</x:v>
      </x:c>
      <x:c r="I371" s="14">
        <x:v>2026</x:v>
      </x:c>
      <x:c r="J371" s="14" t="s">
        <x:v>118</x:v>
      </x:c>
      <x:c r="K371" s="14">
        <x:v>11</x:v>
      </x:c>
      <x:c r="L371" s="29" t="s">
        <x:v>119</x:v>
      </x:c>
      <x:c r="M371" s="28">
        <x:v>46148</x:v>
      </x:c>
      <x:c r="N371" s="28">
        <x:v>46251</x:v>
      </x:c>
      <x:c r="O371" s="14">
        <x:v>103</x:v>
      </x:c>
      <x:c r="P371" s="14" t="s">
        <x:v>113</x:v>
      </x:c>
      <x:c r="Q371" s="14" t="s">
        <x:v>103</x:v>
      </x:c>
      <x:c r="R371" s="14" t="s">
        <x:v>104</x:v>
      </x:c>
      <x:c r="S371" s="14" t="s">
        <x:v>105</x:v>
      </x:c>
      <x:c r="T371" s="14" t="str">
        <x:v>Region D</x:v>
      </x:c>
      <x:c r="U371" s="28">
        <x:v>46159</x:v>
      </x:c>
      <x:c r="V371" s="30">
        <x:v>10</x:v>
      </x:c>
      <x:c r="W371" s="14" t="s">
        <x:v>45</x:v>
      </x:c>
      <x:c r="X371" s="14" t="s">
        <x:v>106</x:v>
      </x:c>
      <x:c r="Y371" s="32" t="str">
        <x:v>TRN-0370|20260507</x:v>
      </x:c>
      <x:c r="Z371" s="32" t="str" cm="1">
        <x:f t="array" ref="Z37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371" s="33" t="n">
        <x:f>--OR(WorkforceData[[#This Row],[Status]]="Active",WorkforceData[[#This Row],[Promoted]]="Yes",WorkforceData[[#This Row],[Total Days Worked]]&gt;=121)</x:f>
        <x:v>0</x:v>
      </x:c>
      <x:c r="AB371" s="33" t="n">
        <x:f>IF(AND(Q371="Terminated",R371="",O371=0),1,0)</x:f>
        <x:v>0</x:v>
      </x:c>
      <x:c r="AC371" s="33" t="n">
        <x:f>--OR(WorkforceData[[#This Row],[Status]]="Resigned",WorkforceData[[#This Row],[Status After Training]]="Withdrew")</x:f>
        <x:v>1</x:v>
      </x:c>
      <x:c r="AD371" s="34" t="n">
        <x:f>EOMONTH(WorkforceData[[#This Row],[Training Date]],0)</x:f>
        <x:v>46173</x:v>
      </x:c>
      <x:c r="AE371" s="32" t="str">
        <x:f>IF(M371&lt;H371,"Existing Employee",IF(U371="","No Assignment",IF(V371=0,"0 Days",IF(V371&lt;=7,"1-7 Days",IF(V371&lt;=14,"8-14 Days",IF(V371&lt;=21,"15-21 Days","21+ Days"))))))</x:f>
        <x:v>Existing Employee</x:v>
      </x:c>
      <x:c r="AF37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91-120 Days</x:v>
      </x:c>
      <x:c r="AG371" s="33" t="n">
        <x:f>--(WorkforceData[[#This Row],[Total Days Worked]]&gt;=121)</x:f>
        <x:v>0</x:v>
      </x:c>
    </x:row>
    <x:row r="372">
      <x:c r="A372" s="236" t="str">
        <x:v>TRN-0371</x:v>
      </x:c>
      <x:c r="B372" s="243"/>
      <x:c r="C372" s="243"/>
      <x:c r="D372" s="243"/>
      <x:c r="E372" s="243"/>
      <x:c r="F372" s="14" t="str">
        <x:v>Recruiter C</x:v>
      </x:c>
      <x:c r="G372" s="14" t="str">
        <x:v>Training Center B</x:v>
      </x:c>
      <x:c r="H372" s="28">
        <x:v>46149</x:v>
      </x:c>
      <x:c r="I372" s="14">
        <x:v>2026</x:v>
      </x:c>
      <x:c r="J372" s="14" t="s">
        <x:v>118</x:v>
      </x:c>
      <x:c r="K372" s="14">
        <x:v>11</x:v>
      </x:c>
      <x:c r="L372" s="29" t="s">
        <x:v>119</x:v>
      </x:c>
      <x:c r="M372" s="28">
        <x:v>46148</x:v>
      </x:c>
      <x:c r="N372" s="14"/>
      <x:c r="O372" s="14">
        <x:v>103</x:v>
      </x:c>
      <x:c r="P372" s="14" t="s">
        <x:v>113</x:v>
      </x:c>
      <x:c r="Q372" s="14" t="s">
        <x:v>25</x:v>
      </x:c>
      <x:c r="R372" s="14"/>
      <x:c r="S372" s="14" t="s">
        <x:v>105</x:v>
      </x:c>
      <x:c r="T372" s="14" t="str">
        <x:v>Region B</x:v>
      </x:c>
      <x:c r="U372" s="28">
        <x:v>46163</x:v>
      </x:c>
      <x:c r="V372" s="30">
        <x:v>14</x:v>
      </x:c>
      <x:c r="W372" s="14" t="s">
        <x:v>45</x:v>
      </x:c>
      <x:c r="X372" s="14" t="s">
        <x:v>106</x:v>
      </x:c>
      <x:c r="Y372" s="32" t="str">
        <x:v>TRN-0371|20260507</x:v>
      </x:c>
      <x:c r="Z372" s="32" t="str" cm="1">
        <x:f t="array" ref="Z37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372" s="33" t="n">
        <x:f>--OR(WorkforceData[[#This Row],[Status]]="Active",WorkforceData[[#This Row],[Promoted]]="Yes",WorkforceData[[#This Row],[Total Days Worked]]&gt;=121)</x:f>
        <x:v>1</x:v>
      </x:c>
      <x:c r="AB372" s="33" t="n">
        <x:f>IF(AND(Q372="Terminated",R372="",O372=0),1,0)</x:f>
        <x:v>0</x:v>
      </x:c>
      <x:c r="AC372" s="33" t="n">
        <x:f>--OR(WorkforceData[[#This Row],[Status]]="Resigned",WorkforceData[[#This Row],[Status After Training]]="Withdrew")</x:f>
        <x:v>0</x:v>
      </x:c>
      <x:c r="AD372" s="34" t="n">
        <x:f>EOMONTH(WorkforceData[[#This Row],[Training Date]],0)</x:f>
        <x:v>46173</x:v>
      </x:c>
      <x:c r="AE372" s="32" t="str">
        <x:f>IF(M372&lt;H372,"Existing Employee",IF(U372="","No Assignment",IF(V372=0,"0 Days",IF(V372&lt;=7,"1-7 Days",IF(V372&lt;=14,"8-14 Days",IF(V372&lt;=21,"15-21 Days","21+ Days"))))))</x:f>
        <x:v>Existing Employee</x:v>
      </x:c>
      <x:c r="AF37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91-120 Days</x:v>
      </x:c>
      <x:c r="AG372" s="33" t="n">
        <x:f>--(WorkforceData[[#This Row],[Total Days Worked]]&gt;=121)</x:f>
        <x:v>0</x:v>
      </x:c>
    </x:row>
    <x:row r="373">
      <x:c r="A373" s="236" t="str">
        <x:v>TRN-0372</x:v>
      </x:c>
      <x:c r="B373" s="243"/>
      <x:c r="C373" s="243"/>
      <x:c r="D373" s="243"/>
      <x:c r="E373" s="243"/>
      <x:c r="F373" s="14" t="str">
        <x:v>Recruiter H</x:v>
      </x:c>
      <x:c r="G373" s="14" t="str">
        <x:v>Training Center B</x:v>
      </x:c>
      <x:c r="H373" s="28">
        <x:v>46149</x:v>
      </x:c>
      <x:c r="I373" s="14">
        <x:v>2026</x:v>
      </x:c>
      <x:c r="J373" s="14" t="s">
        <x:v>118</x:v>
      </x:c>
      <x:c r="K373" s="14">
        <x:v>11</x:v>
      </x:c>
      <x:c r="L373" s="29" t="s">
        <x:v>119</x:v>
      </x:c>
      <x:c r="M373" s="28">
        <x:v>46149</x:v>
      </x:c>
      <x:c r="N373" s="14"/>
      <x:c r="O373" s="14">
        <x:v>102</x:v>
      </x:c>
      <x:c r="P373" s="14" t="s">
        <x:v>113</x:v>
      </x:c>
      <x:c r="Q373" s="14" t="s">
        <x:v>25</x:v>
      </x:c>
      <x:c r="R373" s="14"/>
      <x:c r="S373" s="14" t="s">
        <x:v>105</x:v>
      </x:c>
      <x:c r="T373" s="14" t="str">
        <x:v>Region D</x:v>
      </x:c>
      <x:c r="U373" s="28">
        <x:v>46158</x:v>
      </x:c>
      <x:c r="V373" s="30">
        <x:v>9</x:v>
      </x:c>
      <x:c r="W373" s="14" t="s">
        <x:v>45</x:v>
      </x:c>
      <x:c r="X373" s="14" t="s">
        <x:v>106</x:v>
      </x:c>
      <x:c r="Y373" s="32" t="str">
        <x:v>TRN-0372|20260507</x:v>
      </x:c>
      <x:c r="Z373" s="32" t="str" cm="1">
        <x:f t="array" ref="Z37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373" s="33" t="n">
        <x:f>--OR(WorkforceData[[#This Row],[Status]]="Active",WorkforceData[[#This Row],[Promoted]]="Yes",WorkforceData[[#This Row],[Total Days Worked]]&gt;=121)</x:f>
        <x:v>1</x:v>
      </x:c>
      <x:c r="AB373" s="33" t="n">
        <x:f>IF(AND(Q373="Terminated",R373="",O373=0),1,0)</x:f>
        <x:v>0</x:v>
      </x:c>
      <x:c r="AC373" s="33" t="n">
        <x:f>--OR(WorkforceData[[#This Row],[Status]]="Resigned",WorkforceData[[#This Row],[Status After Training]]="Withdrew")</x:f>
        <x:v>0</x:v>
      </x:c>
      <x:c r="AD373" s="34" t="n">
        <x:f>EOMONTH(WorkforceData[[#This Row],[Training Date]],0)</x:f>
        <x:v>46173</x:v>
      </x:c>
      <x:c r="AE373" s="32" t="str">
        <x:f>IF(M373&lt;H373,"Existing Employee",IF(U373="","No Assignment",IF(V373=0,"0 Days",IF(V373&lt;=7,"1-7 Days",IF(V373&lt;=14,"8-14 Days",IF(V373&lt;=21,"15-21 Days","21+ Days"))))))</x:f>
        <x:v>8-14 Days</x:v>
      </x:c>
      <x:c r="AF37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91-120 Days</x:v>
      </x:c>
      <x:c r="AG373" s="33" t="n">
        <x:f>--(WorkforceData[[#This Row],[Total Days Worked]]&gt;=121)</x:f>
        <x:v>0</x:v>
      </x:c>
    </x:row>
    <x:row r="374">
      <x:c r="A374" s="236" t="str">
        <x:v>TRN-0373</x:v>
      </x:c>
      <x:c r="B374" s="243"/>
      <x:c r="C374" s="243"/>
      <x:c r="D374" s="243"/>
      <x:c r="E374" s="243"/>
      <x:c r="F374" s="14" t="str">
        <x:v>Recruiter B</x:v>
      </x:c>
      <x:c r="G374" s="14" t="str">
        <x:v>Training Center B</x:v>
      </x:c>
      <x:c r="H374" s="28">
        <x:v>46149</x:v>
      </x:c>
      <x:c r="I374" s="14">
        <x:v>2026</x:v>
      </x:c>
      <x:c r="J374" s="14" t="s">
        <x:v>118</x:v>
      </x:c>
      <x:c r="K374" s="14">
        <x:v>11</x:v>
      </x:c>
      <x:c r="L374" s="29" t="s">
        <x:v>119</x:v>
      </x:c>
      <x:c r="M374" s="28">
        <x:v>46149</x:v>
      </x:c>
      <x:c r="N374" s="14"/>
      <x:c r="O374" s="14">
        <x:v>102</x:v>
      </x:c>
      <x:c r="P374" s="14" t="s">
        <x:v>113</x:v>
      </x:c>
      <x:c r="Q374" s="14" t="s">
        <x:v>25</x:v>
      </x:c>
      <x:c r="R374" s="14"/>
      <x:c r="S374" s="14" t="s">
        <x:v>105</x:v>
      </x:c>
      <x:c r="T374" s="14" t="str">
        <x:v>Region C</x:v>
      </x:c>
      <x:c r="U374" s="28">
        <x:v>46167</x:v>
      </x:c>
      <x:c r="V374" s="30">
        <x:v>18</x:v>
      </x:c>
      <x:c r="W374" s="14" t="s">
        <x:v>112</x:v>
      </x:c>
      <x:c r="X374" s="14" t="s">
        <x:v>106</x:v>
      </x:c>
      <x:c r="Y374" s="32" t="str">
        <x:v>TRN-0373|20260507</x:v>
      </x:c>
      <x:c r="Z374" s="32" t="str" cm="1">
        <x:f t="array" ref="Z37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374" s="33" t="n">
        <x:f>--OR(WorkforceData[[#This Row],[Status]]="Active",WorkforceData[[#This Row],[Promoted]]="Yes",WorkforceData[[#This Row],[Total Days Worked]]&gt;=121)</x:f>
        <x:v>1</x:v>
      </x:c>
      <x:c r="AB374" s="33" t="n">
        <x:f>IF(AND(Q374="Terminated",R374="",O374=0),1,0)</x:f>
        <x:v>0</x:v>
      </x:c>
      <x:c r="AC374" s="33" t="n">
        <x:f>--OR(WorkforceData[[#This Row],[Status]]="Resigned",WorkforceData[[#This Row],[Status After Training]]="Withdrew")</x:f>
        <x:v>0</x:v>
      </x:c>
      <x:c r="AD374" s="34" t="n">
        <x:f>EOMONTH(WorkforceData[[#This Row],[Training Date]],0)</x:f>
        <x:v>46173</x:v>
      </x:c>
      <x:c r="AE374" s="32" t="str">
        <x:f>IF(M374&lt;H374,"Existing Employee",IF(U374="","No Assignment",IF(V374=0,"0 Days",IF(V374&lt;=7,"1-7 Days",IF(V374&lt;=14,"8-14 Days",IF(V374&lt;=21,"15-21 Days","21+ Days"))))))</x:f>
        <x:v>15-21 Days</x:v>
      </x:c>
      <x:c r="AF37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91-120 Days</x:v>
      </x:c>
      <x:c r="AG374" s="33" t="n">
        <x:f>--(WorkforceData[[#This Row],[Total Days Worked]]&gt;=121)</x:f>
        <x:v>0</x:v>
      </x:c>
    </x:row>
    <x:row r="375">
      <x:c r="A375" s="236" t="str">
        <x:v>TRN-0374</x:v>
      </x:c>
      <x:c r="B375" s="243"/>
      <x:c r="C375" s="243"/>
      <x:c r="D375" s="243"/>
      <x:c r="E375" s="243"/>
      <x:c r="F375" s="14" t="str">
        <x:v>Recruiter F</x:v>
      </x:c>
      <x:c r="G375" s="14" t="str">
        <x:v>Training Center B</x:v>
      </x:c>
      <x:c r="H375" s="28">
        <x:v>46149</x:v>
      </x:c>
      <x:c r="I375" s="14">
        <x:v>2026</x:v>
      </x:c>
      <x:c r="J375" s="14" t="s">
        <x:v>118</x:v>
      </x:c>
      <x:c r="K375" s="14">
        <x:v>11</x:v>
      </x:c>
      <x:c r="L375" s="29" t="s">
        <x:v>119</x:v>
      </x:c>
      <x:c r="M375" s="28">
        <x:v>46149</x:v>
      </x:c>
      <x:c r="N375" s="14"/>
      <x:c r="O375" s="14">
        <x:v>102</x:v>
      </x:c>
      <x:c r="P375" s="14" t="s">
        <x:v>113</x:v>
      </x:c>
      <x:c r="Q375" s="14" t="s">
        <x:v>38</x:v>
      </x:c>
      <x:c r="R375" s="14"/>
      <x:c r="S375" s="14" t="s">
        <x:v>105</x:v>
      </x:c>
      <x:c r="T375" s="14" t="str">
        <x:v>Region A</x:v>
      </x:c>
      <x:c r="U375" s="28">
        <x:v>46154</x:v>
      </x:c>
      <x:c r="V375" s="30">
        <x:v>5</x:v>
      </x:c>
      <x:c r="W375" s="14" t="s">
        <x:v>109</x:v>
      </x:c>
      <x:c r="X375" s="14" t="s">
        <x:v>106</x:v>
      </x:c>
      <x:c r="Y375" s="32" t="str">
        <x:v>TRN-0374|20260507</x:v>
      </x:c>
      <x:c r="Z375" s="32" t="str" cm="1">
        <x:f t="array" ref="Z37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375" s="33" t="n">
        <x:f>--OR(WorkforceData[[#This Row],[Status]]="Active",WorkforceData[[#This Row],[Promoted]]="Yes",WorkforceData[[#This Row],[Total Days Worked]]&gt;=121)</x:f>
        <x:v>0</x:v>
      </x:c>
      <x:c r="AB375" s="33" t="n">
        <x:f>IF(AND(Q375="Terminated",R375="",O375=0),1,0)</x:f>
        <x:v>0</x:v>
      </x:c>
      <x:c r="AC375" s="33" t="n">
        <x:f>--OR(WorkforceData[[#This Row],[Status]]="Resigned",WorkforceData[[#This Row],[Status After Training]]="Withdrew")</x:f>
        <x:v>0</x:v>
      </x:c>
      <x:c r="AD375" s="34" t="n">
        <x:f>EOMONTH(WorkforceData[[#This Row],[Training Date]],0)</x:f>
        <x:v>46173</x:v>
      </x:c>
      <x:c r="AE375" s="32" t="str">
        <x:f>IF(M375&lt;H375,"Existing Employee",IF(U375="","No Assignment",IF(V375=0,"0 Days",IF(V375&lt;=7,"1-7 Days",IF(V375&lt;=14,"8-14 Days",IF(V375&lt;=21,"15-21 Days","21+ Days"))))))</x:f>
        <x:v>1-7 Days</x:v>
      </x:c>
      <x:c r="AF37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91-120 Days</x:v>
      </x:c>
      <x:c r="AG375" s="33" t="n">
        <x:f>--(WorkforceData[[#This Row],[Total Days Worked]]&gt;=121)</x:f>
        <x:v>0</x:v>
      </x:c>
    </x:row>
    <x:row r="376">
      <x:c r="A376" s="236" t="str">
        <x:v>TRN-0375</x:v>
      </x:c>
      <x:c r="B376" s="243"/>
      <x:c r="C376" s="243"/>
      <x:c r="D376" s="243"/>
      <x:c r="E376" s="243"/>
      <x:c r="F376" s="14" t="str">
        <x:v>Recruiter F</x:v>
      </x:c>
      <x:c r="G376" s="14" t="str">
        <x:v>Training Center B</x:v>
      </x:c>
      <x:c r="H376" s="28">
        <x:v>46149</x:v>
      </x:c>
      <x:c r="I376" s="14">
        <x:v>2026</x:v>
      </x:c>
      <x:c r="J376" s="14" t="s">
        <x:v>118</x:v>
      </x:c>
      <x:c r="K376" s="14">
        <x:v>11</x:v>
      </x:c>
      <x:c r="L376" s="29" t="s">
        <x:v>119</x:v>
      </x:c>
      <x:c r="M376" s="28">
        <x:v>46146</x:v>
      </x:c>
      <x:c r="N376" s="14"/>
      <x:c r="O376" s="14">
        <x:v>105</x:v>
      </x:c>
      <x:c r="P376" s="14" t="s">
        <x:v>113</x:v>
      </x:c>
      <x:c r="Q376" s="14" t="s">
        <x:v>25</x:v>
      </x:c>
      <x:c r="R376" s="14"/>
      <x:c r="S376" s="14" t="s">
        <x:v>105</x:v>
      </x:c>
      <x:c r="T376" s="14" t="str">
        <x:v>Region B</x:v>
      </x:c>
      <x:c r="U376" s="28">
        <x:v>46178</x:v>
      </x:c>
      <x:c r="V376" s="30">
        <x:v>29</x:v>
      </x:c>
      <x:c r="W376" s="14" t="s">
        <x:v>112</x:v>
      </x:c>
      <x:c r="X376" s="14" t="s">
        <x:v>106</x:v>
      </x:c>
      <x:c r="Y376" s="32" t="str">
        <x:v>TRN-0375|20260507</x:v>
      </x:c>
      <x:c r="Z376" s="32" t="str" cm="1">
        <x:f t="array" ref="Z37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376" s="33" t="n">
        <x:f>--OR(WorkforceData[[#This Row],[Status]]="Active",WorkforceData[[#This Row],[Promoted]]="Yes",WorkforceData[[#This Row],[Total Days Worked]]&gt;=121)</x:f>
        <x:v>1</x:v>
      </x:c>
      <x:c r="AB376" s="33" t="n">
        <x:f>IF(AND(Q376="Terminated",R376="",O376=0),1,0)</x:f>
        <x:v>0</x:v>
      </x:c>
      <x:c r="AC376" s="33" t="n">
        <x:f>--OR(WorkforceData[[#This Row],[Status]]="Resigned",WorkforceData[[#This Row],[Status After Training]]="Withdrew")</x:f>
        <x:v>0</x:v>
      </x:c>
      <x:c r="AD376" s="34" t="n">
        <x:f>EOMONTH(WorkforceData[[#This Row],[Training Date]],0)</x:f>
        <x:v>46173</x:v>
      </x:c>
      <x:c r="AE376" s="32" t="str">
        <x:f>IF(M376&lt;H376,"Existing Employee",IF(U376="","No Assignment",IF(V376=0,"0 Days",IF(V376&lt;=7,"1-7 Days",IF(V376&lt;=14,"8-14 Days",IF(V376&lt;=21,"15-21 Days","21+ Days"))))))</x:f>
        <x:v>Existing Employee</x:v>
      </x:c>
      <x:c r="AF37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91-120 Days</x:v>
      </x:c>
      <x:c r="AG376" s="33" t="n">
        <x:f>--(WorkforceData[[#This Row],[Total Days Worked]]&gt;=121)</x:f>
        <x:v>0</x:v>
      </x:c>
    </x:row>
    <x:row r="377">
      <x:c r="A377" s="236" t="str">
        <x:v>TRN-0376</x:v>
      </x:c>
      <x:c r="B377" s="243"/>
      <x:c r="C377" s="243"/>
      <x:c r="D377" s="243"/>
      <x:c r="E377" s="243"/>
      <x:c r="F377" s="14" t="str">
        <x:v>Recruiter C</x:v>
      </x:c>
      <x:c r="G377" s="14" t="str">
        <x:v>Training Center B</x:v>
      </x:c>
      <x:c r="H377" s="28">
        <x:v>46149</x:v>
      </x:c>
      <x:c r="I377" s="14">
        <x:v>2026</x:v>
      </x:c>
      <x:c r="J377" s="14" t="s">
        <x:v>118</x:v>
      </x:c>
      <x:c r="K377" s="14">
        <x:v>11</x:v>
      </x:c>
      <x:c r="L377" s="29" t="s">
        <x:v>119</x:v>
      </x:c>
      <x:c r="M377" s="28">
        <x:v>46146</x:v>
      </x:c>
      <x:c r="N377" s="14"/>
      <x:c r="O377" s="14">
        <x:v>105</x:v>
      </x:c>
      <x:c r="P377" s="14" t="s">
        <x:v>113</x:v>
      </x:c>
      <x:c r="Q377" s="14" t="s">
        <x:v>25</x:v>
      </x:c>
      <x:c r="R377" s="14"/>
      <x:c r="S377" s="14" t="s">
        <x:v>105</x:v>
      </x:c>
      <x:c r="T377" s="14" t="str">
        <x:v>Region A</x:v>
      </x:c>
      <x:c r="U377" s="28">
        <x:v>46163</x:v>
      </x:c>
      <x:c r="V377" s="30">
        <x:v>14</x:v>
      </x:c>
      <x:c r="W377" s="14" t="s">
        <x:v>45</x:v>
      </x:c>
      <x:c r="X377" s="14" t="s">
        <x:v>106</x:v>
      </x:c>
      <x:c r="Y377" s="32" t="str">
        <x:v>TRN-0376|20260507</x:v>
      </x:c>
      <x:c r="Z377" s="32" t="str" cm="1">
        <x:f t="array" ref="Z37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377" s="33" t="n">
        <x:f>--OR(WorkforceData[[#This Row],[Status]]="Active",WorkforceData[[#This Row],[Promoted]]="Yes",WorkforceData[[#This Row],[Total Days Worked]]&gt;=121)</x:f>
        <x:v>1</x:v>
      </x:c>
      <x:c r="AB377" s="33" t="n">
        <x:f>IF(AND(Q377="Terminated",R377="",O377=0),1,0)</x:f>
        <x:v>0</x:v>
      </x:c>
      <x:c r="AC377" s="33" t="n">
        <x:f>--OR(WorkforceData[[#This Row],[Status]]="Resigned",WorkforceData[[#This Row],[Status After Training]]="Withdrew")</x:f>
        <x:v>0</x:v>
      </x:c>
      <x:c r="AD377" s="34" t="n">
        <x:f>EOMONTH(WorkforceData[[#This Row],[Training Date]],0)</x:f>
        <x:v>46173</x:v>
      </x:c>
      <x:c r="AE377" s="32" t="str">
        <x:f>IF(M377&lt;H377,"Existing Employee",IF(U377="","No Assignment",IF(V377=0,"0 Days",IF(V377&lt;=7,"1-7 Days",IF(V377&lt;=14,"8-14 Days",IF(V377&lt;=21,"15-21 Days","21+ Days"))))))</x:f>
        <x:v>Existing Employee</x:v>
      </x:c>
      <x:c r="AF37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91-120 Days</x:v>
      </x:c>
      <x:c r="AG377" s="33" t="n">
        <x:f>--(WorkforceData[[#This Row],[Total Days Worked]]&gt;=121)</x:f>
        <x:v>0</x:v>
      </x:c>
    </x:row>
    <x:row r="378">
      <x:c r="A378" s="236" t="str">
        <x:v>TRN-0377</x:v>
      </x:c>
      <x:c r="B378" s="243"/>
      <x:c r="C378" s="243"/>
      <x:c r="D378" s="243"/>
      <x:c r="E378" s="243"/>
      <x:c r="F378" s="14" t="str">
        <x:v>Recruiter G</x:v>
      </x:c>
      <x:c r="G378" s="14" t="str">
        <x:v>Training Center B</x:v>
      </x:c>
      <x:c r="H378" s="28">
        <x:v>46149</x:v>
      </x:c>
      <x:c r="I378" s="14">
        <x:v>2026</x:v>
      </x:c>
      <x:c r="J378" s="14" t="s">
        <x:v>118</x:v>
      </x:c>
      <x:c r="K378" s="14">
        <x:v>11</x:v>
      </x:c>
      <x:c r="L378" s="29" t="s">
        <x:v>119</x:v>
      </x:c>
      <x:c r="M378" s="28">
        <x:v>46147</x:v>
      </x:c>
      <x:c r="N378" s="14"/>
      <x:c r="O378" s="14">
        <x:v>104</x:v>
      </x:c>
      <x:c r="P378" s="14" t="s">
        <x:v>113</x:v>
      </x:c>
      <x:c r="Q378" s="14" t="s">
        <x:v>25</x:v>
      </x:c>
      <x:c r="R378" s="14"/>
      <x:c r="S378" s="14" t="s">
        <x:v>105</x:v>
      </x:c>
      <x:c r="T378" s="14" t="str">
        <x:v>Region B</x:v>
      </x:c>
      <x:c r="U378" s="28">
        <x:v>46162</x:v>
      </x:c>
      <x:c r="V378" s="30">
        <x:v>13</x:v>
      </x:c>
      <x:c r="W378" s="14" t="s">
        <x:v>45</x:v>
      </x:c>
      <x:c r="X378" s="14" t="s">
        <x:v>106</x:v>
      </x:c>
      <x:c r="Y378" s="32" t="str">
        <x:v>TRN-0377|20260507</x:v>
      </x:c>
      <x:c r="Z378" s="32" t="str" cm="1">
        <x:f t="array" ref="Z37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378" s="33" t="n">
        <x:f>--OR(WorkforceData[[#This Row],[Status]]="Active",WorkforceData[[#This Row],[Promoted]]="Yes",WorkforceData[[#This Row],[Total Days Worked]]&gt;=121)</x:f>
        <x:v>1</x:v>
      </x:c>
      <x:c r="AB378" s="33" t="n">
        <x:f>IF(AND(Q378="Terminated",R378="",O378=0),1,0)</x:f>
        <x:v>0</x:v>
      </x:c>
      <x:c r="AC378" s="33" t="n">
        <x:f>--OR(WorkforceData[[#This Row],[Status]]="Resigned",WorkforceData[[#This Row],[Status After Training]]="Withdrew")</x:f>
        <x:v>0</x:v>
      </x:c>
      <x:c r="AD378" s="34" t="n">
        <x:f>EOMONTH(WorkforceData[[#This Row],[Training Date]],0)</x:f>
        <x:v>46173</x:v>
      </x:c>
      <x:c r="AE378" s="32" t="str">
        <x:f>IF(M378&lt;H378,"Existing Employee",IF(U378="","No Assignment",IF(V378=0,"0 Days",IF(V378&lt;=7,"1-7 Days",IF(V378&lt;=14,"8-14 Days",IF(V378&lt;=21,"15-21 Days","21+ Days"))))))</x:f>
        <x:v>Existing Employee</x:v>
      </x:c>
      <x:c r="AF37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91-120 Days</x:v>
      </x:c>
      <x:c r="AG378" s="33" t="n">
        <x:f>--(WorkforceData[[#This Row],[Total Days Worked]]&gt;=121)</x:f>
        <x:v>0</x:v>
      </x:c>
    </x:row>
    <x:row r="379">
      <x:c r="A379" s="236" t="str">
        <x:v>TRN-0378</x:v>
      </x:c>
      <x:c r="B379" s="243"/>
      <x:c r="C379" s="243"/>
      <x:c r="D379" s="243"/>
      <x:c r="E379" s="243"/>
      <x:c r="F379" s="14" t="str">
        <x:v>Recruiter B</x:v>
      </x:c>
      <x:c r="G379" s="14" t="str">
        <x:v>Training Center B</x:v>
      </x:c>
      <x:c r="H379" s="28">
        <x:v>46149</x:v>
      </x:c>
      <x:c r="I379" s="14">
        <x:v>2026</x:v>
      </x:c>
      <x:c r="J379" s="14" t="s">
        <x:v>118</x:v>
      </x:c>
      <x:c r="K379" s="14">
        <x:v>11</x:v>
      </x:c>
      <x:c r="L379" s="29" t="s">
        <x:v>119</x:v>
      </x:c>
      <x:c r="M379" s="28">
        <x:v>46148</x:v>
      </x:c>
      <x:c r="N379" s="14"/>
      <x:c r="O379" s="14">
        <x:v>103</x:v>
      </x:c>
      <x:c r="P379" s="14" t="s">
        <x:v>113</x:v>
      </x:c>
      <x:c r="Q379" s="14" t="s">
        <x:v>25</x:v>
      </x:c>
      <x:c r="R379" s="14"/>
      <x:c r="S379" s="14" t="s">
        <x:v>105</x:v>
      </x:c>
      <x:c r="T379" s="14" t="str">
        <x:v>Region D</x:v>
      </x:c>
      <x:c r="U379" s="28">
        <x:v>46166</x:v>
      </x:c>
      <x:c r="V379" s="30">
        <x:v>17</x:v>
      </x:c>
      <x:c r="W379" s="14" t="s">
        <x:v>112</x:v>
      </x:c>
      <x:c r="X379" s="14" t="s">
        <x:v>106</x:v>
      </x:c>
      <x:c r="Y379" s="32" t="str">
        <x:v>TRN-0378|20260507</x:v>
      </x:c>
      <x:c r="Z379" s="32" t="str" cm="1">
        <x:f t="array" ref="Z37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379" s="33" t="n">
        <x:f>--OR(WorkforceData[[#This Row],[Status]]="Active",WorkforceData[[#This Row],[Promoted]]="Yes",WorkforceData[[#This Row],[Total Days Worked]]&gt;=121)</x:f>
        <x:v>1</x:v>
      </x:c>
      <x:c r="AB379" s="33" t="n">
        <x:f>IF(AND(Q379="Terminated",R379="",O379=0),1,0)</x:f>
        <x:v>0</x:v>
      </x:c>
      <x:c r="AC379" s="33" t="n">
        <x:f>--OR(WorkforceData[[#This Row],[Status]]="Resigned",WorkforceData[[#This Row],[Status After Training]]="Withdrew")</x:f>
        <x:v>0</x:v>
      </x:c>
      <x:c r="AD379" s="34" t="n">
        <x:f>EOMONTH(WorkforceData[[#This Row],[Training Date]],0)</x:f>
        <x:v>46173</x:v>
      </x:c>
      <x:c r="AE379" s="32" t="str">
        <x:f>IF(M379&lt;H379,"Existing Employee",IF(U379="","No Assignment",IF(V379=0,"0 Days",IF(V379&lt;=7,"1-7 Days",IF(V379&lt;=14,"8-14 Days",IF(V379&lt;=21,"15-21 Days","21+ Days"))))))</x:f>
        <x:v>Existing Employee</x:v>
      </x:c>
      <x:c r="AF37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91-120 Days</x:v>
      </x:c>
      <x:c r="AG379" s="33" t="n">
        <x:f>--(WorkforceData[[#This Row],[Total Days Worked]]&gt;=121)</x:f>
        <x:v>0</x:v>
      </x:c>
    </x:row>
    <x:row r="380">
      <x:c r="A380" s="236" t="str">
        <x:v>TRN-0379</x:v>
      </x:c>
      <x:c r="B380" s="243"/>
      <x:c r="C380" s="243"/>
      <x:c r="D380" s="243"/>
      <x:c r="E380" s="243"/>
      <x:c r="F380" s="14" t="str">
        <x:v>Recruiter B</x:v>
      </x:c>
      <x:c r="G380" s="14" t="str">
        <x:v>Training Center B</x:v>
      </x:c>
      <x:c r="H380" s="28">
        <x:v>46149</x:v>
      </x:c>
      <x:c r="I380" s="14">
        <x:v>2026</x:v>
      </x:c>
      <x:c r="J380" s="14" t="s">
        <x:v>118</x:v>
      </x:c>
      <x:c r="K380" s="14">
        <x:v>11</x:v>
      </x:c>
      <x:c r="L380" s="29" t="s">
        <x:v>119</x:v>
      </x:c>
      <x:c r="M380" s="28">
        <x:v>46147</x:v>
      </x:c>
      <x:c r="N380" s="14"/>
      <x:c r="O380" s="14">
        <x:v>104</x:v>
      </x:c>
      <x:c r="P380" s="14" t="s">
        <x:v>113</x:v>
      </x:c>
      <x:c r="Q380" s="14" t="s">
        <x:v>25</x:v>
      </x:c>
      <x:c r="R380" s="14"/>
      <x:c r="S380" s="14" t="s">
        <x:v>105</x:v>
      </x:c>
      <x:c r="T380" s="14" t="str">
        <x:v>Region A</x:v>
      </x:c>
      <x:c r="U380" s="28">
        <x:v>46150</x:v>
      </x:c>
      <x:c r="V380" s="30">
        <x:v>1</x:v>
      </x:c>
      <x:c r="W380" s="14" t="s">
        <x:v>109</x:v>
      </x:c>
      <x:c r="X380" s="14" t="s">
        <x:v>106</x:v>
      </x:c>
      <x:c r="Y380" s="32" t="str">
        <x:v>TRN-0379|20260507</x:v>
      </x:c>
      <x:c r="Z380" s="32" t="str" cm="1">
        <x:f t="array" ref="Z38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380" s="33" t="n">
        <x:f>--OR(WorkforceData[[#This Row],[Status]]="Active",WorkforceData[[#This Row],[Promoted]]="Yes",WorkforceData[[#This Row],[Total Days Worked]]&gt;=121)</x:f>
        <x:v>1</x:v>
      </x:c>
      <x:c r="AB380" s="33" t="n">
        <x:f>IF(AND(Q380="Terminated",R380="",O380=0),1,0)</x:f>
        <x:v>0</x:v>
      </x:c>
      <x:c r="AC380" s="33" t="n">
        <x:f>--OR(WorkforceData[[#This Row],[Status]]="Resigned",WorkforceData[[#This Row],[Status After Training]]="Withdrew")</x:f>
        <x:v>0</x:v>
      </x:c>
      <x:c r="AD380" s="34" t="n">
        <x:f>EOMONTH(WorkforceData[[#This Row],[Training Date]],0)</x:f>
        <x:v>46173</x:v>
      </x:c>
      <x:c r="AE380" s="32" t="str">
        <x:f>IF(M380&lt;H380,"Existing Employee",IF(U380="","No Assignment",IF(V380=0,"0 Days",IF(V380&lt;=7,"1-7 Days",IF(V380&lt;=14,"8-14 Days",IF(V380&lt;=21,"15-21 Days","21+ Days"))))))</x:f>
        <x:v>Existing Employee</x:v>
      </x:c>
      <x:c r="AF38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91-120 Days</x:v>
      </x:c>
      <x:c r="AG380" s="33" t="n">
        <x:f>--(WorkforceData[[#This Row],[Total Days Worked]]&gt;=121)</x:f>
        <x:v>0</x:v>
      </x:c>
    </x:row>
    <x:row r="381">
      <x:c r="A381" s="236" t="str">
        <x:v>TRN-0380</x:v>
      </x:c>
      <x:c r="B381" s="243"/>
      <x:c r="C381" s="243"/>
      <x:c r="D381" s="243"/>
      <x:c r="E381" s="243"/>
      <x:c r="F381" s="14" t="str">
        <x:v>Recruiter C</x:v>
      </x:c>
      <x:c r="G381" s="14" t="str">
        <x:v>Training Center B</x:v>
      </x:c>
      <x:c r="H381" s="28">
        <x:v>46149</x:v>
      </x:c>
      <x:c r="I381" s="14">
        <x:v>2026</x:v>
      </x:c>
      <x:c r="J381" s="14" t="s">
        <x:v>118</x:v>
      </x:c>
      <x:c r="K381" s="14">
        <x:v>11</x:v>
      </x:c>
      <x:c r="L381" s="29" t="s">
        <x:v>119</x:v>
      </x:c>
      <x:c r="M381" s="28">
        <x:v>46149</x:v>
      </x:c>
      <x:c r="N381" s="14"/>
      <x:c r="O381" s="14">
        <x:v>102</x:v>
      </x:c>
      <x:c r="P381" s="14" t="s">
        <x:v>113</x:v>
      </x:c>
      <x:c r="Q381" s="14" t="s">
        <x:v>38</x:v>
      </x:c>
      <x:c r="R381" s="14"/>
      <x:c r="S381" s="14" t="s">
        <x:v>105</x:v>
      </x:c>
      <x:c r="T381" s="14"/>
      <x:c r="U381" s="28"/>
      <x:c r="V381" s="30"/>
      <x:c r="W381" s="14"/>
      <x:c r="X381" s="14" t="s">
        <x:v>71</x:v>
      </x:c>
      <x:c r="Y381" s="32" t="str">
        <x:v>TRN-0380|20260507</x:v>
      </x:c>
      <x:c r="Z381" s="32" t="str" cm="1">
        <x:f t="array" ref="Z38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381" s="33" t="n">
        <x:f>--OR(WorkforceData[[#This Row],[Status]]="Active",WorkforceData[[#This Row],[Promoted]]="Yes",WorkforceData[[#This Row],[Total Days Worked]]&gt;=121)</x:f>
        <x:v>0</x:v>
      </x:c>
      <x:c r="AB381" s="33" t="n">
        <x:f>IF(AND(Q381="Terminated",R381="",O381=0),1,0)</x:f>
        <x:v>0</x:v>
      </x:c>
      <x:c r="AC381" s="33" t="n">
        <x:f>--OR(WorkforceData[[#This Row],[Status]]="Resigned",WorkforceData[[#This Row],[Status After Training]]="Withdrew")</x:f>
        <x:v>0</x:v>
      </x:c>
      <x:c r="AD381" s="34" t="n">
        <x:f>EOMONTH(WorkforceData[[#This Row],[Training Date]],0)</x:f>
        <x:v>46173</x:v>
      </x:c>
      <x:c r="AE381" s="32" t="str">
        <x:f>IF(M381&lt;H381,"Existing Employee",IF(U381="","No Assignment",IF(V381=0,"0 Days",IF(V381&lt;=7,"1-7 Days",IF(V381&lt;=14,"8-14 Days",IF(V381&lt;=21,"15-21 Days","21+ Days"))))))</x:f>
        <x:v>No Assignment</x:v>
      </x:c>
      <x:c r="AF38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91-120 Days</x:v>
      </x:c>
      <x:c r="AG381" s="33" t="n">
        <x:f>--(WorkforceData[[#This Row],[Total Days Worked]]&gt;=121)</x:f>
        <x:v>0</x:v>
      </x:c>
    </x:row>
    <x:row r="382">
      <x:c r="A382" s="236" t="str">
        <x:v>TRN-0381</x:v>
      </x:c>
      <x:c r="B382" s="243"/>
      <x:c r="C382" s="243"/>
      <x:c r="D382" s="243"/>
      <x:c r="E382" s="243"/>
      <x:c r="F382" s="14" t="str">
        <x:v>Recruiter H</x:v>
      </x:c>
      <x:c r="G382" s="14" t="str">
        <x:v>Training Center A</x:v>
      </x:c>
      <x:c r="H382" s="28">
        <x:v>45484</x:v>
      </x:c>
      <x:c r="I382" s="14">
        <x:v>2024</x:v>
      </x:c>
      <x:c r="J382" s="14" t="s">
        <x:v>133</x:v>
      </x:c>
      <x:c r="K382" s="14">
        <x:v>26</x:v>
      </x:c>
      <x:c r="L382" s="29" t="s">
        <x:v>101</x:v>
      </x:c>
      <x:c r="M382" s="28">
        <x:v>45474</x:v>
      </x:c>
      <x:c r="N382" s="14"/>
      <x:c r="O382" s="14">
        <x:v>777</x:v>
      </x:c>
      <x:c r="P382" s="14" t="s">
        <x:v>122</x:v>
      </x:c>
      <x:c r="Q382" s="14" t="s">
        <x:v>25</x:v>
      </x:c>
      <x:c r="R382" s="14"/>
      <x:c r="S382" s="14" t="s">
        <x:v>108</x:v>
      </x:c>
      <x:c r="T382" s="14" t="str">
        <x:v>Region D</x:v>
      </x:c>
      <x:c r="U382" s="28">
        <x:v>45504</x:v>
      </x:c>
      <x:c r="V382" s="30">
        <x:v>20</x:v>
      </x:c>
      <x:c r="W382" s="14" t="s">
        <x:v>112</x:v>
      </x:c>
      <x:c r="X382" s="14" t="s">
        <x:v>106</x:v>
      </x:c>
      <x:c r="Y382" s="32" t="str">
        <x:v>TRN-0381|20240711</x:v>
      </x:c>
      <x:c r="Z382" s="32" t="str" cm="1">
        <x:f t="array" ref="Z38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382" s="33" t="n">
        <x:f>--OR(WorkforceData[[#This Row],[Status]]="Active",WorkforceData[[#This Row],[Promoted]]="Yes",WorkforceData[[#This Row],[Total Days Worked]]&gt;=121)</x:f>
        <x:v>1</x:v>
      </x:c>
      <x:c r="AB382" s="33" t="n">
        <x:f>IF(AND(Q382="Terminated",R382="",O382=0),1,0)</x:f>
        <x:v>0</x:v>
      </x:c>
      <x:c r="AC382" s="33" t="n">
        <x:f>--OR(WorkforceData[[#This Row],[Status]]="Resigned",WorkforceData[[#This Row],[Status After Training]]="Withdrew")</x:f>
        <x:v>0</x:v>
      </x:c>
      <x:c r="AD382" s="34" t="n">
        <x:f>EOMONTH(WorkforceData[[#This Row],[Training Date]],0)</x:f>
        <x:v>45504</x:v>
      </x:c>
      <x:c r="AE382" s="32" t="str">
        <x:f>IF(M382&lt;H382,"Existing Employee",IF(U382="","No Assignment",IF(V382=0,"0 Days",IF(V382&lt;=7,"1-7 Days",IF(V382&lt;=14,"8-14 Days",IF(V382&lt;=21,"15-21 Days","21+ Days"))))))</x:f>
        <x:v>Existing Employee</x:v>
      </x:c>
      <x:c r="AF38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82" s="33" t="n">
        <x:f>--(WorkforceData[[#This Row],[Total Days Worked]]&gt;=121)</x:f>
        <x:v>1</x:v>
      </x:c>
    </x:row>
    <x:row r="383">
      <x:c r="A383" s="236" t="str">
        <x:v>TRN-0382</x:v>
      </x:c>
      <x:c r="B383" s="243"/>
      <x:c r="C383" s="243"/>
      <x:c r="D383" s="243"/>
      <x:c r="E383" s="243"/>
      <x:c r="F383" s="14" t="str">
        <x:v>Recruiter E</x:v>
      </x:c>
      <x:c r="G383" s="14" t="str">
        <x:v>Training Center A</x:v>
      </x:c>
      <x:c r="H383" s="28">
        <x:v>45484</x:v>
      </x:c>
      <x:c r="I383" s="14">
        <x:v>2024</x:v>
      </x:c>
      <x:c r="J383" s="14" t="s">
        <x:v>133</x:v>
      </x:c>
      <x:c r="K383" s="14">
        <x:v>26</x:v>
      </x:c>
      <x:c r="L383" s="29" t="s">
        <x:v>101</x:v>
      </x:c>
      <x:c r="M383" s="28">
        <x:v>45481</x:v>
      </x:c>
      <x:c r="N383" s="28">
        <x:v>45603</x:v>
      </x:c>
      <x:c r="O383" s="14">
        <x:v>122</x:v>
      </x:c>
      <x:c r="P383" s="14" t="s">
        <x:v>113</x:v>
      </x:c>
      <x:c r="Q383" s="14" t="s">
        <x:v>103</x:v>
      </x:c>
      <x:c r="R383" s="14" t="s">
        <x:v>123</x:v>
      </x:c>
      <x:c r="S383" s="14" t="s">
        <x:v>105</x:v>
      </x:c>
      <x:c r="T383" s="14" t="str">
        <x:v>Region A</x:v>
      </x:c>
      <x:c r="U383" s="28">
        <x:v>45501</x:v>
      </x:c>
      <x:c r="V383" s="30">
        <x:v>17</x:v>
      </x:c>
      <x:c r="W383" s="14" t="s">
        <x:v>112</x:v>
      </x:c>
      <x:c r="X383" s="14" t="s">
        <x:v>106</x:v>
      </x:c>
      <x:c r="Y383" s="32" t="str">
        <x:v>TRN-0382|20240711</x:v>
      </x:c>
      <x:c r="Z383" s="32" t="str" cm="1">
        <x:f t="array" ref="Z38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Complete</x:v>
      </x:c>
      <x:c r="AA383" s="33" t="n">
        <x:f>--OR(WorkforceData[[#This Row],[Status]]="Active",WorkforceData[[#This Row],[Promoted]]="Yes",WorkforceData[[#This Row],[Total Days Worked]]&gt;=121)</x:f>
        <x:v>1</x:v>
      </x:c>
      <x:c r="AB383" s="33" t="n">
        <x:f>IF(AND(Q383="Terminated",R383="",O383=0),1,0)</x:f>
        <x:v>0</x:v>
      </x:c>
      <x:c r="AC383" s="33" t="n">
        <x:f>--OR(WorkforceData[[#This Row],[Status]]="Resigned",WorkforceData[[#This Row],[Status After Training]]="Withdrew")</x:f>
        <x:v>1</x:v>
      </x:c>
      <x:c r="AD383" s="34" t="n">
        <x:f>EOMONTH(WorkforceData[[#This Row],[Training Date]],0)</x:f>
        <x:v>45504</x:v>
      </x:c>
      <x:c r="AE383" s="32" t="str">
        <x:f>IF(M383&lt;H383,"Existing Employee",IF(U383="","No Assignment",IF(V383=0,"0 Days",IF(V383&lt;=7,"1-7 Days",IF(V383&lt;=14,"8-14 Days",IF(V383&lt;=21,"15-21 Days","21+ Days"))))))</x:f>
        <x:v>Existing Employee</x:v>
      </x:c>
      <x:c r="AF38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83" s="33" t="n">
        <x:f>--(WorkforceData[[#This Row],[Total Days Worked]]&gt;=121)</x:f>
        <x:v>1</x:v>
      </x:c>
    </x:row>
    <x:row r="384">
      <x:c r="A384" s="236" t="str">
        <x:v>TRN-0383</x:v>
      </x:c>
      <x:c r="B384" s="243"/>
      <x:c r="C384" s="243"/>
      <x:c r="D384" s="243"/>
      <x:c r="E384" s="243"/>
      <x:c r="F384" s="14" t="str">
        <x:v>Recruiter F</x:v>
      </x:c>
      <x:c r="G384" s="14" t="str">
        <x:v>Training Center A</x:v>
      </x:c>
      <x:c r="H384" s="28">
        <x:v>45484</x:v>
      </x:c>
      <x:c r="I384" s="14">
        <x:v>2024</x:v>
      </x:c>
      <x:c r="J384" s="14" t="s">
        <x:v>133</x:v>
      </x:c>
      <x:c r="K384" s="14">
        <x:v>26</x:v>
      </x:c>
      <x:c r="L384" s="29" t="s">
        <x:v>101</x:v>
      </x:c>
      <x:c r="M384" s="28">
        <x:v>45482</x:v>
      </x:c>
      <x:c r="N384" s="14"/>
      <x:c r="O384" s="14">
        <x:v>769</x:v>
      </x:c>
      <x:c r="P384" s="14" t="s">
        <x:v>122</x:v>
      </x:c>
      <x:c r="Q384" s="14" t="s">
        <x:v>25</x:v>
      </x:c>
      <x:c r="R384" s="14"/>
      <x:c r="S384" s="14" t="s">
        <x:v>108</x:v>
      </x:c>
      <x:c r="T384" s="14" t="str">
        <x:v>Region B</x:v>
      </x:c>
      <x:c r="U384" s="28">
        <x:v>45514</x:v>
      </x:c>
      <x:c r="V384" s="30">
        <x:v>30</x:v>
      </x:c>
      <x:c r="W384" s="14" t="s">
        <x:v>112</x:v>
      </x:c>
      <x:c r="X384" s="14" t="s">
        <x:v>106</x:v>
      </x:c>
      <x:c r="Y384" s="32" t="str">
        <x:v>TRN-0383|20240711</x:v>
      </x:c>
      <x:c r="Z384" s="32" t="str" cm="1">
        <x:f t="array" ref="Z38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384" s="33" t="n">
        <x:f>--OR(WorkforceData[[#This Row],[Status]]="Active",WorkforceData[[#This Row],[Promoted]]="Yes",WorkforceData[[#This Row],[Total Days Worked]]&gt;=121)</x:f>
        <x:v>1</x:v>
      </x:c>
      <x:c r="AB384" s="33" t="n">
        <x:f>IF(AND(Q384="Terminated",R384="",O384=0),1,0)</x:f>
        <x:v>0</x:v>
      </x:c>
      <x:c r="AC384" s="33" t="n">
        <x:f>--OR(WorkforceData[[#This Row],[Status]]="Resigned",WorkforceData[[#This Row],[Status After Training]]="Withdrew")</x:f>
        <x:v>0</x:v>
      </x:c>
      <x:c r="AD384" s="34" t="n">
        <x:f>EOMONTH(WorkforceData[[#This Row],[Training Date]],0)</x:f>
        <x:v>45504</x:v>
      </x:c>
      <x:c r="AE384" s="32" t="str">
        <x:f>IF(M384&lt;H384,"Existing Employee",IF(U384="","No Assignment",IF(V384=0,"0 Days",IF(V384&lt;=7,"1-7 Days",IF(V384&lt;=14,"8-14 Days",IF(V384&lt;=21,"15-21 Days","21+ Days"))))))</x:f>
        <x:v>Existing Employee</x:v>
      </x:c>
      <x:c r="AF38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84" s="33" t="n">
        <x:f>--(WorkforceData[[#This Row],[Total Days Worked]]&gt;=121)</x:f>
        <x:v>1</x:v>
      </x:c>
    </x:row>
    <x:row r="385">
      <x:c r="A385" s="236" t="str">
        <x:v>TRN-0384</x:v>
      </x:c>
      <x:c r="B385" s="243"/>
      <x:c r="C385" s="243"/>
      <x:c r="D385" s="243"/>
      <x:c r="E385" s="243"/>
      <x:c r="F385" s="14" t="str">
        <x:v>Recruiter A</x:v>
      </x:c>
      <x:c r="G385" s="14" t="str">
        <x:v>Training Center A</x:v>
      </x:c>
      <x:c r="H385" s="28">
        <x:v>45484</x:v>
      </x:c>
      <x:c r="I385" s="14">
        <x:v>2024</x:v>
      </x:c>
      <x:c r="J385" s="14" t="s">
        <x:v>133</x:v>
      </x:c>
      <x:c r="K385" s="14">
        <x:v>26</x:v>
      </x:c>
      <x:c r="L385" s="29" t="s">
        <x:v>101</x:v>
      </x:c>
      <x:c r="M385" s="28">
        <x:v>45474</x:v>
      </x:c>
      <x:c r="N385" s="28">
        <x:v>45597</x:v>
      </x:c>
      <x:c r="O385" s="14">
        <x:v>123</x:v>
      </x:c>
      <x:c r="P385" s="14" t="s">
        <x:v>113</x:v>
      </x:c>
      <x:c r="Q385" s="14" t="s">
        <x:v>33</x:v>
      </x:c>
      <x:c r="R385" s="14" t="s">
        <x:v>116</x:v>
      </x:c>
      <x:c r="S385" s="14" t="s">
        <x:v>105</x:v>
      </x:c>
      <x:c r="T385" s="14" t="str">
        <x:v>Region B</x:v>
      </x:c>
      <x:c r="U385" s="28">
        <x:v>45560</x:v>
      </x:c>
      <x:c r="V385" s="30">
        <x:v>76</x:v>
      </x:c>
      <x:c r="W385" s="14" t="s">
        <x:v>114</x:v>
      </x:c>
      <x:c r="X385" s="14" t="s">
        <x:v>117</x:v>
      </x:c>
      <x:c r="Y385" s="32" t="str">
        <x:v>TRN-0384|20240711</x:v>
      </x:c>
      <x:c r="Z385" s="32" t="str" cm="1">
        <x:f t="array" ref="Z38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Complete</x:v>
      </x:c>
      <x:c r="AA385" s="33" t="n">
        <x:f>--OR(WorkforceData[[#This Row],[Status]]="Active",WorkforceData[[#This Row],[Promoted]]="Yes",WorkforceData[[#This Row],[Total Days Worked]]&gt;=121)</x:f>
        <x:v>1</x:v>
      </x:c>
      <x:c r="AB385" s="33" t="n">
        <x:f>IF(AND(Q385="Terminated",R385="",O385=0),1,0)</x:f>
        <x:v>0</x:v>
      </x:c>
      <x:c r="AC385" s="33" t="n">
        <x:f>--OR(WorkforceData[[#This Row],[Status]]="Resigned",WorkforceData[[#This Row],[Status After Training]]="Withdrew")</x:f>
        <x:v>0</x:v>
      </x:c>
      <x:c r="AD385" s="34" t="n">
        <x:f>EOMONTH(WorkforceData[[#This Row],[Training Date]],0)</x:f>
        <x:v>45504</x:v>
      </x:c>
      <x:c r="AE385" s="32" t="str">
        <x:f>IF(M385&lt;H385,"Existing Employee",IF(U385="","No Assignment",IF(V385=0,"0 Days",IF(V385&lt;=7,"1-7 Days",IF(V385&lt;=14,"8-14 Days",IF(V385&lt;=21,"15-21 Days","21+ Days"))))))</x:f>
        <x:v>Existing Employee</x:v>
      </x:c>
      <x:c r="AF38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85" s="33" t="n">
        <x:f>--(WorkforceData[[#This Row],[Total Days Worked]]&gt;=121)</x:f>
        <x:v>1</x:v>
      </x:c>
    </x:row>
    <x:row r="386">
      <x:c r="A386" s="236" t="str">
        <x:v>TRN-0385</x:v>
      </x:c>
      <x:c r="B386" s="243"/>
      <x:c r="C386" s="243"/>
      <x:c r="D386" s="243"/>
      <x:c r="E386" s="243"/>
      <x:c r="F386" s="14" t="str">
        <x:v>Recruiter E</x:v>
      </x:c>
      <x:c r="G386" s="14" t="str">
        <x:v>Training Center A</x:v>
      </x:c>
      <x:c r="H386" s="28">
        <x:v>45484</x:v>
      </x:c>
      <x:c r="I386" s="14">
        <x:v>2024</x:v>
      </x:c>
      <x:c r="J386" s="14" t="s">
        <x:v>133</x:v>
      </x:c>
      <x:c r="K386" s="14">
        <x:v>26</x:v>
      </x:c>
      <x:c r="L386" s="29" t="s">
        <x:v>101</x:v>
      </x:c>
      <x:c r="M386" s="28">
        <x:v>45482</x:v>
      </x:c>
      <x:c r="N386" s="14"/>
      <x:c r="O386" s="14">
        <x:v>769</x:v>
      </x:c>
      <x:c r="P386" s="14" t="s">
        <x:v>122</x:v>
      </x:c>
      <x:c r="Q386" s="14" t="s">
        <x:v>25</x:v>
      </x:c>
      <x:c r="R386" s="14"/>
      <x:c r="S386" s="14" t="s">
        <x:v>108</x:v>
      </x:c>
      <x:c r="T386" s="14" t="str">
        <x:v>Region B</x:v>
      </x:c>
      <x:c r="U386" s="28">
        <x:v>45488</x:v>
      </x:c>
      <x:c r="V386" s="30">
        <x:v>4</x:v>
      </x:c>
      <x:c r="W386" s="14" t="s">
        <x:v>109</x:v>
      </x:c>
      <x:c r="X386" s="14" t="s">
        <x:v>106</x:v>
      </x:c>
      <x:c r="Y386" s="32" t="str">
        <x:v>TRN-0385|20240711</x:v>
      </x:c>
      <x:c r="Z386" s="32" t="str" cm="1">
        <x:f t="array" ref="Z38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386" s="33" t="n">
        <x:f>--OR(WorkforceData[[#This Row],[Status]]="Active",WorkforceData[[#This Row],[Promoted]]="Yes",WorkforceData[[#This Row],[Total Days Worked]]&gt;=121)</x:f>
        <x:v>1</x:v>
      </x:c>
      <x:c r="AB386" s="33" t="n">
        <x:f>IF(AND(Q386="Terminated",R386="",O386=0),1,0)</x:f>
        <x:v>0</x:v>
      </x:c>
      <x:c r="AC386" s="33" t="n">
        <x:f>--OR(WorkforceData[[#This Row],[Status]]="Resigned",WorkforceData[[#This Row],[Status After Training]]="Withdrew")</x:f>
        <x:v>0</x:v>
      </x:c>
      <x:c r="AD386" s="34" t="n">
        <x:f>EOMONTH(WorkforceData[[#This Row],[Training Date]],0)</x:f>
        <x:v>45504</x:v>
      </x:c>
      <x:c r="AE386" s="32" t="str">
        <x:f>IF(M386&lt;H386,"Existing Employee",IF(U386="","No Assignment",IF(V386=0,"0 Days",IF(V386&lt;=7,"1-7 Days",IF(V386&lt;=14,"8-14 Days",IF(V386&lt;=21,"15-21 Days","21+ Days"))))))</x:f>
        <x:v>Existing Employee</x:v>
      </x:c>
      <x:c r="AF38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86" s="33" t="n">
        <x:f>--(WorkforceData[[#This Row],[Total Days Worked]]&gt;=121)</x:f>
        <x:v>1</x:v>
      </x:c>
    </x:row>
    <x:row r="387">
      <x:c r="A387" s="236" t="str">
        <x:v>TRN-0386</x:v>
      </x:c>
      <x:c r="B387" s="243"/>
      <x:c r="C387" s="243"/>
      <x:c r="D387" s="243"/>
      <x:c r="E387" s="243"/>
      <x:c r="F387" s="14" t="str">
        <x:v>Recruiter E</x:v>
      </x:c>
      <x:c r="G387" s="14" t="str">
        <x:v>Training Center A</x:v>
      </x:c>
      <x:c r="H387" s="28">
        <x:v>45484</x:v>
      </x:c>
      <x:c r="I387" s="14">
        <x:v>2024</x:v>
      </x:c>
      <x:c r="J387" s="14" t="s">
        <x:v>133</x:v>
      </x:c>
      <x:c r="K387" s="14">
        <x:v>26</x:v>
      </x:c>
      <x:c r="L387" s="29" t="s">
        <x:v>101</x:v>
      </x:c>
      <x:c r="M387" s="28">
        <x:v>45477</x:v>
      </x:c>
      <x:c r="N387" s="28">
        <x:v>45591</x:v>
      </x:c>
      <x:c r="O387" s="14">
        <x:v>114</x:v>
      </x:c>
      <x:c r="P387" s="14" t="s">
        <x:v>113</x:v>
      </x:c>
      <x:c r="Q387" s="14" t="s">
        <x:v>103</x:v>
      </x:c>
      <x:c r="R387" s="14" t="s">
        <x:v>111</x:v>
      </x:c>
      <x:c r="S387" s="14" t="s">
        <x:v>105</x:v>
      </x:c>
      <x:c r="T387" s="14" t="str">
        <x:v>Region A</x:v>
      </x:c>
      <x:c r="U387" s="28">
        <x:v>45500</x:v>
      </x:c>
      <x:c r="V387" s="30">
        <x:v>16</x:v>
      </x:c>
      <x:c r="W387" s="14" t="s">
        <x:v>112</x:v>
      </x:c>
      <x:c r="X387" s="14" t="s">
        <x:v>106</x:v>
      </x:c>
      <x:c r="Y387" s="32" t="str">
        <x:v>TRN-0386|20240711</x:v>
      </x:c>
      <x:c r="Z387" s="32" t="str" cm="1">
        <x:f t="array" ref="Z38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387" s="33" t="n">
        <x:f>--OR(WorkforceData[[#This Row],[Status]]="Active",WorkforceData[[#This Row],[Promoted]]="Yes",WorkforceData[[#This Row],[Total Days Worked]]&gt;=121)</x:f>
        <x:v>0</x:v>
      </x:c>
      <x:c r="AB387" s="33" t="n">
        <x:f>IF(AND(Q387="Terminated",R387="",O387=0),1,0)</x:f>
        <x:v>0</x:v>
      </x:c>
      <x:c r="AC387" s="33" t="n">
        <x:f>--OR(WorkforceData[[#This Row],[Status]]="Resigned",WorkforceData[[#This Row],[Status After Training]]="Withdrew")</x:f>
        <x:v>1</x:v>
      </x:c>
      <x:c r="AD387" s="34" t="n">
        <x:f>EOMONTH(WorkforceData[[#This Row],[Training Date]],0)</x:f>
        <x:v>45504</x:v>
      </x:c>
      <x:c r="AE387" s="32" t="str">
        <x:f>IF(M387&lt;H387,"Existing Employee",IF(U387="","No Assignment",IF(V387=0,"0 Days",IF(V387&lt;=7,"1-7 Days",IF(V387&lt;=14,"8-14 Days",IF(V387&lt;=21,"15-21 Days","21+ Days"))))))</x:f>
        <x:v>Existing Employee</x:v>
      </x:c>
      <x:c r="AF38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91-120 Days</x:v>
      </x:c>
      <x:c r="AG387" s="33" t="n">
        <x:f>--(WorkforceData[[#This Row],[Total Days Worked]]&gt;=121)</x:f>
        <x:v>0</x:v>
      </x:c>
    </x:row>
    <x:row r="388">
      <x:c r="A388" s="236" t="str">
        <x:v>TRN-0387</x:v>
      </x:c>
      <x:c r="B388" s="243"/>
      <x:c r="C388" s="243"/>
      <x:c r="D388" s="243"/>
      <x:c r="E388" s="243"/>
      <x:c r="F388" s="14" t="str">
        <x:v>Recruiter B</x:v>
      </x:c>
      <x:c r="G388" s="14" t="str">
        <x:v>Training Center A</x:v>
      </x:c>
      <x:c r="H388" s="28">
        <x:v>45484</x:v>
      </x:c>
      <x:c r="I388" s="14">
        <x:v>2024</x:v>
      </x:c>
      <x:c r="J388" s="14" t="s">
        <x:v>133</x:v>
      </x:c>
      <x:c r="K388" s="14">
        <x:v>26</x:v>
      </x:c>
      <x:c r="L388" s="29" t="s">
        <x:v>101</x:v>
      </x:c>
      <x:c r="M388" s="28">
        <x:v>45484</x:v>
      </x:c>
      <x:c r="N388" s="28">
        <x:v>46043</x:v>
      </x:c>
      <x:c r="O388" s="14">
        <x:v>559</x:v>
      </x:c>
      <x:c r="P388" s="14" t="s">
        <x:v>120</x:v>
      </x:c>
      <x:c r="Q388" s="14" t="s">
        <x:v>103</x:v>
      </x:c>
      <x:c r="R388" s="14" t="s">
        <x:v>104</x:v>
      </x:c>
      <x:c r="S388" s="14" t="s">
        <x:v>105</x:v>
      </x:c>
      <x:c r="T388" s="14"/>
      <x:c r="U388" s="28"/>
      <x:c r="V388" s="30"/>
      <x:c r="W388" s="14"/>
      <x:c r="X388" s="14" t="s">
        <x:v>71</x:v>
      </x:c>
      <x:c r="Y388" s="32" t="str">
        <x:v>TRN-0387|20240711</x:v>
      </x:c>
      <x:c r="Z388" s="32" t="str" cm="1">
        <x:f t="array" ref="Z38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Complete</x:v>
      </x:c>
      <x:c r="AA388" s="33" t="n">
        <x:f>--OR(WorkforceData[[#This Row],[Status]]="Active",WorkforceData[[#This Row],[Promoted]]="Yes",WorkforceData[[#This Row],[Total Days Worked]]&gt;=121)</x:f>
        <x:v>1</x:v>
      </x:c>
      <x:c r="AB388" s="33" t="n">
        <x:f>IF(AND(Q388="Terminated",R388="",O388=0),1,0)</x:f>
        <x:v>0</x:v>
      </x:c>
      <x:c r="AC388" s="33" t="n">
        <x:f>--OR(WorkforceData[[#This Row],[Status]]="Resigned",WorkforceData[[#This Row],[Status After Training]]="Withdrew")</x:f>
        <x:v>1</x:v>
      </x:c>
      <x:c r="AD388" s="34" t="n">
        <x:f>EOMONTH(WorkforceData[[#This Row],[Training Date]],0)</x:f>
        <x:v>45504</x:v>
      </x:c>
      <x:c r="AE388" s="32" t="str">
        <x:f>IF(M388&lt;H388,"Existing Employee",IF(U388="","No Assignment",IF(V388=0,"0 Days",IF(V388&lt;=7,"1-7 Days",IF(V388&lt;=14,"8-14 Days",IF(V388&lt;=21,"15-21 Days","21+ Days"))))))</x:f>
        <x:v>No Assignment</x:v>
      </x:c>
      <x:c r="AF38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88" s="33" t="n">
        <x:f>--(WorkforceData[[#This Row],[Total Days Worked]]&gt;=121)</x:f>
        <x:v>1</x:v>
      </x:c>
    </x:row>
    <x:row r="389">
      <x:c r="A389" s="236" t="str">
        <x:v>TRN-0388</x:v>
      </x:c>
      <x:c r="B389" s="243"/>
      <x:c r="C389" s="243"/>
      <x:c r="D389" s="243"/>
      <x:c r="E389" s="243"/>
      <x:c r="F389" s="14" t="str">
        <x:v>Recruiter H</x:v>
      </x:c>
      <x:c r="G389" s="14" t="str">
        <x:v>Training Center A</x:v>
      </x:c>
      <x:c r="H389" s="28">
        <x:v>45484</x:v>
      </x:c>
      <x:c r="I389" s="14">
        <x:v>2024</x:v>
      </x:c>
      <x:c r="J389" s="14" t="s">
        <x:v>133</x:v>
      </x:c>
      <x:c r="K389" s="14">
        <x:v>26</x:v>
      </x:c>
      <x:c r="L389" s="29" t="s">
        <x:v>101</x:v>
      </x:c>
      <x:c r="M389" s="28">
        <x:v>45484</x:v>
      </x:c>
      <x:c r="N389" s="28">
        <x:v>45532</x:v>
      </x:c>
      <x:c r="O389" s="14">
        <x:v>48</x:v>
      </x:c>
      <x:c r="P389" s="14" t="s">
        <x:v>110</x:v>
      </x:c>
      <x:c r="Q389" s="14" t="s">
        <x:v>103</x:v>
      </x:c>
      <x:c r="R389" s="14" t="s">
        <x:v>111</x:v>
      </x:c>
      <x:c r="S389" s="14" t="s">
        <x:v>105</x:v>
      </x:c>
      <x:c r="T389" s="14" t="str">
        <x:v>Region A</x:v>
      </x:c>
      <x:c r="U389" s="28">
        <x:v>45492</x:v>
      </x:c>
      <x:c r="V389" s="30">
        <x:v>8</x:v>
      </x:c>
      <x:c r="W389" s="14" t="s">
        <x:v>45</x:v>
      </x:c>
      <x:c r="X389" s="14" t="s">
        <x:v>106</x:v>
      </x:c>
      <x:c r="Y389" s="32" t="str">
        <x:v>TRN-0388|20240711</x:v>
      </x:c>
      <x:c r="Z389" s="32" t="str" cm="1">
        <x:f t="array" ref="Z38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389" s="33" t="n">
        <x:f>--OR(WorkforceData[[#This Row],[Status]]="Active",WorkforceData[[#This Row],[Promoted]]="Yes",WorkforceData[[#This Row],[Total Days Worked]]&gt;=121)</x:f>
        <x:v>0</x:v>
      </x:c>
      <x:c r="AB389" s="33" t="n">
        <x:f>IF(AND(Q389="Terminated",R389="",O389=0),1,0)</x:f>
        <x:v>0</x:v>
      </x:c>
      <x:c r="AC389" s="33" t="n">
        <x:f>--OR(WorkforceData[[#This Row],[Status]]="Resigned",WorkforceData[[#This Row],[Status After Training]]="Withdrew")</x:f>
        <x:v>1</x:v>
      </x:c>
      <x:c r="AD389" s="34" t="n">
        <x:f>EOMONTH(WorkforceData[[#This Row],[Training Date]],0)</x:f>
        <x:v>45504</x:v>
      </x:c>
      <x:c r="AE389" s="32" t="str">
        <x:f>IF(M389&lt;H389,"Existing Employee",IF(U389="","No Assignment",IF(V389=0,"0 Days",IF(V389&lt;=7,"1-7 Days",IF(V389&lt;=14,"8-14 Days",IF(V389&lt;=21,"15-21 Days","21+ Days"))))))</x:f>
        <x:v>8-14 Days</x:v>
      </x:c>
      <x:c r="AF38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389" s="33" t="n">
        <x:f>--(WorkforceData[[#This Row],[Total Days Worked]]&gt;=121)</x:f>
        <x:v>0</x:v>
      </x:c>
    </x:row>
    <x:row r="390">
      <x:c r="A390" s="236" t="str">
        <x:v>TRN-0389</x:v>
      </x:c>
      <x:c r="B390" s="243"/>
      <x:c r="C390" s="243"/>
      <x:c r="D390" s="243"/>
      <x:c r="E390" s="243"/>
      <x:c r="F390" s="14" t="str">
        <x:v>Recruiter B</x:v>
      </x:c>
      <x:c r="G390" s="14" t="str">
        <x:v>Training Center A</x:v>
      </x:c>
      <x:c r="H390" s="28">
        <x:v>45484</x:v>
      </x:c>
      <x:c r="I390" s="14">
        <x:v>2024</x:v>
      </x:c>
      <x:c r="J390" s="14" t="s">
        <x:v>133</x:v>
      </x:c>
      <x:c r="K390" s="14">
        <x:v>26</x:v>
      </x:c>
      <x:c r="L390" s="29" t="s">
        <x:v>101</x:v>
      </x:c>
      <x:c r="M390" s="28">
        <x:v>45483</x:v>
      </x:c>
      <x:c r="N390" s="14"/>
      <x:c r="O390" s="14">
        <x:v>768</x:v>
      </x:c>
      <x:c r="P390" s="14" t="s">
        <x:v>122</x:v>
      </x:c>
      <x:c r="Q390" s="14" t="s">
        <x:v>25</x:v>
      </x:c>
      <x:c r="R390" s="14"/>
      <x:c r="S390" s="14" t="s">
        <x:v>108</x:v>
      </x:c>
      <x:c r="T390" s="14" t="str">
        <x:v>Region D</x:v>
      </x:c>
      <x:c r="U390" s="28">
        <x:v>45491</x:v>
      </x:c>
      <x:c r="V390" s="30">
        <x:v>7</x:v>
      </x:c>
      <x:c r="W390" s="14" t="s">
        <x:v>109</x:v>
      </x:c>
      <x:c r="X390" s="14" t="s">
        <x:v>106</x:v>
      </x:c>
      <x:c r="Y390" s="32" t="str">
        <x:v>TRN-0389|20240711</x:v>
      </x:c>
      <x:c r="Z390" s="32" t="str" cm="1">
        <x:f t="array" ref="Z39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390" s="33" t="n">
        <x:f>--OR(WorkforceData[[#This Row],[Status]]="Active",WorkforceData[[#This Row],[Promoted]]="Yes",WorkforceData[[#This Row],[Total Days Worked]]&gt;=121)</x:f>
        <x:v>1</x:v>
      </x:c>
      <x:c r="AB390" s="33" t="n">
        <x:f>IF(AND(Q390="Terminated",R390="",O390=0),1,0)</x:f>
        <x:v>0</x:v>
      </x:c>
      <x:c r="AC390" s="33" t="n">
        <x:f>--OR(WorkforceData[[#This Row],[Status]]="Resigned",WorkforceData[[#This Row],[Status After Training]]="Withdrew")</x:f>
        <x:v>0</x:v>
      </x:c>
      <x:c r="AD390" s="34" t="n">
        <x:f>EOMONTH(WorkforceData[[#This Row],[Training Date]],0)</x:f>
        <x:v>45504</x:v>
      </x:c>
      <x:c r="AE390" s="32" t="str">
        <x:f>IF(M390&lt;H390,"Existing Employee",IF(U390="","No Assignment",IF(V390=0,"0 Days",IF(V390&lt;=7,"1-7 Days",IF(V390&lt;=14,"8-14 Days",IF(V390&lt;=21,"15-21 Days","21+ Days"))))))</x:f>
        <x:v>Existing Employee</x:v>
      </x:c>
      <x:c r="AF39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90" s="33" t="n">
        <x:f>--(WorkforceData[[#This Row],[Total Days Worked]]&gt;=121)</x:f>
        <x:v>1</x:v>
      </x:c>
    </x:row>
    <x:row r="391">
      <x:c r="A391" s="236" t="str">
        <x:v>TRN-0390</x:v>
      </x:c>
      <x:c r="B391" s="243"/>
      <x:c r="C391" s="243"/>
      <x:c r="D391" s="243"/>
      <x:c r="E391" s="243"/>
      <x:c r="F391" s="14" t="str">
        <x:v>Recruiter H</x:v>
      </x:c>
      <x:c r="G391" s="14" t="str">
        <x:v>Training Center A</x:v>
      </x:c>
      <x:c r="H391" s="28">
        <x:v>45484</x:v>
      </x:c>
      <x:c r="I391" s="14">
        <x:v>2024</x:v>
      </x:c>
      <x:c r="J391" s="14" t="s">
        <x:v>133</x:v>
      </x:c>
      <x:c r="K391" s="14">
        <x:v>26</x:v>
      </x:c>
      <x:c r="L391" s="29" t="s">
        <x:v>101</x:v>
      </x:c>
      <x:c r="M391" s="28">
        <x:v>45479</x:v>
      </x:c>
      <x:c r="N391" s="14"/>
      <x:c r="O391" s="14">
        <x:v>772</x:v>
      </x:c>
      <x:c r="P391" s="14" t="s">
        <x:v>122</x:v>
      </x:c>
      <x:c r="Q391" s="14" t="s">
        <x:v>25</x:v>
      </x:c>
      <x:c r="R391" s="14"/>
      <x:c r="S391" s="14" t="s">
        <x:v>108</x:v>
      </x:c>
      <x:c r="T391" s="14" t="str">
        <x:v>Region D</x:v>
      </x:c>
      <x:c r="U391" s="28">
        <x:v>45488</x:v>
      </x:c>
      <x:c r="V391" s="30">
        <x:v>4</x:v>
      </x:c>
      <x:c r="W391" s="14" t="s">
        <x:v>109</x:v>
      </x:c>
      <x:c r="X391" s="14" t="s">
        <x:v>106</x:v>
      </x:c>
      <x:c r="Y391" s="32" t="str">
        <x:v>TRN-0390|20240711</x:v>
      </x:c>
      <x:c r="Z391" s="32" t="str" cm="1">
        <x:f t="array" ref="Z39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391" s="33" t="n">
        <x:f>--OR(WorkforceData[[#This Row],[Status]]="Active",WorkforceData[[#This Row],[Promoted]]="Yes",WorkforceData[[#This Row],[Total Days Worked]]&gt;=121)</x:f>
        <x:v>1</x:v>
      </x:c>
      <x:c r="AB391" s="33" t="n">
        <x:f>IF(AND(Q391="Terminated",R391="",O391=0),1,0)</x:f>
        <x:v>0</x:v>
      </x:c>
      <x:c r="AC391" s="33" t="n">
        <x:f>--OR(WorkforceData[[#This Row],[Status]]="Resigned",WorkforceData[[#This Row],[Status After Training]]="Withdrew")</x:f>
        <x:v>0</x:v>
      </x:c>
      <x:c r="AD391" s="34" t="n">
        <x:f>EOMONTH(WorkforceData[[#This Row],[Training Date]],0)</x:f>
        <x:v>45504</x:v>
      </x:c>
      <x:c r="AE391" s="32" t="str">
        <x:f>IF(M391&lt;H391,"Existing Employee",IF(U391="","No Assignment",IF(V391=0,"0 Days",IF(V391&lt;=7,"1-7 Days",IF(V391&lt;=14,"8-14 Days",IF(V391&lt;=21,"15-21 Days","21+ Days"))))))</x:f>
        <x:v>Existing Employee</x:v>
      </x:c>
      <x:c r="AF39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91" s="33" t="n">
        <x:f>--(WorkforceData[[#This Row],[Total Days Worked]]&gt;=121)</x:f>
        <x:v>1</x:v>
      </x:c>
    </x:row>
    <x:row r="392">
      <x:c r="A392" s="236" t="str">
        <x:v>TRN-0391</x:v>
      </x:c>
      <x:c r="B392" s="243"/>
      <x:c r="C392" s="243"/>
      <x:c r="D392" s="243"/>
      <x:c r="E392" s="243"/>
      <x:c r="F392" s="14" t="str">
        <x:v>Recruiter H</x:v>
      </x:c>
      <x:c r="G392" s="14" t="str">
        <x:v>Training Center A</x:v>
      </x:c>
      <x:c r="H392" s="28">
        <x:v>45484</x:v>
      </x:c>
      <x:c r="I392" s="14">
        <x:v>2024</x:v>
      </x:c>
      <x:c r="J392" s="14" t="s">
        <x:v>133</x:v>
      </x:c>
      <x:c r="K392" s="14">
        <x:v>26</x:v>
      </x:c>
      <x:c r="L392" s="29" t="s">
        <x:v>101</x:v>
      </x:c>
      <x:c r="M392" s="28">
        <x:v>45482</x:v>
      </x:c>
      <x:c r="N392" s="28">
        <x:v>45486</x:v>
      </x:c>
      <x:c r="O392" s="14">
        <x:v>4</x:v>
      </x:c>
      <x:c r="P392" s="14" t="s">
        <x:v>102</x:v>
      </x:c>
      <x:c r="Q392" s="14" t="s">
        <x:v>33</x:v>
      </x:c>
      <x:c r="R392" s="14" t="s">
        <x:v>121</x:v>
      </x:c>
      <x:c r="S392" s="14" t="s">
        <x:v>105</x:v>
      </x:c>
      <x:c r="T392" s="14" t="str">
        <x:v>Region B</x:v>
      </x:c>
      <x:c r="U392" s="28">
        <x:v>45486</x:v>
      </x:c>
      <x:c r="V392" s="30">
        <x:v>2</x:v>
      </x:c>
      <x:c r="W392" s="14" t="s">
        <x:v>109</x:v>
      </x:c>
      <x:c r="X392" s="14" t="s">
        <x:v>117</x:v>
      </x:c>
      <x:c r="Y392" s="32" t="str">
        <x:v>TRN-0391|20240711</x:v>
      </x:c>
      <x:c r="Z392" s="32" t="str" cm="1">
        <x:f t="array" ref="Z39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392" s="33" t="n">
        <x:f>--OR(WorkforceData[[#This Row],[Status]]="Active",WorkforceData[[#This Row],[Promoted]]="Yes",WorkforceData[[#This Row],[Total Days Worked]]&gt;=121)</x:f>
        <x:v>0</x:v>
      </x:c>
      <x:c r="AB392" s="33" t="n">
        <x:f>IF(AND(Q392="Terminated",R392="",O392=0),1,0)</x:f>
        <x:v>0</x:v>
      </x:c>
      <x:c r="AC392" s="33" t="n">
        <x:f>--OR(WorkforceData[[#This Row],[Status]]="Resigned",WorkforceData[[#This Row],[Status After Training]]="Withdrew")</x:f>
        <x:v>0</x:v>
      </x:c>
      <x:c r="AD392" s="34" t="n">
        <x:f>EOMONTH(WorkforceData[[#This Row],[Training Date]],0)</x:f>
        <x:v>45504</x:v>
      </x:c>
      <x:c r="AE392" s="32" t="str">
        <x:f>IF(M392&lt;H392,"Existing Employee",IF(U392="","No Assignment",IF(V392=0,"0 Days",IF(V392&lt;=7,"1-7 Days",IF(V392&lt;=14,"8-14 Days",IF(V392&lt;=21,"15-21 Days","21+ Days"))))))</x:f>
        <x:v>Existing Employee</x:v>
      </x:c>
      <x:c r="AF39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1-7 Days</x:v>
      </x:c>
      <x:c r="AG392" s="33" t="n">
        <x:f>--(WorkforceData[[#This Row],[Total Days Worked]]&gt;=121)</x:f>
        <x:v>0</x:v>
      </x:c>
    </x:row>
    <x:row r="393">
      <x:c r="A393" s="236" t="str">
        <x:v>TRN-0392</x:v>
      </x:c>
      <x:c r="B393" s="243"/>
      <x:c r="C393" s="243"/>
      <x:c r="D393" s="243"/>
      <x:c r="E393" s="243"/>
      <x:c r="F393" s="14" t="str">
        <x:v>Recruiter A</x:v>
      </x:c>
      <x:c r="G393" s="14" t="str">
        <x:v>Training Center A</x:v>
      </x:c>
      <x:c r="H393" s="28">
        <x:v>45484</x:v>
      </x:c>
      <x:c r="I393" s="14">
        <x:v>2024</x:v>
      </x:c>
      <x:c r="J393" s="14" t="s">
        <x:v>133</x:v>
      </x:c>
      <x:c r="K393" s="14">
        <x:v>26</x:v>
      </x:c>
      <x:c r="L393" s="29" t="s">
        <x:v>101</x:v>
      </x:c>
      <x:c r="M393" s="28">
        <x:v>45484</x:v>
      </x:c>
      <x:c r="N393" s="28">
        <x:v>45543</x:v>
      </x:c>
      <x:c r="O393" s="14">
        <x:v>59</x:v>
      </x:c>
      <x:c r="P393" s="14" t="s">
        <x:v>110</x:v>
      </x:c>
      <x:c r="Q393" s="14" t="s">
        <x:v>103</x:v>
      </x:c>
      <x:c r="R393" s="14" t="s">
        <x:v>123</x:v>
      </x:c>
      <x:c r="S393" s="14" t="s">
        <x:v>105</x:v>
      </x:c>
      <x:c r="T393" s="14" t="str">
        <x:v>Region B</x:v>
      </x:c>
      <x:c r="U393" s="28">
        <x:v>45497</x:v>
      </x:c>
      <x:c r="V393" s="30">
        <x:v>13</x:v>
      </x:c>
      <x:c r="W393" s="14" t="s">
        <x:v>45</x:v>
      </x:c>
      <x:c r="X393" s="14" t="s">
        <x:v>106</x:v>
      </x:c>
      <x:c r="Y393" s="32" t="str">
        <x:v>TRN-0392|20240711</x:v>
      </x:c>
      <x:c r="Z393" s="32" t="str" cm="1">
        <x:f t="array" ref="Z39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393" s="33" t="n">
        <x:f>--OR(WorkforceData[[#This Row],[Status]]="Active",WorkforceData[[#This Row],[Promoted]]="Yes",WorkforceData[[#This Row],[Total Days Worked]]&gt;=121)</x:f>
        <x:v>0</x:v>
      </x:c>
      <x:c r="AB393" s="33" t="n">
        <x:f>IF(AND(Q393="Terminated",R393="",O393=0),1,0)</x:f>
        <x:v>0</x:v>
      </x:c>
      <x:c r="AC393" s="33" t="n">
        <x:f>--OR(WorkforceData[[#This Row],[Status]]="Resigned",WorkforceData[[#This Row],[Status After Training]]="Withdrew")</x:f>
        <x:v>1</x:v>
      </x:c>
      <x:c r="AD393" s="34" t="n">
        <x:f>EOMONTH(WorkforceData[[#This Row],[Training Date]],0)</x:f>
        <x:v>45504</x:v>
      </x:c>
      <x:c r="AE393" s="32" t="str">
        <x:f>IF(M393&lt;H393,"Existing Employee",IF(U393="","No Assignment",IF(V393=0,"0 Days",IF(V393&lt;=7,"1-7 Days",IF(V393&lt;=14,"8-14 Days",IF(V393&lt;=21,"15-21 Days","21+ Days"))))))</x:f>
        <x:v>8-14 Days</x:v>
      </x:c>
      <x:c r="AF39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393" s="33" t="n">
        <x:f>--(WorkforceData[[#This Row],[Total Days Worked]]&gt;=121)</x:f>
        <x:v>0</x:v>
      </x:c>
    </x:row>
    <x:row r="394">
      <x:c r="A394" s="236" t="str">
        <x:v>TRN-0393</x:v>
      </x:c>
      <x:c r="B394" s="243"/>
      <x:c r="C394" s="243"/>
      <x:c r="D394" s="243"/>
      <x:c r="E394" s="243"/>
      <x:c r="F394" s="14" t="str">
        <x:v>Recruiter A</x:v>
      </x:c>
      <x:c r="G394" s="14" t="str">
        <x:v>Training Center A</x:v>
      </x:c>
      <x:c r="H394" s="28">
        <x:v>45484</x:v>
      </x:c>
      <x:c r="I394" s="14">
        <x:v>2024</x:v>
      </x:c>
      <x:c r="J394" s="14" t="s">
        <x:v>133</x:v>
      </x:c>
      <x:c r="K394" s="14">
        <x:v>26</x:v>
      </x:c>
      <x:c r="L394" s="29" t="s">
        <x:v>101</x:v>
      </x:c>
      <x:c r="M394" s="28">
        <x:v>45481</x:v>
      </x:c>
      <x:c r="N394" s="14"/>
      <x:c r="O394" s="14">
        <x:v>770</x:v>
      </x:c>
      <x:c r="P394" s="14" t="s">
        <x:v>122</x:v>
      </x:c>
      <x:c r="Q394" s="14" t="s">
        <x:v>25</x:v>
      </x:c>
      <x:c r="R394" s="14"/>
      <x:c r="S394" s="14" t="s">
        <x:v>108</x:v>
      </x:c>
      <x:c r="T394" s="14" t="str">
        <x:v>Region B</x:v>
      </x:c>
      <x:c r="U394" s="28">
        <x:v>45522</x:v>
      </x:c>
      <x:c r="V394" s="30">
        <x:v>38</x:v>
      </x:c>
      <x:c r="W394" s="14" t="s">
        <x:v>63</x:v>
      </x:c>
      <x:c r="X394" s="14" t="s">
        <x:v>117</x:v>
      </x:c>
      <x:c r="Y394" s="32" t="str">
        <x:v>TRN-0393|20240711</x:v>
      </x:c>
      <x:c r="Z394" s="32" t="str" cm="1">
        <x:f t="array" ref="Z39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394" s="33" t="n">
        <x:f>--OR(WorkforceData[[#This Row],[Status]]="Active",WorkforceData[[#This Row],[Promoted]]="Yes",WorkforceData[[#This Row],[Total Days Worked]]&gt;=121)</x:f>
        <x:v>1</x:v>
      </x:c>
      <x:c r="AB394" s="33" t="n">
        <x:f>IF(AND(Q394="Terminated",R394="",O394=0),1,0)</x:f>
        <x:v>0</x:v>
      </x:c>
      <x:c r="AC394" s="33" t="n">
        <x:f>--OR(WorkforceData[[#This Row],[Status]]="Resigned",WorkforceData[[#This Row],[Status After Training]]="Withdrew")</x:f>
        <x:v>0</x:v>
      </x:c>
      <x:c r="AD394" s="34" t="n">
        <x:f>EOMONTH(WorkforceData[[#This Row],[Training Date]],0)</x:f>
        <x:v>45504</x:v>
      </x:c>
      <x:c r="AE394" s="32" t="str">
        <x:f>IF(M394&lt;H394,"Existing Employee",IF(U394="","No Assignment",IF(V394=0,"0 Days",IF(V394&lt;=7,"1-7 Days",IF(V394&lt;=14,"8-14 Days",IF(V394&lt;=21,"15-21 Days","21+ Days"))))))</x:f>
        <x:v>Existing Employee</x:v>
      </x:c>
      <x:c r="AF39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94" s="33" t="n">
        <x:f>--(WorkforceData[[#This Row],[Total Days Worked]]&gt;=121)</x:f>
        <x:v>1</x:v>
      </x:c>
    </x:row>
    <x:row r="395">
      <x:c r="A395" s="236" t="str">
        <x:v>TRN-0394</x:v>
      </x:c>
      <x:c r="B395" s="243"/>
      <x:c r="C395" s="243"/>
      <x:c r="D395" s="243"/>
      <x:c r="E395" s="243"/>
      <x:c r="F395" s="14" t="str">
        <x:v>Recruiter D</x:v>
      </x:c>
      <x:c r="G395" s="14" t="str">
        <x:v>Training Center A</x:v>
      </x:c>
      <x:c r="H395" s="28">
        <x:v>45484</x:v>
      </x:c>
      <x:c r="I395" s="14">
        <x:v>2024</x:v>
      </x:c>
      <x:c r="J395" s="14" t="s">
        <x:v>133</x:v>
      </x:c>
      <x:c r="K395" s="14">
        <x:v>26</x:v>
      </x:c>
      <x:c r="L395" s="29" t="s">
        <x:v>101</x:v>
      </x:c>
      <x:c r="M395" s="28">
        <x:v>45484</x:v>
      </x:c>
      <x:c r="N395" s="14"/>
      <x:c r="O395" s="14">
        <x:v>767</x:v>
      </x:c>
      <x:c r="P395" s="14" t="s">
        <x:v>122</x:v>
      </x:c>
      <x:c r="Q395" s="14" t="s">
        <x:v>25</x:v>
      </x:c>
      <x:c r="R395" s="14"/>
      <x:c r="S395" s="14" t="s">
        <x:v>108</x:v>
      </x:c>
      <x:c r="T395" s="14" t="str">
        <x:v>Region A</x:v>
      </x:c>
      <x:c r="U395" s="28">
        <x:v>45503</x:v>
      </x:c>
      <x:c r="V395" s="30">
        <x:v>19</x:v>
      </x:c>
      <x:c r="W395" s="14" t="s">
        <x:v>112</x:v>
      </x:c>
      <x:c r="X395" s="14" t="s">
        <x:v>106</x:v>
      </x:c>
      <x:c r="Y395" s="32" t="str">
        <x:v>TRN-0394|20240711</x:v>
      </x:c>
      <x:c r="Z395" s="32" t="str" cm="1">
        <x:f t="array" ref="Z39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395" s="33" t="n">
        <x:f>--OR(WorkforceData[[#This Row],[Status]]="Active",WorkforceData[[#This Row],[Promoted]]="Yes",WorkforceData[[#This Row],[Total Days Worked]]&gt;=121)</x:f>
        <x:v>1</x:v>
      </x:c>
      <x:c r="AB395" s="33" t="n">
        <x:f>IF(AND(Q395="Terminated",R395="",O395=0),1,0)</x:f>
        <x:v>0</x:v>
      </x:c>
      <x:c r="AC395" s="33" t="n">
        <x:f>--OR(WorkforceData[[#This Row],[Status]]="Resigned",WorkforceData[[#This Row],[Status After Training]]="Withdrew")</x:f>
        <x:v>0</x:v>
      </x:c>
      <x:c r="AD395" s="34" t="n">
        <x:f>EOMONTH(WorkforceData[[#This Row],[Training Date]],0)</x:f>
        <x:v>45504</x:v>
      </x:c>
      <x:c r="AE395" s="32" t="str">
        <x:f>IF(M395&lt;H395,"Existing Employee",IF(U395="","No Assignment",IF(V395=0,"0 Days",IF(V395&lt;=7,"1-7 Days",IF(V395&lt;=14,"8-14 Days",IF(V395&lt;=21,"15-21 Days","21+ Days"))))))</x:f>
        <x:v>15-21 Days</x:v>
      </x:c>
      <x:c r="AF39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95" s="33" t="n">
        <x:f>--(WorkforceData[[#This Row],[Total Days Worked]]&gt;=121)</x:f>
        <x:v>1</x:v>
      </x:c>
    </x:row>
    <x:row r="396">
      <x:c r="A396" s="236" t="str">
        <x:v>TRN-0395</x:v>
      </x:c>
      <x:c r="B396" s="243"/>
      <x:c r="C396" s="243"/>
      <x:c r="D396" s="243"/>
      <x:c r="E396" s="243"/>
      <x:c r="F396" s="14" t="str">
        <x:v>Recruiter D</x:v>
      </x:c>
      <x:c r="G396" s="14" t="str">
        <x:v>Training Center A</x:v>
      </x:c>
      <x:c r="H396" s="28">
        <x:v>45484</x:v>
      </x:c>
      <x:c r="I396" s="14">
        <x:v>2024</x:v>
      </x:c>
      <x:c r="J396" s="14" t="s">
        <x:v>133</x:v>
      </x:c>
      <x:c r="K396" s="14">
        <x:v>26</x:v>
      </x:c>
      <x:c r="L396" s="29" t="s">
        <x:v>101</x:v>
      </x:c>
      <x:c r="M396" s="28">
        <x:v>45484</x:v>
      </x:c>
      <x:c r="N396" s="14"/>
      <x:c r="O396" s="14">
        <x:v>767</x:v>
      </x:c>
      <x:c r="P396" s="14" t="s">
        <x:v>122</x:v>
      </x:c>
      <x:c r="Q396" s="14" t="s">
        <x:v>25</x:v>
      </x:c>
      <x:c r="R396" s="14"/>
      <x:c r="S396" s="14" t="s">
        <x:v>108</x:v>
      </x:c>
      <x:c r="T396" s="14" t="str">
        <x:v>Region A</x:v>
      </x:c>
      <x:c r="U396" s="28">
        <x:v>45489</x:v>
      </x:c>
      <x:c r="V396" s="30">
        <x:v>5</x:v>
      </x:c>
      <x:c r="W396" s="14" t="s">
        <x:v>109</x:v>
      </x:c>
      <x:c r="X396" s="14" t="s">
        <x:v>106</x:v>
      </x:c>
      <x:c r="Y396" s="32" t="str">
        <x:v>TRN-0395|20240711</x:v>
      </x:c>
      <x:c r="Z396" s="32" t="str" cm="1">
        <x:f t="array" ref="Z39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396" s="33" t="n">
        <x:f>--OR(WorkforceData[[#This Row],[Status]]="Active",WorkforceData[[#This Row],[Promoted]]="Yes",WorkforceData[[#This Row],[Total Days Worked]]&gt;=121)</x:f>
        <x:v>1</x:v>
      </x:c>
      <x:c r="AB396" s="33" t="n">
        <x:f>IF(AND(Q396="Terminated",R396="",O396=0),1,0)</x:f>
        <x:v>0</x:v>
      </x:c>
      <x:c r="AC396" s="33" t="n">
        <x:f>--OR(WorkforceData[[#This Row],[Status]]="Resigned",WorkforceData[[#This Row],[Status After Training]]="Withdrew")</x:f>
        <x:v>0</x:v>
      </x:c>
      <x:c r="AD396" s="34" t="n">
        <x:f>EOMONTH(WorkforceData[[#This Row],[Training Date]],0)</x:f>
        <x:v>45504</x:v>
      </x:c>
      <x:c r="AE396" s="32" t="str">
        <x:f>IF(M396&lt;H396,"Existing Employee",IF(U396="","No Assignment",IF(V396=0,"0 Days",IF(V396&lt;=7,"1-7 Days",IF(V396&lt;=14,"8-14 Days",IF(V396&lt;=21,"15-21 Days","21+ Days"))))))</x:f>
        <x:v>1-7 Days</x:v>
      </x:c>
      <x:c r="AF39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96" s="33" t="n">
        <x:f>--(WorkforceData[[#This Row],[Total Days Worked]]&gt;=121)</x:f>
        <x:v>1</x:v>
      </x:c>
    </x:row>
    <x:row r="397">
      <x:c r="A397" s="236" t="str">
        <x:v>TRN-0396</x:v>
      </x:c>
      <x:c r="B397" s="243"/>
      <x:c r="C397" s="243"/>
      <x:c r="D397" s="243"/>
      <x:c r="E397" s="243"/>
      <x:c r="F397" s="14" t="str">
        <x:v>Recruiter C</x:v>
      </x:c>
      <x:c r="G397" s="14" t="str">
        <x:v>Training Center A</x:v>
      </x:c>
      <x:c r="H397" s="28">
        <x:v>45484</x:v>
      </x:c>
      <x:c r="I397" s="14">
        <x:v>2024</x:v>
      </x:c>
      <x:c r="J397" s="14" t="s">
        <x:v>133</x:v>
      </x:c>
      <x:c r="K397" s="14">
        <x:v>26</x:v>
      </x:c>
      <x:c r="L397" s="29" t="s">
        <x:v>101</x:v>
      </x:c>
      <x:c r="M397" s="28">
        <x:v>45477</x:v>
      </x:c>
      <x:c r="N397" s="14"/>
      <x:c r="O397" s="14">
        <x:v>774</x:v>
      </x:c>
      <x:c r="P397" s="14" t="s">
        <x:v>122</x:v>
      </x:c>
      <x:c r="Q397" s="14" t="s">
        <x:v>25</x:v>
      </x:c>
      <x:c r="R397" s="14"/>
      <x:c r="S397" s="14" t="s">
        <x:v>108</x:v>
      </x:c>
      <x:c r="T397" s="14" t="str">
        <x:v>Region B</x:v>
      </x:c>
      <x:c r="U397" s="28">
        <x:v>45488</x:v>
      </x:c>
      <x:c r="V397" s="30">
        <x:v>4</x:v>
      </x:c>
      <x:c r="W397" s="14" t="s">
        <x:v>109</x:v>
      </x:c>
      <x:c r="X397" s="14" t="s">
        <x:v>106</x:v>
      </x:c>
      <x:c r="Y397" s="32" t="str">
        <x:v>TRN-0396|20240711</x:v>
      </x:c>
      <x:c r="Z397" s="32" t="str" cm="1">
        <x:f t="array" ref="Z39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397" s="33" t="n">
        <x:f>--OR(WorkforceData[[#This Row],[Status]]="Active",WorkforceData[[#This Row],[Promoted]]="Yes",WorkforceData[[#This Row],[Total Days Worked]]&gt;=121)</x:f>
        <x:v>1</x:v>
      </x:c>
      <x:c r="AB397" s="33" t="n">
        <x:f>IF(AND(Q397="Terminated",R397="",O397=0),1,0)</x:f>
        <x:v>0</x:v>
      </x:c>
      <x:c r="AC397" s="33" t="n">
        <x:f>--OR(WorkforceData[[#This Row],[Status]]="Resigned",WorkforceData[[#This Row],[Status After Training]]="Withdrew")</x:f>
        <x:v>0</x:v>
      </x:c>
      <x:c r="AD397" s="34" t="n">
        <x:f>EOMONTH(WorkforceData[[#This Row],[Training Date]],0)</x:f>
        <x:v>45504</x:v>
      </x:c>
      <x:c r="AE397" s="32" t="str">
        <x:f>IF(M397&lt;H397,"Existing Employee",IF(U397="","No Assignment",IF(V397=0,"0 Days",IF(V397&lt;=7,"1-7 Days",IF(V397&lt;=14,"8-14 Days",IF(V397&lt;=21,"15-21 Days","21+ Days"))))))</x:f>
        <x:v>Existing Employee</x:v>
      </x:c>
      <x:c r="AF39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397" s="33" t="n">
        <x:f>--(WorkforceData[[#This Row],[Total Days Worked]]&gt;=121)</x:f>
        <x:v>1</x:v>
      </x:c>
    </x:row>
    <x:row r="398">
      <x:c r="A398" s="236" t="str">
        <x:v>TRN-0397</x:v>
      </x:c>
      <x:c r="B398" s="243"/>
      <x:c r="C398" s="243"/>
      <x:c r="D398" s="243"/>
      <x:c r="E398" s="243"/>
      <x:c r="F398" s="14" t="str">
        <x:v>Recruiter F</x:v>
      </x:c>
      <x:c r="G398" s="14" t="str">
        <x:v>Training Center A</x:v>
      </x:c>
      <x:c r="H398" s="28">
        <x:v>45484</x:v>
      </x:c>
      <x:c r="I398" s="14">
        <x:v>2024</x:v>
      </x:c>
      <x:c r="J398" s="14" t="s">
        <x:v>133</x:v>
      </x:c>
      <x:c r="K398" s="14">
        <x:v>26</x:v>
      </x:c>
      <x:c r="L398" s="29" t="s">
        <x:v>101</x:v>
      </x:c>
      <x:c r="M398" s="28">
        <x:v>45483</x:v>
      </x:c>
      <x:c r="N398" s="28">
        <x:v>45507</x:v>
      </x:c>
      <x:c r="O398" s="14">
        <x:v>24</x:v>
      </x:c>
      <x:c r="P398" s="14" t="s">
        <x:v>102</x:v>
      </x:c>
      <x:c r="Q398" s="14" t="s">
        <x:v>33</x:v>
      </x:c>
      <x:c r="R398" s="14" t="s">
        <x:v>116</x:v>
      </x:c>
      <x:c r="S398" s="14" t="s">
        <x:v>105</x:v>
      </x:c>
      <x:c r="T398" s="14" t="str">
        <x:v>Region B</x:v>
      </x:c>
      <x:c r="U398" s="28">
        <x:v>45507</x:v>
      </x:c>
      <x:c r="V398" s="30">
        <x:v>23</x:v>
      </x:c>
      <x:c r="W398" s="14" t="s">
        <x:v>112</x:v>
      </x:c>
      <x:c r="X398" s="14" t="s">
        <x:v>106</x:v>
      </x:c>
      <x:c r="Y398" s="32" t="str">
        <x:v>TRN-0397|20240711</x:v>
      </x:c>
      <x:c r="Z398" s="32" t="str" cm="1">
        <x:f t="array" ref="Z39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398" s="33" t="n">
        <x:f>--OR(WorkforceData[[#This Row],[Status]]="Active",WorkforceData[[#This Row],[Promoted]]="Yes",WorkforceData[[#This Row],[Total Days Worked]]&gt;=121)</x:f>
        <x:v>0</x:v>
      </x:c>
      <x:c r="AB398" s="33" t="n">
        <x:f>IF(AND(Q398="Terminated",R398="",O398=0),1,0)</x:f>
        <x:v>0</x:v>
      </x:c>
      <x:c r="AC398" s="33" t="n">
        <x:f>--OR(WorkforceData[[#This Row],[Status]]="Resigned",WorkforceData[[#This Row],[Status After Training]]="Withdrew")</x:f>
        <x:v>0</x:v>
      </x:c>
      <x:c r="AD398" s="34" t="n">
        <x:f>EOMONTH(WorkforceData[[#This Row],[Training Date]],0)</x:f>
        <x:v>45504</x:v>
      </x:c>
      <x:c r="AE398" s="32" t="str">
        <x:f>IF(M398&lt;H398,"Existing Employee",IF(U398="","No Assignment",IF(V398=0,"0 Days",IF(V398&lt;=7,"1-7 Days",IF(V398&lt;=14,"8-14 Days",IF(V398&lt;=21,"15-21 Days","21+ Days"))))))</x:f>
        <x:v>Existing Employee</x:v>
      </x:c>
      <x:c r="AF39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398" s="33" t="n">
        <x:f>--(WorkforceData[[#This Row],[Total Days Worked]]&gt;=121)</x:f>
        <x:v>0</x:v>
      </x:c>
    </x:row>
    <x:row r="399">
      <x:c r="A399" s="236" t="str">
        <x:v>TRN-0398</x:v>
      </x:c>
      <x:c r="B399" s="243"/>
      <x:c r="C399" s="243"/>
      <x:c r="D399" s="243"/>
      <x:c r="E399" s="243"/>
      <x:c r="F399" s="14" t="str">
        <x:v>Recruiter B</x:v>
      </x:c>
      <x:c r="G399" s="14" t="str">
        <x:v>Training Center A</x:v>
      </x:c>
      <x:c r="H399" s="28">
        <x:v>45484</x:v>
      </x:c>
      <x:c r="I399" s="14">
        <x:v>2024</x:v>
      </x:c>
      <x:c r="J399" s="14" t="s">
        <x:v>133</x:v>
      </x:c>
      <x:c r="K399" s="14">
        <x:v>26</x:v>
      </x:c>
      <x:c r="L399" s="29" t="s">
        <x:v>101</x:v>
      </x:c>
      <x:c r="M399" s="28">
        <x:v>45484</x:v>
      </x:c>
      <x:c r="N399" s="28">
        <x:v>45508</x:v>
      </x:c>
      <x:c r="O399" s="14">
        <x:v>24</x:v>
      </x:c>
      <x:c r="P399" s="14" t="s">
        <x:v>102</x:v>
      </x:c>
      <x:c r="Q399" s="14" t="s">
        <x:v>33</x:v>
      </x:c>
      <x:c r="R399" s="14" t="s">
        <x:v>124</x:v>
      </x:c>
      <x:c r="S399" s="14" t="s">
        <x:v>105</x:v>
      </x:c>
      <x:c r="T399" s="14" t="str">
        <x:v>Region A</x:v>
      </x:c>
      <x:c r="U399" s="28">
        <x:v>45492</x:v>
      </x:c>
      <x:c r="V399" s="30">
        <x:v>8</x:v>
      </x:c>
      <x:c r="W399" s="14" t="s">
        <x:v>45</x:v>
      </x:c>
      <x:c r="X399" s="14" t="s">
        <x:v>106</x:v>
      </x:c>
      <x:c r="Y399" s="32" t="str">
        <x:v>TRN-0398|20240711</x:v>
      </x:c>
      <x:c r="Z399" s="32" t="str" cm="1">
        <x:f t="array" ref="Z39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399" s="33" t="n">
        <x:f>--OR(WorkforceData[[#This Row],[Status]]="Active",WorkforceData[[#This Row],[Promoted]]="Yes",WorkforceData[[#This Row],[Total Days Worked]]&gt;=121)</x:f>
        <x:v>0</x:v>
      </x:c>
      <x:c r="AB399" s="33" t="n">
        <x:f>IF(AND(Q399="Terminated",R399="",O399=0),1,0)</x:f>
        <x:v>0</x:v>
      </x:c>
      <x:c r="AC399" s="33" t="n">
        <x:f>--OR(WorkforceData[[#This Row],[Status]]="Resigned",WorkforceData[[#This Row],[Status After Training]]="Withdrew")</x:f>
        <x:v>0</x:v>
      </x:c>
      <x:c r="AD399" s="34" t="n">
        <x:f>EOMONTH(WorkforceData[[#This Row],[Training Date]],0)</x:f>
        <x:v>45504</x:v>
      </x:c>
      <x:c r="AE399" s="32" t="str">
        <x:f>IF(M399&lt;H399,"Existing Employee",IF(U399="","No Assignment",IF(V399=0,"0 Days",IF(V399&lt;=7,"1-7 Days",IF(V399&lt;=14,"8-14 Days",IF(V399&lt;=21,"15-21 Days","21+ Days"))))))</x:f>
        <x:v>8-14 Days</x:v>
      </x:c>
      <x:c r="AF39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399" s="33" t="n">
        <x:f>--(WorkforceData[[#This Row],[Total Days Worked]]&gt;=121)</x:f>
        <x:v>0</x:v>
      </x:c>
    </x:row>
    <x:row r="400">
      <x:c r="A400" s="236" t="str">
        <x:v>TRN-0399</x:v>
      </x:c>
      <x:c r="B400" s="243"/>
      <x:c r="C400" s="243"/>
      <x:c r="D400" s="243"/>
      <x:c r="E400" s="243"/>
      <x:c r="F400" s="14" t="str">
        <x:v>Recruiter H</x:v>
      </x:c>
      <x:c r="G400" s="14" t="str">
        <x:v>Training Center A</x:v>
      </x:c>
      <x:c r="H400" s="28">
        <x:v>45484</x:v>
      </x:c>
      <x:c r="I400" s="14">
        <x:v>2024</x:v>
      </x:c>
      <x:c r="J400" s="14" t="s">
        <x:v>133</x:v>
      </x:c>
      <x:c r="K400" s="14">
        <x:v>26</x:v>
      </x:c>
      <x:c r="L400" s="29" t="s">
        <x:v>101</x:v>
      </x:c>
      <x:c r="M400" s="28">
        <x:v>45474</x:v>
      </x:c>
      <x:c r="N400" s="14"/>
      <x:c r="O400" s="14">
        <x:v>777</x:v>
      </x:c>
      <x:c r="P400" s="14" t="s">
        <x:v>122</x:v>
      </x:c>
      <x:c r="Q400" s="14" t="s">
        <x:v>38</x:v>
      </x:c>
      <x:c r="R400" s="14"/>
      <x:c r="S400" s="14" t="s">
        <x:v>108</x:v>
      </x:c>
      <x:c r="T400" s="14" t="str">
        <x:v>Region C</x:v>
      </x:c>
      <x:c r="U400" s="28">
        <x:v>45510</x:v>
      </x:c>
      <x:c r="V400" s="30">
        <x:v>26</x:v>
      </x:c>
      <x:c r="W400" s="14" t="s">
        <x:v>112</x:v>
      </x:c>
      <x:c r="X400" s="14" t="s">
        <x:v>106</x:v>
      </x:c>
      <x:c r="Y400" s="32" t="str">
        <x:v>TRN-0399|20240711</x:v>
      </x:c>
      <x:c r="Z400" s="32" t="str" cm="1">
        <x:f t="array" ref="Z40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400" s="33" t="n">
        <x:f>--OR(WorkforceData[[#This Row],[Status]]="Active",WorkforceData[[#This Row],[Promoted]]="Yes",WorkforceData[[#This Row],[Total Days Worked]]&gt;=121)</x:f>
        <x:v>1</x:v>
      </x:c>
      <x:c r="AB400" s="33" t="n">
        <x:f>IF(AND(Q400="Terminated",R400="",O400=0),1,0)</x:f>
        <x:v>0</x:v>
      </x:c>
      <x:c r="AC400" s="33" t="n">
        <x:f>--OR(WorkforceData[[#This Row],[Status]]="Resigned",WorkforceData[[#This Row],[Status After Training]]="Withdrew")</x:f>
        <x:v>0</x:v>
      </x:c>
      <x:c r="AD400" s="34" t="n">
        <x:f>EOMONTH(WorkforceData[[#This Row],[Training Date]],0)</x:f>
        <x:v>45504</x:v>
      </x:c>
      <x:c r="AE400" s="32" t="str">
        <x:f>IF(M400&lt;H400,"Existing Employee",IF(U400="","No Assignment",IF(V400=0,"0 Days",IF(V400&lt;=7,"1-7 Days",IF(V400&lt;=14,"8-14 Days",IF(V400&lt;=21,"15-21 Days","21+ Days"))))))</x:f>
        <x:v>Existing Employee</x:v>
      </x:c>
      <x:c r="AF40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00" s="33" t="n">
        <x:f>--(WorkforceData[[#This Row],[Total Days Worked]]&gt;=121)</x:f>
        <x:v>1</x:v>
      </x:c>
    </x:row>
    <x:row r="401">
      <x:c r="A401" s="236" t="str">
        <x:v>TRN-0400</x:v>
      </x:c>
      <x:c r="B401" s="243"/>
      <x:c r="C401" s="243"/>
      <x:c r="D401" s="243"/>
      <x:c r="E401" s="243"/>
      <x:c r="F401" s="14" t="str">
        <x:v>Recruiter B</x:v>
      </x:c>
      <x:c r="G401" s="14" t="str">
        <x:v>Training Center A</x:v>
      </x:c>
      <x:c r="H401" s="28">
        <x:v>45484</x:v>
      </x:c>
      <x:c r="I401" s="14">
        <x:v>2024</x:v>
      </x:c>
      <x:c r="J401" s="14" t="s">
        <x:v>133</x:v>
      </x:c>
      <x:c r="K401" s="14">
        <x:v>26</x:v>
      </x:c>
      <x:c r="L401" s="29" t="s">
        <x:v>101</x:v>
      </x:c>
      <x:c r="M401" s="28">
        <x:v>45477</x:v>
      </x:c>
      <x:c r="N401" s="14"/>
      <x:c r="O401" s="14">
        <x:v>774</x:v>
      </x:c>
      <x:c r="P401" s="14" t="s">
        <x:v>122</x:v>
      </x:c>
      <x:c r="Q401" s="14" t="s">
        <x:v>25</x:v>
      </x:c>
      <x:c r="R401" s="14"/>
      <x:c r="S401" s="14" t="s">
        <x:v>108</x:v>
      </x:c>
      <x:c r="T401" s="14" t="str">
        <x:v>Region D</x:v>
      </x:c>
      <x:c r="U401" s="28">
        <x:v>45484</x:v>
      </x:c>
      <x:c r="V401" s="30">
        <x:v>0</x:v>
      </x:c>
      <x:c r="W401" s="14" t="s">
        <x:v>109</x:v>
      </x:c>
      <x:c r="X401" s="14" t="s">
        <x:v>106</x:v>
      </x:c>
      <x:c r="Y401" s="32" t="str">
        <x:v>TRN-0400|20240711</x:v>
      </x:c>
      <x:c r="Z401" s="32" t="str" cm="1">
        <x:f t="array" ref="Z40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401" s="33" t="n">
        <x:f>--OR(WorkforceData[[#This Row],[Status]]="Active",WorkforceData[[#This Row],[Promoted]]="Yes",WorkforceData[[#This Row],[Total Days Worked]]&gt;=121)</x:f>
        <x:v>1</x:v>
      </x:c>
      <x:c r="AB401" s="33" t="n">
        <x:f>IF(AND(Q401="Terminated",R401="",O401=0),1,0)</x:f>
        <x:v>0</x:v>
      </x:c>
      <x:c r="AC401" s="33" t="n">
        <x:f>--OR(WorkforceData[[#This Row],[Status]]="Resigned",WorkforceData[[#This Row],[Status After Training]]="Withdrew")</x:f>
        <x:v>0</x:v>
      </x:c>
      <x:c r="AD401" s="34" t="n">
        <x:f>EOMONTH(WorkforceData[[#This Row],[Training Date]],0)</x:f>
        <x:v>45504</x:v>
      </x:c>
      <x:c r="AE401" s="32" t="str">
        <x:f>IF(M401&lt;H401,"Existing Employee",IF(U401="","No Assignment",IF(V401=0,"0 Days",IF(V401&lt;=7,"1-7 Days",IF(V401&lt;=14,"8-14 Days",IF(V401&lt;=21,"15-21 Days","21+ Days"))))))</x:f>
        <x:v>Existing Employee</x:v>
      </x:c>
      <x:c r="AF40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01" s="33" t="n">
        <x:f>--(WorkforceData[[#This Row],[Total Days Worked]]&gt;=121)</x:f>
        <x:v>1</x:v>
      </x:c>
    </x:row>
    <x:row r="402">
      <x:c r="A402" s="236" t="str">
        <x:v>TRN-0401</x:v>
      </x:c>
      <x:c r="B402" s="243"/>
      <x:c r="C402" s="243"/>
      <x:c r="D402" s="243"/>
      <x:c r="E402" s="243"/>
      <x:c r="F402" s="14" t="str">
        <x:v>Recruiter B</x:v>
      </x:c>
      <x:c r="G402" s="14" t="str">
        <x:v>Training Center A</x:v>
      </x:c>
      <x:c r="H402" s="28">
        <x:v>45484</x:v>
      </x:c>
      <x:c r="I402" s="14">
        <x:v>2024</x:v>
      </x:c>
      <x:c r="J402" s="14" t="s">
        <x:v>133</x:v>
      </x:c>
      <x:c r="K402" s="14">
        <x:v>26</x:v>
      </x:c>
      <x:c r="L402" s="29" t="s">
        <x:v>101</x:v>
      </x:c>
      <x:c r="M402" s="28">
        <x:v>45482</x:v>
      </x:c>
      <x:c r="N402" s="28">
        <x:v>45485</x:v>
      </x:c>
      <x:c r="O402" s="14">
        <x:v>3</x:v>
      </x:c>
      <x:c r="P402" s="14" t="s">
        <x:v>102</x:v>
      </x:c>
      <x:c r="Q402" s="14" t="s">
        <x:v>103</x:v>
      </x:c>
      <x:c r="R402" s="14" t="s">
        <x:v>104</x:v>
      </x:c>
      <x:c r="S402" s="14" t="s">
        <x:v>105</x:v>
      </x:c>
      <x:c r="T402" s="14" t="str">
        <x:v>Region E</x:v>
      </x:c>
      <x:c r="U402" s="28">
        <x:v>45485</x:v>
      </x:c>
      <x:c r="V402" s="30">
        <x:v>1</x:v>
      </x:c>
      <x:c r="W402" s="14" t="s">
        <x:v>109</x:v>
      </x:c>
      <x:c r="X402" s="14" t="s">
        <x:v>106</x:v>
      </x:c>
      <x:c r="Y402" s="32" t="str">
        <x:v>TRN-0401|20240711</x:v>
      </x:c>
      <x:c r="Z402" s="32" t="str" cm="1">
        <x:f t="array" ref="Z40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402" s="33" t="n">
        <x:f>--OR(WorkforceData[[#This Row],[Status]]="Active",WorkforceData[[#This Row],[Promoted]]="Yes",WorkforceData[[#This Row],[Total Days Worked]]&gt;=121)</x:f>
        <x:v>0</x:v>
      </x:c>
      <x:c r="AB402" s="33" t="n">
        <x:f>IF(AND(Q402="Terminated",R402="",O402=0),1,0)</x:f>
        <x:v>0</x:v>
      </x:c>
      <x:c r="AC402" s="33" t="n">
        <x:f>--OR(WorkforceData[[#This Row],[Status]]="Resigned",WorkforceData[[#This Row],[Status After Training]]="Withdrew")</x:f>
        <x:v>1</x:v>
      </x:c>
      <x:c r="AD402" s="34" t="n">
        <x:f>EOMONTH(WorkforceData[[#This Row],[Training Date]],0)</x:f>
        <x:v>45504</x:v>
      </x:c>
      <x:c r="AE402" s="32" t="str">
        <x:f>IF(M402&lt;H402,"Existing Employee",IF(U402="","No Assignment",IF(V402=0,"0 Days",IF(V402&lt;=7,"1-7 Days",IF(V402&lt;=14,"8-14 Days",IF(V402&lt;=21,"15-21 Days","21+ Days"))))))</x:f>
        <x:v>Existing Employee</x:v>
      </x:c>
      <x:c r="AF40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1-7 Days</x:v>
      </x:c>
      <x:c r="AG402" s="33" t="n">
        <x:f>--(WorkforceData[[#This Row],[Total Days Worked]]&gt;=121)</x:f>
        <x:v>0</x:v>
      </x:c>
    </x:row>
    <x:row r="403">
      <x:c r="A403" s="236" t="str">
        <x:v>TRN-0402</x:v>
      </x:c>
      <x:c r="B403" s="243"/>
      <x:c r="C403" s="243"/>
      <x:c r="D403" s="243"/>
      <x:c r="E403" s="243"/>
      <x:c r="F403" s="14" t="str">
        <x:v>Recruiter G</x:v>
      </x:c>
      <x:c r="G403" s="14" t="str">
        <x:v>Training Center A</x:v>
      </x:c>
      <x:c r="H403" s="28">
        <x:v>45484</x:v>
      </x:c>
      <x:c r="I403" s="14">
        <x:v>2024</x:v>
      </x:c>
      <x:c r="J403" s="14" t="s">
        <x:v>133</x:v>
      </x:c>
      <x:c r="K403" s="14">
        <x:v>26</x:v>
      </x:c>
      <x:c r="L403" s="29" t="s">
        <x:v>101</x:v>
      </x:c>
      <x:c r="M403" s="28">
        <x:v>45484</x:v>
      </x:c>
      <x:c r="N403" s="14"/>
      <x:c r="O403" s="14">
        <x:v>767</x:v>
      </x:c>
      <x:c r="P403" s="14" t="s">
        <x:v>122</x:v>
      </x:c>
      <x:c r="Q403" s="14" t="s">
        <x:v>25</x:v>
      </x:c>
      <x:c r="R403" s="14"/>
      <x:c r="S403" s="14" t="s">
        <x:v>108</x:v>
      </x:c>
      <x:c r="T403" s="14" t="str">
        <x:v>Region A</x:v>
      </x:c>
      <x:c r="U403" s="28">
        <x:v>45489</x:v>
      </x:c>
      <x:c r="V403" s="30">
        <x:v>5</x:v>
      </x:c>
      <x:c r="W403" s="14" t="s">
        <x:v>109</x:v>
      </x:c>
      <x:c r="X403" s="14" t="s">
        <x:v>106</x:v>
      </x:c>
      <x:c r="Y403" s="32" t="str">
        <x:v>TRN-0402|20240711</x:v>
      </x:c>
      <x:c r="Z403" s="32" t="str" cm="1">
        <x:f t="array" ref="Z40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403" s="33" t="n">
        <x:f>--OR(WorkforceData[[#This Row],[Status]]="Active",WorkforceData[[#This Row],[Promoted]]="Yes",WorkforceData[[#This Row],[Total Days Worked]]&gt;=121)</x:f>
        <x:v>1</x:v>
      </x:c>
      <x:c r="AB403" s="33" t="n">
        <x:f>IF(AND(Q403="Terminated",R403="",O403=0),1,0)</x:f>
        <x:v>0</x:v>
      </x:c>
      <x:c r="AC403" s="33" t="n">
        <x:f>--OR(WorkforceData[[#This Row],[Status]]="Resigned",WorkforceData[[#This Row],[Status After Training]]="Withdrew")</x:f>
        <x:v>0</x:v>
      </x:c>
      <x:c r="AD403" s="34" t="n">
        <x:f>EOMONTH(WorkforceData[[#This Row],[Training Date]],0)</x:f>
        <x:v>45504</x:v>
      </x:c>
      <x:c r="AE403" s="32" t="str">
        <x:f>IF(M403&lt;H403,"Existing Employee",IF(U403="","No Assignment",IF(V403=0,"0 Days",IF(V403&lt;=7,"1-7 Days",IF(V403&lt;=14,"8-14 Days",IF(V403&lt;=21,"15-21 Days","21+ Days"))))))</x:f>
        <x:v>1-7 Days</x:v>
      </x:c>
      <x:c r="AF40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03" s="33" t="n">
        <x:f>--(WorkforceData[[#This Row],[Total Days Worked]]&gt;=121)</x:f>
        <x:v>1</x:v>
      </x:c>
    </x:row>
    <x:row r="404">
      <x:c r="A404" s="236" t="str">
        <x:v>TRN-0403</x:v>
      </x:c>
      <x:c r="B404" s="243"/>
      <x:c r="C404" s="243"/>
      <x:c r="D404" s="243"/>
      <x:c r="E404" s="243"/>
      <x:c r="F404" s="14" t="str">
        <x:v>Recruiter F</x:v>
      </x:c>
      <x:c r="G404" s="14" t="str">
        <x:v>Training Center A</x:v>
      </x:c>
      <x:c r="H404" s="28">
        <x:v>45484</x:v>
      </x:c>
      <x:c r="I404" s="14">
        <x:v>2024</x:v>
      </x:c>
      <x:c r="J404" s="14" t="s">
        <x:v>133</x:v>
      </x:c>
      <x:c r="K404" s="14">
        <x:v>26</x:v>
      </x:c>
      <x:c r="L404" s="29" t="s">
        <x:v>101</x:v>
      </x:c>
      <x:c r="M404" s="28">
        <x:v>45484</x:v>
      </x:c>
      <x:c r="N404" s="14"/>
      <x:c r="O404" s="14">
        <x:v>767</x:v>
      </x:c>
      <x:c r="P404" s="14" t="s">
        <x:v>122</x:v>
      </x:c>
      <x:c r="Q404" s="14" t="s">
        <x:v>25</x:v>
      </x:c>
      <x:c r="R404" s="14"/>
      <x:c r="S404" s="14" t="s">
        <x:v>108</x:v>
      </x:c>
      <x:c r="T404" s="14" t="str">
        <x:v>Region D</x:v>
      </x:c>
      <x:c r="U404" s="28">
        <x:v>45491</x:v>
      </x:c>
      <x:c r="V404" s="30">
        <x:v>7</x:v>
      </x:c>
      <x:c r="W404" s="14" t="s">
        <x:v>109</x:v>
      </x:c>
      <x:c r="X404" s="14" t="s">
        <x:v>106</x:v>
      </x:c>
      <x:c r="Y404" s="32" t="str">
        <x:v>TRN-0403|20240711</x:v>
      </x:c>
      <x:c r="Z404" s="32" t="str" cm="1">
        <x:f t="array" ref="Z40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404" s="33" t="n">
        <x:f>--OR(WorkforceData[[#This Row],[Status]]="Active",WorkforceData[[#This Row],[Promoted]]="Yes",WorkforceData[[#This Row],[Total Days Worked]]&gt;=121)</x:f>
        <x:v>1</x:v>
      </x:c>
      <x:c r="AB404" s="33" t="n">
        <x:f>IF(AND(Q404="Terminated",R404="",O404=0),1,0)</x:f>
        <x:v>0</x:v>
      </x:c>
      <x:c r="AC404" s="33" t="n">
        <x:f>--OR(WorkforceData[[#This Row],[Status]]="Resigned",WorkforceData[[#This Row],[Status After Training]]="Withdrew")</x:f>
        <x:v>0</x:v>
      </x:c>
      <x:c r="AD404" s="34" t="n">
        <x:f>EOMONTH(WorkforceData[[#This Row],[Training Date]],0)</x:f>
        <x:v>45504</x:v>
      </x:c>
      <x:c r="AE404" s="32" t="str">
        <x:f>IF(M404&lt;H404,"Existing Employee",IF(U404="","No Assignment",IF(V404=0,"0 Days",IF(V404&lt;=7,"1-7 Days",IF(V404&lt;=14,"8-14 Days",IF(V404&lt;=21,"15-21 Days","21+ Days"))))))</x:f>
        <x:v>1-7 Days</x:v>
      </x:c>
      <x:c r="AF40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04" s="33" t="n">
        <x:f>--(WorkforceData[[#This Row],[Total Days Worked]]&gt;=121)</x:f>
        <x:v>1</x:v>
      </x:c>
    </x:row>
    <x:row r="405">
      <x:c r="A405" s="236" t="str">
        <x:v>TRN-0404</x:v>
      </x:c>
      <x:c r="B405" s="243"/>
      <x:c r="C405" s="243"/>
      <x:c r="D405" s="243"/>
      <x:c r="E405" s="243"/>
      <x:c r="F405" s="14" t="str">
        <x:v>Recruiter D</x:v>
      </x:c>
      <x:c r="G405" s="14" t="str">
        <x:v>Training Center A</x:v>
      </x:c>
      <x:c r="H405" s="28">
        <x:v>45484</x:v>
      </x:c>
      <x:c r="I405" s="14">
        <x:v>2024</x:v>
      </x:c>
      <x:c r="J405" s="14" t="s">
        <x:v>133</x:v>
      </x:c>
      <x:c r="K405" s="14">
        <x:v>26</x:v>
      </x:c>
      <x:c r="L405" s="29" t="s">
        <x:v>101</x:v>
      </x:c>
      <x:c r="M405" s="28">
        <x:v>45474</x:v>
      </x:c>
      <x:c r="N405" s="28">
        <x:v>45565</x:v>
      </x:c>
      <x:c r="O405" s="14">
        <x:v>91</x:v>
      </x:c>
      <x:c r="P405" s="14" t="s">
        <x:v>113</x:v>
      </x:c>
      <x:c r="Q405" s="14" t="s">
        <x:v>33</x:v>
      </x:c>
      <x:c r="R405" s="14" t="s">
        <x:v>121</x:v>
      </x:c>
      <x:c r="S405" s="14" t="s">
        <x:v>105</x:v>
      </x:c>
      <x:c r="T405" s="14" t="str">
        <x:v>Region C</x:v>
      </x:c>
      <x:c r="U405" s="28">
        <x:v>45488</x:v>
      </x:c>
      <x:c r="V405" s="30">
        <x:v>4</x:v>
      </x:c>
      <x:c r="W405" s="14" t="s">
        <x:v>109</x:v>
      </x:c>
      <x:c r="X405" s="14" t="s">
        <x:v>125</x:v>
      </x:c>
      <x:c r="Y405" s="32" t="str">
        <x:v>TRN-0404|20240711</x:v>
      </x:c>
      <x:c r="Z405" s="32" t="str" cm="1">
        <x:f t="array" ref="Z40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405" s="33" t="n">
        <x:f>--OR(WorkforceData[[#This Row],[Status]]="Active",WorkforceData[[#This Row],[Promoted]]="Yes",WorkforceData[[#This Row],[Total Days Worked]]&gt;=121)</x:f>
        <x:v>0</x:v>
      </x:c>
      <x:c r="AB405" s="33" t="n">
        <x:f>IF(AND(Q405="Terminated",R405="",O405=0),1,0)</x:f>
        <x:v>0</x:v>
      </x:c>
      <x:c r="AC405" s="33" t="n">
        <x:f>--OR(WorkforceData[[#This Row],[Status]]="Resigned",WorkforceData[[#This Row],[Status After Training]]="Withdrew")</x:f>
        <x:v>0</x:v>
      </x:c>
      <x:c r="AD405" s="34" t="n">
        <x:f>EOMONTH(WorkforceData[[#This Row],[Training Date]],0)</x:f>
        <x:v>45504</x:v>
      </x:c>
      <x:c r="AE405" s="32" t="str">
        <x:f>IF(M405&lt;H405,"Existing Employee",IF(U405="","No Assignment",IF(V405=0,"0 Days",IF(V405&lt;=7,"1-7 Days",IF(V405&lt;=14,"8-14 Days",IF(V405&lt;=21,"15-21 Days","21+ Days"))))))</x:f>
        <x:v>Existing Employee</x:v>
      </x:c>
      <x:c r="AF40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91-120 Days</x:v>
      </x:c>
      <x:c r="AG405" s="33" t="n">
        <x:f>--(WorkforceData[[#This Row],[Total Days Worked]]&gt;=121)</x:f>
        <x:v>0</x:v>
      </x:c>
    </x:row>
    <x:row r="406">
      <x:c r="A406" s="236" t="str">
        <x:v>TRN-0405</x:v>
      </x:c>
      <x:c r="B406" s="243"/>
      <x:c r="C406" s="243"/>
      <x:c r="D406" s="243"/>
      <x:c r="E406" s="243"/>
      <x:c r="F406" s="14" t="str">
        <x:v>Recruiter A</x:v>
      </x:c>
      <x:c r="G406" s="14" t="str">
        <x:v>Training Center A</x:v>
      </x:c>
      <x:c r="H406" s="28">
        <x:v>45484</x:v>
      </x:c>
      <x:c r="I406" s="14">
        <x:v>2024</x:v>
      </x:c>
      <x:c r="J406" s="14" t="s">
        <x:v>133</x:v>
      </x:c>
      <x:c r="K406" s="14">
        <x:v>26</x:v>
      </x:c>
      <x:c r="L406" s="29" t="s">
        <x:v>101</x:v>
      </x:c>
      <x:c r="M406" s="28">
        <x:v>45482</x:v>
      </x:c>
      <x:c r="N406" s="28">
        <x:v>45573</x:v>
      </x:c>
      <x:c r="O406" s="14">
        <x:v>91</x:v>
      </x:c>
      <x:c r="P406" s="14" t="s">
        <x:v>113</x:v>
      </x:c>
      <x:c r="Q406" s="14" t="s">
        <x:v>103</x:v>
      </x:c>
      <x:c r="R406" s="14" t="s">
        <x:v>104</x:v>
      </x:c>
      <x:c r="S406" s="14" t="s">
        <x:v>105</x:v>
      </x:c>
      <x:c r="T406" s="14" t="str">
        <x:v>Region E</x:v>
      </x:c>
      <x:c r="U406" s="28">
        <x:v>45515</x:v>
      </x:c>
      <x:c r="V406" s="30">
        <x:v>31</x:v>
      </x:c>
      <x:c r="W406" s="14" t="s">
        <x:v>63</x:v>
      </x:c>
      <x:c r="X406" s="14" t="s">
        <x:v>117</x:v>
      </x:c>
      <x:c r="Y406" s="32" t="str">
        <x:v>TRN-0405|20240711</x:v>
      </x:c>
      <x:c r="Z406" s="32" t="str" cm="1">
        <x:f t="array" ref="Z40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406" s="33" t="n">
        <x:f>--OR(WorkforceData[[#This Row],[Status]]="Active",WorkforceData[[#This Row],[Promoted]]="Yes",WorkforceData[[#This Row],[Total Days Worked]]&gt;=121)</x:f>
        <x:v>0</x:v>
      </x:c>
      <x:c r="AB406" s="33" t="n">
        <x:f>IF(AND(Q406="Terminated",R406="",O406=0),1,0)</x:f>
        <x:v>0</x:v>
      </x:c>
      <x:c r="AC406" s="33" t="n">
        <x:f>--OR(WorkforceData[[#This Row],[Status]]="Resigned",WorkforceData[[#This Row],[Status After Training]]="Withdrew")</x:f>
        <x:v>1</x:v>
      </x:c>
      <x:c r="AD406" s="34" t="n">
        <x:f>EOMONTH(WorkforceData[[#This Row],[Training Date]],0)</x:f>
        <x:v>45504</x:v>
      </x:c>
      <x:c r="AE406" s="32" t="str">
        <x:f>IF(M406&lt;H406,"Existing Employee",IF(U406="","No Assignment",IF(V406=0,"0 Days",IF(V406&lt;=7,"1-7 Days",IF(V406&lt;=14,"8-14 Days",IF(V406&lt;=21,"15-21 Days","21+ Days"))))))</x:f>
        <x:v>Existing Employee</x:v>
      </x:c>
      <x:c r="AF40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91-120 Days</x:v>
      </x:c>
      <x:c r="AG406" s="33" t="n">
        <x:f>--(WorkforceData[[#This Row],[Total Days Worked]]&gt;=121)</x:f>
        <x:v>0</x:v>
      </x:c>
    </x:row>
    <x:row r="407">
      <x:c r="A407" s="236" t="str">
        <x:v>TRN-0406</x:v>
      </x:c>
      <x:c r="B407" s="243"/>
      <x:c r="C407" s="243"/>
      <x:c r="D407" s="243"/>
      <x:c r="E407" s="243"/>
      <x:c r="F407" s="14" t="str">
        <x:v>Recruiter B</x:v>
      </x:c>
      <x:c r="G407" s="14" t="str">
        <x:v>Training Center A</x:v>
      </x:c>
      <x:c r="H407" s="28">
        <x:v>45484</x:v>
      </x:c>
      <x:c r="I407" s="14">
        <x:v>2024</x:v>
      </x:c>
      <x:c r="J407" s="14" t="s">
        <x:v>133</x:v>
      </x:c>
      <x:c r="K407" s="14">
        <x:v>26</x:v>
      </x:c>
      <x:c r="L407" s="29" t="s">
        <x:v>101</x:v>
      </x:c>
      <x:c r="M407" s="28">
        <x:v>45484</x:v>
      </x:c>
      <x:c r="N407" s="14"/>
      <x:c r="O407" s="14">
        <x:v>767</x:v>
      </x:c>
      <x:c r="P407" s="14" t="s">
        <x:v>122</x:v>
      </x:c>
      <x:c r="Q407" s="14" t="s">
        <x:v>25</x:v>
      </x:c>
      <x:c r="R407" s="14"/>
      <x:c r="S407" s="14" t="s">
        <x:v>108</x:v>
      </x:c>
      <x:c r="T407" s="14" t="str">
        <x:v>Region C</x:v>
      </x:c>
      <x:c r="U407" s="28">
        <x:v>45507</x:v>
      </x:c>
      <x:c r="V407" s="30">
        <x:v>23</x:v>
      </x:c>
      <x:c r="W407" s="14" t="s">
        <x:v>112</x:v>
      </x:c>
      <x:c r="X407" s="14" t="s">
        <x:v>106</x:v>
      </x:c>
      <x:c r="Y407" s="32" t="str">
        <x:v>TRN-0406|20240711</x:v>
      </x:c>
      <x:c r="Z407" s="32" t="str" cm="1">
        <x:f t="array" ref="Z40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407" s="33" t="n">
        <x:f>--OR(WorkforceData[[#This Row],[Status]]="Active",WorkforceData[[#This Row],[Promoted]]="Yes",WorkforceData[[#This Row],[Total Days Worked]]&gt;=121)</x:f>
        <x:v>1</x:v>
      </x:c>
      <x:c r="AB407" s="33" t="n">
        <x:f>IF(AND(Q407="Terminated",R407="",O407=0),1,0)</x:f>
        <x:v>0</x:v>
      </x:c>
      <x:c r="AC407" s="33" t="n">
        <x:f>--OR(WorkforceData[[#This Row],[Status]]="Resigned",WorkforceData[[#This Row],[Status After Training]]="Withdrew")</x:f>
        <x:v>0</x:v>
      </x:c>
      <x:c r="AD407" s="34" t="n">
        <x:f>EOMONTH(WorkforceData[[#This Row],[Training Date]],0)</x:f>
        <x:v>45504</x:v>
      </x:c>
      <x:c r="AE407" s="32" t="str">
        <x:f>IF(M407&lt;H407,"Existing Employee",IF(U407="","No Assignment",IF(V407=0,"0 Days",IF(V407&lt;=7,"1-7 Days",IF(V407&lt;=14,"8-14 Days",IF(V407&lt;=21,"15-21 Days","21+ Days"))))))</x:f>
        <x:v>21+ Days</x:v>
      </x:c>
      <x:c r="AF40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07" s="33" t="n">
        <x:f>--(WorkforceData[[#This Row],[Total Days Worked]]&gt;=121)</x:f>
        <x:v>1</x:v>
      </x:c>
    </x:row>
    <x:row r="408">
      <x:c r="A408" s="236" t="str">
        <x:v>TRN-0407</x:v>
      </x:c>
      <x:c r="B408" s="243"/>
      <x:c r="C408" s="243"/>
      <x:c r="D408" s="243"/>
      <x:c r="E408" s="243"/>
      <x:c r="F408" s="14" t="str">
        <x:v>Recruiter G</x:v>
      </x:c>
      <x:c r="G408" s="14" t="str">
        <x:v>Training Center A</x:v>
      </x:c>
      <x:c r="H408" s="28">
        <x:v>45744</x:v>
      </x:c>
      <x:c r="I408" s="14">
        <x:v>2025</x:v>
      </x:c>
      <x:c r="J408" s="14" t="s">
        <x:v>130</x:v>
      </x:c>
      <x:c r="K408" s="14">
        <x:v>10</x:v>
      </x:c>
      <x:c r="L408" s="29" t="s">
        <x:v>132</x:v>
      </x:c>
      <x:c r="M408" s="28">
        <x:v>45743</x:v>
      </x:c>
      <x:c r="N408" s="14"/>
      <x:c r="O408" s="14">
        <x:v>508</x:v>
      </x:c>
      <x:c r="P408" s="14" t="s">
        <x:v>120</x:v>
      </x:c>
      <x:c r="Q408" s="14" t="s">
        <x:v>25</x:v>
      </x:c>
      <x:c r="R408" s="14"/>
      <x:c r="S408" s="14" t="s">
        <x:v>108</x:v>
      </x:c>
      <x:c r="T408" s="14" t="str">
        <x:v>Region A</x:v>
      </x:c>
      <x:c r="U408" s="28">
        <x:v>45749</x:v>
      </x:c>
      <x:c r="V408" s="30">
        <x:v>5</x:v>
      </x:c>
      <x:c r="W408" s="14" t="s">
        <x:v>109</x:v>
      </x:c>
      <x:c r="X408" s="14" t="s">
        <x:v>106</x:v>
      </x:c>
      <x:c r="Y408" s="32" t="str">
        <x:v>TRN-0407|20250328</x:v>
      </x:c>
      <x:c r="Z408" s="32" t="str" cm="1">
        <x:f t="array" ref="Z40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408" s="33" t="n">
        <x:f>--OR(WorkforceData[[#This Row],[Status]]="Active",WorkforceData[[#This Row],[Promoted]]="Yes",WorkforceData[[#This Row],[Total Days Worked]]&gt;=121)</x:f>
        <x:v>1</x:v>
      </x:c>
      <x:c r="AB408" s="33" t="n">
        <x:f>IF(AND(Q408="Terminated",R408="",O408=0),1,0)</x:f>
        <x:v>0</x:v>
      </x:c>
      <x:c r="AC408" s="33" t="n">
        <x:f>--OR(WorkforceData[[#This Row],[Status]]="Resigned",WorkforceData[[#This Row],[Status After Training]]="Withdrew")</x:f>
        <x:v>0</x:v>
      </x:c>
      <x:c r="AD408" s="34" t="n">
        <x:f>EOMONTH(WorkforceData[[#This Row],[Training Date]],0)</x:f>
        <x:v>45747</x:v>
      </x:c>
      <x:c r="AE408" s="32" t="str">
        <x:f>IF(M408&lt;H408,"Existing Employee",IF(U408="","No Assignment",IF(V408=0,"0 Days",IF(V408&lt;=7,"1-7 Days",IF(V408&lt;=14,"8-14 Days",IF(V408&lt;=21,"15-21 Days","21+ Days"))))))</x:f>
        <x:v>Existing Employee</x:v>
      </x:c>
      <x:c r="AF40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08" s="33" t="n">
        <x:f>--(WorkforceData[[#This Row],[Total Days Worked]]&gt;=121)</x:f>
        <x:v>1</x:v>
      </x:c>
    </x:row>
    <x:row r="409">
      <x:c r="A409" s="236" t="str">
        <x:v>TRN-0408</x:v>
      </x:c>
      <x:c r="B409" s="243"/>
      <x:c r="C409" s="243"/>
      <x:c r="D409" s="243"/>
      <x:c r="E409" s="243"/>
      <x:c r="F409" s="14" t="str">
        <x:v>Recruiter E</x:v>
      </x:c>
      <x:c r="G409" s="14" t="str">
        <x:v>Training Center A</x:v>
      </x:c>
      <x:c r="H409" s="28">
        <x:v>45744</x:v>
      </x:c>
      <x:c r="I409" s="14">
        <x:v>2025</x:v>
      </x:c>
      <x:c r="J409" s="14" t="s">
        <x:v>130</x:v>
      </x:c>
      <x:c r="K409" s="14">
        <x:v>10</x:v>
      </x:c>
      <x:c r="L409" s="29" t="s">
        <x:v>132</x:v>
      </x:c>
      <x:c r="M409" s="28">
        <x:v>45744</x:v>
      </x:c>
      <x:c r="N409" s="28">
        <x:v>46251</x:v>
      </x:c>
      <x:c r="O409" s="14">
        <x:v>507</x:v>
      </x:c>
      <x:c r="P409" s="14" t="s">
        <x:v>120</x:v>
      </x:c>
      <x:c r="Q409" s="14" t="s">
        <x:v>103</x:v>
      </x:c>
      <x:c r="R409" s="14" t="s">
        <x:v>104</x:v>
      </x:c>
      <x:c r="S409" s="14" t="s">
        <x:v>108</x:v>
      </x:c>
      <x:c r="T409" s="14" t="str">
        <x:v>Region C</x:v>
      </x:c>
      <x:c r="U409" s="28">
        <x:v>45750</x:v>
      </x:c>
      <x:c r="V409" s="30">
        <x:v>6</x:v>
      </x:c>
      <x:c r="W409" s="14" t="s">
        <x:v>109</x:v>
      </x:c>
      <x:c r="X409" s="14" t="s">
        <x:v>106</x:v>
      </x:c>
      <x:c r="Y409" s="32" t="str">
        <x:v>TRN-0408|20250328</x:v>
      </x:c>
      <x:c r="Z409" s="32" t="str" cm="1">
        <x:f t="array" ref="Z40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409" s="33" t="n">
        <x:f>--OR(WorkforceData[[#This Row],[Status]]="Active",WorkforceData[[#This Row],[Promoted]]="Yes",WorkforceData[[#This Row],[Total Days Worked]]&gt;=121)</x:f>
        <x:v>1</x:v>
      </x:c>
      <x:c r="AB409" s="33" t="n">
        <x:f>IF(AND(Q409="Terminated",R409="",O409=0),1,0)</x:f>
        <x:v>0</x:v>
      </x:c>
      <x:c r="AC409" s="33" t="n">
        <x:f>--OR(WorkforceData[[#This Row],[Status]]="Resigned",WorkforceData[[#This Row],[Status After Training]]="Withdrew")</x:f>
        <x:v>1</x:v>
      </x:c>
      <x:c r="AD409" s="34" t="n">
        <x:f>EOMONTH(WorkforceData[[#This Row],[Training Date]],0)</x:f>
        <x:v>45747</x:v>
      </x:c>
      <x:c r="AE409" s="32" t="str">
        <x:f>IF(M409&lt;H409,"Existing Employee",IF(U409="","No Assignment",IF(V409=0,"0 Days",IF(V409&lt;=7,"1-7 Days",IF(V409&lt;=14,"8-14 Days",IF(V409&lt;=21,"15-21 Days","21+ Days"))))))</x:f>
        <x:v>1-7 Days</x:v>
      </x:c>
      <x:c r="AF40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09" s="33" t="n">
        <x:f>--(WorkforceData[[#This Row],[Total Days Worked]]&gt;=121)</x:f>
        <x:v>1</x:v>
      </x:c>
    </x:row>
    <x:row r="410">
      <x:c r="A410" s="236" t="str">
        <x:v>TRN-0409</x:v>
      </x:c>
      <x:c r="B410" s="243"/>
      <x:c r="C410" s="243"/>
      <x:c r="D410" s="243"/>
      <x:c r="E410" s="243"/>
      <x:c r="F410" s="14" t="str">
        <x:v>Recruiter A</x:v>
      </x:c>
      <x:c r="G410" s="14" t="str">
        <x:v>Training Center A</x:v>
      </x:c>
      <x:c r="H410" s="28">
        <x:v>45744</x:v>
      </x:c>
      <x:c r="I410" s="14">
        <x:v>2025</x:v>
      </x:c>
      <x:c r="J410" s="14" t="s">
        <x:v>130</x:v>
      </x:c>
      <x:c r="K410" s="14">
        <x:v>10</x:v>
      </x:c>
      <x:c r="L410" s="29" t="s">
        <x:v>132</x:v>
      </x:c>
      <x:c r="M410" s="28">
        <x:v>45739</x:v>
      </x:c>
      <x:c r="N410" s="28">
        <x:v>45838</x:v>
      </x:c>
      <x:c r="O410" s="14">
        <x:v>99</x:v>
      </x:c>
      <x:c r="P410" s="14" t="s">
        <x:v>113</x:v>
      </x:c>
      <x:c r="Q410" s="14" t="s">
        <x:v>103</x:v>
      </x:c>
      <x:c r="R410" s="14" t="s">
        <x:v>104</x:v>
      </x:c>
      <x:c r="S410" s="14" t="s">
        <x:v>105</x:v>
      </x:c>
      <x:c r="T410" s="14"/>
      <x:c r="U410" s="28"/>
      <x:c r="V410" s="30"/>
      <x:c r="W410" s="14"/>
      <x:c r="X410" s="14" t="s">
        <x:v>71</x:v>
      </x:c>
      <x:c r="Y410" s="32" t="str">
        <x:v>TRN-0409|20250328</x:v>
      </x:c>
      <x:c r="Z410" s="32" t="str" cm="1">
        <x:f t="array" ref="Z41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410" s="33" t="n">
        <x:f>--OR(WorkforceData[[#This Row],[Status]]="Active",WorkforceData[[#This Row],[Promoted]]="Yes",WorkforceData[[#This Row],[Total Days Worked]]&gt;=121)</x:f>
        <x:v>0</x:v>
      </x:c>
      <x:c r="AB410" s="33" t="n">
        <x:f>IF(AND(Q410="Terminated",R410="",O410=0),1,0)</x:f>
        <x:v>0</x:v>
      </x:c>
      <x:c r="AC410" s="33" t="n">
        <x:f>--OR(WorkforceData[[#This Row],[Status]]="Resigned",WorkforceData[[#This Row],[Status After Training]]="Withdrew")</x:f>
        <x:v>1</x:v>
      </x:c>
      <x:c r="AD410" s="34" t="n">
        <x:f>EOMONTH(WorkforceData[[#This Row],[Training Date]],0)</x:f>
        <x:v>45747</x:v>
      </x:c>
      <x:c r="AE410" s="32" t="str">
        <x:f>IF(M410&lt;H410,"Existing Employee",IF(U410="","No Assignment",IF(V410=0,"0 Days",IF(V410&lt;=7,"1-7 Days",IF(V410&lt;=14,"8-14 Days",IF(V410&lt;=21,"15-21 Days","21+ Days"))))))</x:f>
        <x:v>Existing Employee</x:v>
      </x:c>
      <x:c r="AF41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91-120 Days</x:v>
      </x:c>
      <x:c r="AG410" s="33" t="n">
        <x:f>--(WorkforceData[[#This Row],[Total Days Worked]]&gt;=121)</x:f>
        <x:v>0</x:v>
      </x:c>
    </x:row>
    <x:row r="411">
      <x:c r="A411" s="236" t="str">
        <x:v>TRN-0410</x:v>
      </x:c>
      <x:c r="B411" s="243"/>
      <x:c r="C411" s="243"/>
      <x:c r="D411" s="243"/>
      <x:c r="E411" s="243"/>
      <x:c r="F411" s="14" t="str">
        <x:v>Recruiter C</x:v>
      </x:c>
      <x:c r="G411" s="14" t="str">
        <x:v>Training Center A</x:v>
      </x:c>
      <x:c r="H411" s="28">
        <x:v>45744</x:v>
      </x:c>
      <x:c r="I411" s="14">
        <x:v>2025</x:v>
      </x:c>
      <x:c r="J411" s="14" t="s">
        <x:v>130</x:v>
      </x:c>
      <x:c r="K411" s="14">
        <x:v>10</x:v>
      </x:c>
      <x:c r="L411" s="29" t="s">
        <x:v>132</x:v>
      </x:c>
      <x:c r="M411" s="28">
        <x:v>45744</x:v>
      </x:c>
      <x:c r="N411" s="28">
        <x:v>45776</x:v>
      </x:c>
      <x:c r="O411" s="14">
        <x:v>32</x:v>
      </x:c>
      <x:c r="P411" s="14" t="s">
        <x:v>110</x:v>
      </x:c>
      <x:c r="Q411" s="14" t="s">
        <x:v>33</x:v>
      </x:c>
      <x:c r="R411" s="14" t="s">
        <x:v>124</x:v>
      </x:c>
      <x:c r="S411" s="14" t="s">
        <x:v>105</x:v>
      </x:c>
      <x:c r="T411" s="14" t="str">
        <x:v>Region A</x:v>
      </x:c>
      <x:c r="U411" s="28">
        <x:v>45755</x:v>
      </x:c>
      <x:c r="V411" s="30">
        <x:v>11</x:v>
      </x:c>
      <x:c r="W411" s="14" t="s">
        <x:v>45</x:v>
      </x:c>
      <x:c r="X411" s="14" t="s">
        <x:v>106</x:v>
      </x:c>
      <x:c r="Y411" s="32" t="str">
        <x:v>TRN-0410|20250328</x:v>
      </x:c>
      <x:c r="Z411" s="32" t="str" cm="1">
        <x:f t="array" ref="Z41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411" s="33" t="n">
        <x:f>--OR(WorkforceData[[#This Row],[Status]]="Active",WorkforceData[[#This Row],[Promoted]]="Yes",WorkforceData[[#This Row],[Total Days Worked]]&gt;=121)</x:f>
        <x:v>0</x:v>
      </x:c>
      <x:c r="AB411" s="33" t="n">
        <x:f>IF(AND(Q411="Terminated",R411="",O411=0),1,0)</x:f>
        <x:v>0</x:v>
      </x:c>
      <x:c r="AC411" s="33" t="n">
        <x:f>--OR(WorkforceData[[#This Row],[Status]]="Resigned",WorkforceData[[#This Row],[Status After Training]]="Withdrew")</x:f>
        <x:v>0</x:v>
      </x:c>
      <x:c r="AD411" s="34" t="n">
        <x:f>EOMONTH(WorkforceData[[#This Row],[Training Date]],0)</x:f>
        <x:v>45747</x:v>
      </x:c>
      <x:c r="AE411" s="32" t="str">
        <x:f>IF(M411&lt;H411,"Existing Employee",IF(U411="","No Assignment",IF(V411=0,"0 Days",IF(V411&lt;=7,"1-7 Days",IF(V411&lt;=14,"8-14 Days",IF(V411&lt;=21,"15-21 Days","21+ Days"))))))</x:f>
        <x:v>8-14 Days</x:v>
      </x:c>
      <x:c r="AF41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411" s="33" t="n">
        <x:f>--(WorkforceData[[#This Row],[Total Days Worked]]&gt;=121)</x:f>
        <x:v>0</x:v>
      </x:c>
    </x:row>
    <x:row r="412">
      <x:c r="A412" s="236" t="str">
        <x:v>TRN-0411</x:v>
      </x:c>
      <x:c r="B412" s="243"/>
      <x:c r="C412" s="243"/>
      <x:c r="D412" s="243"/>
      <x:c r="E412" s="243"/>
      <x:c r="F412" s="14" t="str">
        <x:v>Recruiter G</x:v>
      </x:c>
      <x:c r="G412" s="14" t="str">
        <x:v>Training Center A</x:v>
      </x:c>
      <x:c r="H412" s="28">
        <x:v>45744</x:v>
      </x:c>
      <x:c r="I412" s="14">
        <x:v>2025</x:v>
      </x:c>
      <x:c r="J412" s="14" t="s">
        <x:v>130</x:v>
      </x:c>
      <x:c r="K412" s="14">
        <x:v>10</x:v>
      </x:c>
      <x:c r="L412" s="29" t="s">
        <x:v>132</x:v>
      </x:c>
      <x:c r="M412" s="28">
        <x:v>45742</x:v>
      </x:c>
      <x:c r="N412" s="28">
        <x:v>46087</x:v>
      </x:c>
      <x:c r="O412" s="14">
        <x:v>345</x:v>
      </x:c>
      <x:c r="P412" s="14" t="s">
        <x:v>107</x:v>
      </x:c>
      <x:c r="Q412" s="14" t="s">
        <x:v>103</x:v>
      </x:c>
      <x:c r="R412" s="14" t="s">
        <x:v>104</x:v>
      </x:c>
      <x:c r="S412" s="14" t="s">
        <x:v>108</x:v>
      </x:c>
      <x:c r="T412" s="14" t="str">
        <x:v>Region C</x:v>
      </x:c>
      <x:c r="U412" s="28">
        <x:v>45750</x:v>
      </x:c>
      <x:c r="V412" s="30">
        <x:v>6</x:v>
      </x:c>
      <x:c r="W412" s="14" t="s">
        <x:v>109</x:v>
      </x:c>
      <x:c r="X412" s="14" t="s">
        <x:v>106</x:v>
      </x:c>
      <x:c r="Y412" s="32" t="str">
        <x:v>TRN-0411|20250328</x:v>
      </x:c>
      <x:c r="Z412" s="32" t="str" cm="1">
        <x:f t="array" ref="Z41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412" s="33" t="n">
        <x:f>--OR(WorkforceData[[#This Row],[Status]]="Active",WorkforceData[[#This Row],[Promoted]]="Yes",WorkforceData[[#This Row],[Total Days Worked]]&gt;=121)</x:f>
        <x:v>1</x:v>
      </x:c>
      <x:c r="AB412" s="33" t="n">
        <x:f>IF(AND(Q412="Terminated",R412="",O412=0),1,0)</x:f>
        <x:v>0</x:v>
      </x:c>
      <x:c r="AC412" s="33" t="n">
        <x:f>--OR(WorkforceData[[#This Row],[Status]]="Resigned",WorkforceData[[#This Row],[Status After Training]]="Withdrew")</x:f>
        <x:v>1</x:v>
      </x:c>
      <x:c r="AD412" s="34" t="n">
        <x:f>EOMONTH(WorkforceData[[#This Row],[Training Date]],0)</x:f>
        <x:v>45747</x:v>
      </x:c>
      <x:c r="AE412" s="32" t="str">
        <x:f>IF(M412&lt;H412,"Existing Employee",IF(U412="","No Assignment",IF(V412=0,"0 Days",IF(V412&lt;=7,"1-7 Days",IF(V412&lt;=14,"8-14 Days",IF(V412&lt;=21,"15-21 Days","21+ Days"))))))</x:f>
        <x:v>Existing Employee</x:v>
      </x:c>
      <x:c r="AF41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12" s="33" t="n">
        <x:f>--(WorkforceData[[#This Row],[Total Days Worked]]&gt;=121)</x:f>
        <x:v>1</x:v>
      </x:c>
    </x:row>
    <x:row r="413">
      <x:c r="A413" s="236" t="str">
        <x:v>TRN-0412</x:v>
      </x:c>
      <x:c r="B413" s="243"/>
      <x:c r="C413" s="243"/>
      <x:c r="D413" s="243"/>
      <x:c r="E413" s="243"/>
      <x:c r="F413" s="14" t="str">
        <x:v>Recruiter D</x:v>
      </x:c>
      <x:c r="G413" s="14" t="str">
        <x:v>Training Center A</x:v>
      </x:c>
      <x:c r="H413" s="28">
        <x:v>45744</x:v>
      </x:c>
      <x:c r="I413" s="14">
        <x:v>2025</x:v>
      </x:c>
      <x:c r="J413" s="14" t="s">
        <x:v>130</x:v>
      </x:c>
      <x:c r="K413" s="14">
        <x:v>10</x:v>
      </x:c>
      <x:c r="L413" s="29" t="s">
        <x:v>132</x:v>
      </x:c>
      <x:c r="M413" s="28">
        <x:v>45744</x:v>
      </x:c>
      <x:c r="N413" s="28">
        <x:v>45798</x:v>
      </x:c>
      <x:c r="O413" s="14">
        <x:v>54</x:v>
      </x:c>
      <x:c r="P413" s="14" t="s">
        <x:v>110</x:v>
      </x:c>
      <x:c r="Q413" s="14" t="s">
        <x:v>33</x:v>
      </x:c>
      <x:c r="R413" s="14" t="s">
        <x:v>124</x:v>
      </x:c>
      <x:c r="S413" s="14" t="s">
        <x:v>105</x:v>
      </x:c>
      <x:c r="T413" s="14" t="str">
        <x:v>Region A</x:v>
      </x:c>
      <x:c r="U413" s="28">
        <x:v>45761</x:v>
      </x:c>
      <x:c r="V413" s="30">
        <x:v>17</x:v>
      </x:c>
      <x:c r="W413" s="14" t="s">
        <x:v>112</x:v>
      </x:c>
      <x:c r="X413" s="14" t="s">
        <x:v>106</x:v>
      </x:c>
      <x:c r="Y413" s="32" t="str">
        <x:v>TRN-0412|20250328</x:v>
      </x:c>
      <x:c r="Z413" s="32" t="str" cm="1">
        <x:f t="array" ref="Z41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413" s="33" t="n">
        <x:f>--OR(WorkforceData[[#This Row],[Status]]="Active",WorkforceData[[#This Row],[Promoted]]="Yes",WorkforceData[[#This Row],[Total Days Worked]]&gt;=121)</x:f>
        <x:v>0</x:v>
      </x:c>
      <x:c r="AB413" s="33" t="n">
        <x:f>IF(AND(Q413="Terminated",R413="",O413=0),1,0)</x:f>
        <x:v>0</x:v>
      </x:c>
      <x:c r="AC413" s="33" t="n">
        <x:f>--OR(WorkforceData[[#This Row],[Status]]="Resigned",WorkforceData[[#This Row],[Status After Training]]="Withdrew")</x:f>
        <x:v>0</x:v>
      </x:c>
      <x:c r="AD413" s="34" t="n">
        <x:f>EOMONTH(WorkforceData[[#This Row],[Training Date]],0)</x:f>
        <x:v>45747</x:v>
      </x:c>
      <x:c r="AE413" s="32" t="str">
        <x:f>IF(M413&lt;H413,"Existing Employee",IF(U413="","No Assignment",IF(V413=0,"0 Days",IF(V413&lt;=7,"1-7 Days",IF(V413&lt;=14,"8-14 Days",IF(V413&lt;=21,"15-21 Days","21+ Days"))))))</x:f>
        <x:v>15-21 Days</x:v>
      </x:c>
      <x:c r="AF41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413" s="33" t="n">
        <x:f>--(WorkforceData[[#This Row],[Total Days Worked]]&gt;=121)</x:f>
        <x:v>0</x:v>
      </x:c>
    </x:row>
    <x:row r="414">
      <x:c r="A414" s="236" t="str">
        <x:v>TRN-0413</x:v>
      </x:c>
      <x:c r="B414" s="243"/>
      <x:c r="C414" s="243"/>
      <x:c r="D414" s="243"/>
      <x:c r="E414" s="243"/>
      <x:c r="F414" s="14" t="str">
        <x:v>Recruiter C</x:v>
      </x:c>
      <x:c r="G414" s="14" t="str">
        <x:v>Training Center A</x:v>
      </x:c>
      <x:c r="H414" s="28">
        <x:v>45744</x:v>
      </x:c>
      <x:c r="I414" s="14">
        <x:v>2025</x:v>
      </x:c>
      <x:c r="J414" s="14" t="s">
        <x:v>130</x:v>
      </x:c>
      <x:c r="K414" s="14">
        <x:v>10</x:v>
      </x:c>
      <x:c r="L414" s="29" t="s">
        <x:v>132</x:v>
      </x:c>
      <x:c r="M414" s="28">
        <x:v>45741</x:v>
      </x:c>
      <x:c r="N414" s="14"/>
      <x:c r="O414" s="14">
        <x:v>510</x:v>
      </x:c>
      <x:c r="P414" s="14" t="s">
        <x:v>120</x:v>
      </x:c>
      <x:c r="Q414" s="14" t="s">
        <x:v>25</x:v>
      </x:c>
      <x:c r="R414" s="14"/>
      <x:c r="S414" s="14" t="s">
        <x:v>108</x:v>
      </x:c>
      <x:c r="T414" s="14" t="str">
        <x:v>Region D</x:v>
      </x:c>
      <x:c r="U414" s="28">
        <x:v>45751</x:v>
      </x:c>
      <x:c r="V414" s="30">
        <x:v>7</x:v>
      </x:c>
      <x:c r="W414" s="14" t="s">
        <x:v>109</x:v>
      </x:c>
      <x:c r="X414" s="14" t="s">
        <x:v>106</x:v>
      </x:c>
      <x:c r="Y414" s="32" t="str">
        <x:v>TRN-0413|20250328</x:v>
      </x:c>
      <x:c r="Z414" s="32" t="str" cm="1">
        <x:f t="array" ref="Z41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414" s="33" t="n">
        <x:f>--OR(WorkforceData[[#This Row],[Status]]="Active",WorkforceData[[#This Row],[Promoted]]="Yes",WorkforceData[[#This Row],[Total Days Worked]]&gt;=121)</x:f>
        <x:v>1</x:v>
      </x:c>
      <x:c r="AB414" s="33" t="n">
        <x:f>IF(AND(Q414="Terminated",R414="",O414=0),1,0)</x:f>
        <x:v>0</x:v>
      </x:c>
      <x:c r="AC414" s="33" t="n">
        <x:f>--OR(WorkforceData[[#This Row],[Status]]="Resigned",WorkforceData[[#This Row],[Status After Training]]="Withdrew")</x:f>
        <x:v>0</x:v>
      </x:c>
      <x:c r="AD414" s="34" t="n">
        <x:f>EOMONTH(WorkforceData[[#This Row],[Training Date]],0)</x:f>
        <x:v>45747</x:v>
      </x:c>
      <x:c r="AE414" s="32" t="str">
        <x:f>IF(M414&lt;H414,"Existing Employee",IF(U414="","No Assignment",IF(V414=0,"0 Days",IF(V414&lt;=7,"1-7 Days",IF(V414&lt;=14,"8-14 Days",IF(V414&lt;=21,"15-21 Days","21+ Days"))))))</x:f>
        <x:v>Existing Employee</x:v>
      </x:c>
      <x:c r="AF41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14" s="33" t="n">
        <x:f>--(WorkforceData[[#This Row],[Total Days Worked]]&gt;=121)</x:f>
        <x:v>1</x:v>
      </x:c>
    </x:row>
    <x:row r="415">
      <x:c r="A415" s="236" t="str">
        <x:v>TRN-0414</x:v>
      </x:c>
      <x:c r="B415" s="243"/>
      <x:c r="C415" s="243"/>
      <x:c r="D415" s="243"/>
      <x:c r="E415" s="243"/>
      <x:c r="F415" s="14" t="str">
        <x:v>Recruiter B</x:v>
      </x:c>
      <x:c r="G415" s="14" t="str">
        <x:v>Training Center A</x:v>
      </x:c>
      <x:c r="H415" s="28">
        <x:v>45744</x:v>
      </x:c>
      <x:c r="I415" s="14">
        <x:v>2025</x:v>
      </x:c>
      <x:c r="J415" s="14" t="s">
        <x:v>130</x:v>
      </x:c>
      <x:c r="K415" s="14">
        <x:v>10</x:v>
      </x:c>
      <x:c r="L415" s="29" t="s">
        <x:v>132</x:v>
      </x:c>
      <x:c r="M415" s="28">
        <x:v>45744</x:v>
      </x:c>
      <x:c r="N415" s="14"/>
      <x:c r="O415" s="14">
        <x:v>507</x:v>
      </x:c>
      <x:c r="P415" s="14" t="s">
        <x:v>120</x:v>
      </x:c>
      <x:c r="Q415" s="14" t="s">
        <x:v>25</x:v>
      </x:c>
      <x:c r="R415" s="14"/>
      <x:c r="S415" s="14" t="s">
        <x:v>108</x:v>
      </x:c>
      <x:c r="T415" s="14" t="str">
        <x:v>Region A</x:v>
      </x:c>
      <x:c r="U415" s="28">
        <x:v>45747</x:v>
      </x:c>
      <x:c r="V415" s="30">
        <x:v>3</x:v>
      </x:c>
      <x:c r="W415" s="14" t="s">
        <x:v>109</x:v>
      </x:c>
      <x:c r="X415" s="14" t="s">
        <x:v>106</x:v>
      </x:c>
      <x:c r="Y415" s="32" t="str">
        <x:v>TRN-0414|20250328</x:v>
      </x:c>
      <x:c r="Z415" s="32" t="str" cm="1">
        <x:f t="array" ref="Z41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415" s="33" t="n">
        <x:f>--OR(WorkforceData[[#This Row],[Status]]="Active",WorkforceData[[#This Row],[Promoted]]="Yes",WorkforceData[[#This Row],[Total Days Worked]]&gt;=121)</x:f>
        <x:v>1</x:v>
      </x:c>
      <x:c r="AB415" s="33" t="n">
        <x:f>IF(AND(Q415="Terminated",R415="",O415=0),1,0)</x:f>
        <x:v>0</x:v>
      </x:c>
      <x:c r="AC415" s="33" t="n">
        <x:f>--OR(WorkforceData[[#This Row],[Status]]="Resigned",WorkforceData[[#This Row],[Status After Training]]="Withdrew")</x:f>
        <x:v>0</x:v>
      </x:c>
      <x:c r="AD415" s="34" t="n">
        <x:f>EOMONTH(WorkforceData[[#This Row],[Training Date]],0)</x:f>
        <x:v>45747</x:v>
      </x:c>
      <x:c r="AE415" s="32" t="str">
        <x:f>IF(M415&lt;H415,"Existing Employee",IF(U415="","No Assignment",IF(V415=0,"0 Days",IF(V415&lt;=7,"1-7 Days",IF(V415&lt;=14,"8-14 Days",IF(V415&lt;=21,"15-21 Days","21+ Days"))))))</x:f>
        <x:v>1-7 Days</x:v>
      </x:c>
      <x:c r="AF41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15" s="33" t="n">
        <x:f>--(WorkforceData[[#This Row],[Total Days Worked]]&gt;=121)</x:f>
        <x:v>1</x:v>
      </x:c>
    </x:row>
    <x:row r="416">
      <x:c r="A416" s="236" t="str">
        <x:v>TRN-0415</x:v>
      </x:c>
      <x:c r="B416" s="243"/>
      <x:c r="C416" s="243"/>
      <x:c r="D416" s="243"/>
      <x:c r="E416" s="243"/>
      <x:c r="F416" s="14" t="str">
        <x:v>Recruiter E</x:v>
      </x:c>
      <x:c r="G416" s="14" t="str">
        <x:v>Training Center A</x:v>
      </x:c>
      <x:c r="H416" s="28">
        <x:v>45744</x:v>
      </x:c>
      <x:c r="I416" s="14">
        <x:v>2025</x:v>
      </x:c>
      <x:c r="J416" s="14" t="s">
        <x:v>130</x:v>
      </x:c>
      <x:c r="K416" s="14">
        <x:v>10</x:v>
      </x:c>
      <x:c r="L416" s="29" t="s">
        <x:v>132</x:v>
      </x:c>
      <x:c r="M416" s="28">
        <x:v>45737</x:v>
      </x:c>
      <x:c r="N416" s="14"/>
      <x:c r="O416" s="14">
        <x:v>514</x:v>
      </x:c>
      <x:c r="P416" s="14" t="s">
        <x:v>120</x:v>
      </x:c>
      <x:c r="Q416" s="14" t="s">
        <x:v>25</x:v>
      </x:c>
      <x:c r="R416" s="14"/>
      <x:c r="S416" s="14" t="s">
        <x:v>108</x:v>
      </x:c>
      <x:c r="T416" s="14" t="str">
        <x:v>Region A</x:v>
      </x:c>
      <x:c r="U416" s="28">
        <x:v>45781</x:v>
      </x:c>
      <x:c r="V416" s="30">
        <x:v>37</x:v>
      </x:c>
      <x:c r="W416" s="14" t="s">
        <x:v>63</x:v>
      </x:c>
      <x:c r="X416" s="14" t="s">
        <x:v>117</x:v>
      </x:c>
      <x:c r="Y416" s="32" t="str">
        <x:v>TRN-0415|20250328</x:v>
      </x:c>
      <x:c r="Z416" s="32" t="str" cm="1">
        <x:f t="array" ref="Z41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416" s="33" t="n">
        <x:f>--OR(WorkforceData[[#This Row],[Status]]="Active",WorkforceData[[#This Row],[Promoted]]="Yes",WorkforceData[[#This Row],[Total Days Worked]]&gt;=121)</x:f>
        <x:v>1</x:v>
      </x:c>
      <x:c r="AB416" s="33" t="n">
        <x:f>IF(AND(Q416="Terminated",R416="",O416=0),1,0)</x:f>
        <x:v>0</x:v>
      </x:c>
      <x:c r="AC416" s="33" t="n">
        <x:f>--OR(WorkforceData[[#This Row],[Status]]="Resigned",WorkforceData[[#This Row],[Status After Training]]="Withdrew")</x:f>
        <x:v>0</x:v>
      </x:c>
      <x:c r="AD416" s="34" t="n">
        <x:f>EOMONTH(WorkforceData[[#This Row],[Training Date]],0)</x:f>
        <x:v>45747</x:v>
      </x:c>
      <x:c r="AE416" s="32" t="str">
        <x:f>IF(M416&lt;H416,"Existing Employee",IF(U416="","No Assignment",IF(V416=0,"0 Days",IF(V416&lt;=7,"1-7 Days",IF(V416&lt;=14,"8-14 Days",IF(V416&lt;=21,"15-21 Days","21+ Days"))))))</x:f>
        <x:v>Existing Employee</x:v>
      </x:c>
      <x:c r="AF41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16" s="33" t="n">
        <x:f>--(WorkforceData[[#This Row],[Total Days Worked]]&gt;=121)</x:f>
        <x:v>1</x:v>
      </x:c>
    </x:row>
    <x:row r="417">
      <x:c r="A417" s="236" t="str">
        <x:v>TRN-0416</x:v>
      </x:c>
      <x:c r="B417" s="243"/>
      <x:c r="C417" s="243"/>
      <x:c r="D417" s="243"/>
      <x:c r="E417" s="243"/>
      <x:c r="F417" s="14" t="str">
        <x:v>Recruiter A</x:v>
      </x:c>
      <x:c r="G417" s="14" t="str">
        <x:v>Training Center A</x:v>
      </x:c>
      <x:c r="H417" s="28">
        <x:v>45744</x:v>
      </x:c>
      <x:c r="I417" s="14">
        <x:v>2025</x:v>
      </x:c>
      <x:c r="J417" s="14" t="s">
        <x:v>130</x:v>
      </x:c>
      <x:c r="K417" s="14">
        <x:v>10</x:v>
      </x:c>
      <x:c r="L417" s="29" t="s">
        <x:v>132</x:v>
      </x:c>
      <x:c r="M417" s="28">
        <x:v>45739</x:v>
      </x:c>
      <x:c r="N417" s="28">
        <x:v>45888</x:v>
      </x:c>
      <x:c r="O417" s="14">
        <x:v>149</x:v>
      </x:c>
      <x:c r="P417" s="14" t="s">
        <x:v>113</x:v>
      </x:c>
      <x:c r="Q417" s="14" t="s">
        <x:v>103</x:v>
      </x:c>
      <x:c r="R417" s="14" t="s">
        <x:v>123</x:v>
      </x:c>
      <x:c r="S417" s="14" t="s">
        <x:v>105</x:v>
      </x:c>
      <x:c r="T417" s="14" t="str">
        <x:v>Region B</x:v>
      </x:c>
      <x:c r="U417" s="28">
        <x:v>45764</x:v>
      </x:c>
      <x:c r="V417" s="30">
        <x:v>20</x:v>
      </x:c>
      <x:c r="W417" s="14" t="s">
        <x:v>112</x:v>
      </x:c>
      <x:c r="X417" s="14" t="s">
        <x:v>106</x:v>
      </x:c>
      <x:c r="Y417" s="32" t="str">
        <x:v>TRN-0416|20250328</x:v>
      </x:c>
      <x:c r="Z417" s="32" t="str" cm="1">
        <x:f t="array" ref="Z41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Complete</x:v>
      </x:c>
      <x:c r="AA417" s="33" t="n">
        <x:f>--OR(WorkforceData[[#This Row],[Status]]="Active",WorkforceData[[#This Row],[Promoted]]="Yes",WorkforceData[[#This Row],[Total Days Worked]]&gt;=121)</x:f>
        <x:v>1</x:v>
      </x:c>
      <x:c r="AB417" s="33" t="n">
        <x:f>IF(AND(Q417="Terminated",R417="",O417=0),1,0)</x:f>
        <x:v>0</x:v>
      </x:c>
      <x:c r="AC417" s="33" t="n">
        <x:f>--OR(WorkforceData[[#This Row],[Status]]="Resigned",WorkforceData[[#This Row],[Status After Training]]="Withdrew")</x:f>
        <x:v>1</x:v>
      </x:c>
      <x:c r="AD417" s="34" t="n">
        <x:f>EOMONTH(WorkforceData[[#This Row],[Training Date]],0)</x:f>
        <x:v>45747</x:v>
      </x:c>
      <x:c r="AE417" s="32" t="str">
        <x:f>IF(M417&lt;H417,"Existing Employee",IF(U417="","No Assignment",IF(V417=0,"0 Days",IF(V417&lt;=7,"1-7 Days",IF(V417&lt;=14,"8-14 Days",IF(V417&lt;=21,"15-21 Days","21+ Days"))))))</x:f>
        <x:v>Existing Employee</x:v>
      </x:c>
      <x:c r="AF41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17" s="33" t="n">
        <x:f>--(WorkforceData[[#This Row],[Total Days Worked]]&gt;=121)</x:f>
        <x:v>1</x:v>
      </x:c>
    </x:row>
    <x:row r="418">
      <x:c r="A418" s="236" t="str">
        <x:v>TRN-0417</x:v>
      </x:c>
      <x:c r="B418" s="243"/>
      <x:c r="C418" s="243"/>
      <x:c r="D418" s="243"/>
      <x:c r="E418" s="243"/>
      <x:c r="F418" s="14" t="str">
        <x:v>Recruiter G</x:v>
      </x:c>
      <x:c r="G418" s="14" t="str">
        <x:v>Training Center B</x:v>
      </x:c>
      <x:c r="H418" s="28">
        <x:v>46203</x:v>
      </x:c>
      <x:c r="I418" s="14">
        <x:v>2026</x:v>
      </x:c>
      <x:c r="J418" s="14" t="s">
        <x:v>129</x:v>
      </x:c>
      <x:c r="K418" s="14">
        <x:v>9</x:v>
      </x:c>
      <x:c r="L418" s="29" t="s">
        <x:v>132</x:v>
      </x:c>
      <x:c r="M418" s="28">
        <x:v>46201</x:v>
      </x:c>
      <x:c r="N418" s="28">
        <x:v>46232</x:v>
      </x:c>
      <x:c r="O418" s="14">
        <x:v>31</x:v>
      </x:c>
      <x:c r="P418" s="14" t="s">
        <x:v>110</x:v>
      </x:c>
      <x:c r="Q418" s="14" t="s">
        <x:v>103</x:v>
      </x:c>
      <x:c r="R418" s="14" t="s">
        <x:v>104</x:v>
      </x:c>
      <x:c r="S418" s="14" t="s">
        <x:v>105</x:v>
      </x:c>
      <x:c r="T418" s="14" t="str">
        <x:v>Region A</x:v>
      </x:c>
      <x:c r="U418" s="28">
        <x:v>46208</x:v>
      </x:c>
      <x:c r="V418" s="30">
        <x:v>5</x:v>
      </x:c>
      <x:c r="W418" s="14" t="s">
        <x:v>109</x:v>
      </x:c>
      <x:c r="X418" s="14" t="s">
        <x:v>106</x:v>
      </x:c>
      <x:c r="Y418" s="32" t="str">
        <x:v>TRN-0417|20260630</x:v>
      </x:c>
      <x:c r="Z418" s="32" t="str" cm="1">
        <x:f t="array" ref="Z41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418" s="33" t="n">
        <x:f>--OR(WorkforceData[[#This Row],[Status]]="Active",WorkforceData[[#This Row],[Promoted]]="Yes",WorkforceData[[#This Row],[Total Days Worked]]&gt;=121)</x:f>
        <x:v>0</x:v>
      </x:c>
      <x:c r="AB418" s="33" t="n">
        <x:f>IF(AND(Q418="Terminated",R418="",O418=0),1,0)</x:f>
        <x:v>0</x:v>
      </x:c>
      <x:c r="AC418" s="33" t="n">
        <x:f>--OR(WorkforceData[[#This Row],[Status]]="Resigned",WorkforceData[[#This Row],[Status After Training]]="Withdrew")</x:f>
        <x:v>1</x:v>
      </x:c>
      <x:c r="AD418" s="34" t="n">
        <x:f>EOMONTH(WorkforceData[[#This Row],[Training Date]],0)</x:f>
        <x:v>46203</x:v>
      </x:c>
      <x:c r="AE418" s="32" t="str">
        <x:f>IF(M418&lt;H418,"Existing Employee",IF(U418="","No Assignment",IF(V418=0,"0 Days",IF(V418&lt;=7,"1-7 Days",IF(V418&lt;=14,"8-14 Days",IF(V418&lt;=21,"15-21 Days","21+ Days"))))))</x:f>
        <x:v>Existing Employee</x:v>
      </x:c>
      <x:c r="AF41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418" s="33" t="n">
        <x:f>--(WorkforceData[[#This Row],[Total Days Worked]]&gt;=121)</x:f>
        <x:v>0</x:v>
      </x:c>
    </x:row>
    <x:row r="419">
      <x:c r="A419" s="236" t="str">
        <x:v>TRN-0418</x:v>
      </x:c>
      <x:c r="B419" s="243"/>
      <x:c r="C419" s="243"/>
      <x:c r="D419" s="243"/>
      <x:c r="E419" s="243"/>
      <x:c r="F419" s="14" t="str">
        <x:v>Recruiter F</x:v>
      </x:c>
      <x:c r="G419" s="14" t="str">
        <x:v>Training Center B</x:v>
      </x:c>
      <x:c r="H419" s="28">
        <x:v>46203</x:v>
      </x:c>
      <x:c r="I419" s="14">
        <x:v>2026</x:v>
      </x:c>
      <x:c r="J419" s="14" t="s">
        <x:v>129</x:v>
      </x:c>
      <x:c r="K419" s="14">
        <x:v>9</x:v>
      </x:c>
      <x:c r="L419" s="29" t="s">
        <x:v>132</x:v>
      </x:c>
      <x:c r="M419" s="28">
        <x:v>46196</x:v>
      </x:c>
      <x:c r="N419" s="28">
        <x:v>46197</x:v>
      </x:c>
      <x:c r="O419" s="14">
        <x:v>1</x:v>
      </x:c>
      <x:c r="P419" s="14" t="s">
        <x:v>102</x:v>
      </x:c>
      <x:c r="Q419" s="14" t="s">
        <x:v>103</x:v>
      </x:c>
      <x:c r="R419" s="14" t="s">
        <x:v>104</x:v>
      </x:c>
      <x:c r="S419" s="14" t="s">
        <x:v>105</x:v>
      </x:c>
      <x:c r="T419" s="14"/>
      <x:c r="U419" s="28"/>
      <x:c r="V419" s="30"/>
      <x:c r="W419" s="14"/>
      <x:c r="X419" s="14" t="s">
        <x:v>71</x:v>
      </x:c>
      <x:c r="Y419" s="32" t="str">
        <x:v>TRN-0418|20260630</x:v>
      </x:c>
      <x:c r="Z419" s="32" t="str" cm="1">
        <x:f t="array" ref="Z41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419" s="33" t="n">
        <x:f>--OR(WorkforceData[[#This Row],[Status]]="Active",WorkforceData[[#This Row],[Promoted]]="Yes",WorkforceData[[#This Row],[Total Days Worked]]&gt;=121)</x:f>
        <x:v>0</x:v>
      </x:c>
      <x:c r="AB419" s="33" t="n">
        <x:f>IF(AND(Q419="Terminated",R419="",O419=0),1,0)</x:f>
        <x:v>0</x:v>
      </x:c>
      <x:c r="AC419" s="33" t="n">
        <x:f>--OR(WorkforceData[[#This Row],[Status]]="Resigned",WorkforceData[[#This Row],[Status After Training]]="Withdrew")</x:f>
        <x:v>1</x:v>
      </x:c>
      <x:c r="AD419" s="34" t="n">
        <x:f>EOMONTH(WorkforceData[[#This Row],[Training Date]],0)</x:f>
        <x:v>46203</x:v>
      </x:c>
      <x:c r="AE419" s="32" t="str">
        <x:f>IF(M419&lt;H419,"Existing Employee",IF(U419="","No Assignment",IF(V419=0,"0 Days",IF(V419&lt;=7,"1-7 Days",IF(V419&lt;=14,"8-14 Days",IF(V419&lt;=21,"15-21 Days","21+ Days"))))))</x:f>
        <x:v>Existing Employee</x:v>
      </x:c>
      <x:c r="AF41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1-7 Days</x:v>
      </x:c>
      <x:c r="AG419" s="33" t="n">
        <x:f>--(WorkforceData[[#This Row],[Total Days Worked]]&gt;=121)</x:f>
        <x:v>0</x:v>
      </x:c>
    </x:row>
    <x:row r="420">
      <x:c r="A420" s="236" t="str">
        <x:v>TRN-0419</x:v>
      </x:c>
      <x:c r="B420" s="243"/>
      <x:c r="C420" s="243"/>
      <x:c r="D420" s="243"/>
      <x:c r="E420" s="243"/>
      <x:c r="F420" s="14" t="str">
        <x:v>Recruiter G</x:v>
      </x:c>
      <x:c r="G420" s="14" t="str">
        <x:v>Training Center B</x:v>
      </x:c>
      <x:c r="H420" s="28">
        <x:v>46203</x:v>
      </x:c>
      <x:c r="I420" s="14">
        <x:v>2026</x:v>
      </x:c>
      <x:c r="J420" s="14" t="s">
        <x:v>129</x:v>
      </x:c>
      <x:c r="K420" s="14">
        <x:v>9</x:v>
      </x:c>
      <x:c r="L420" s="29" t="s">
        <x:v>132</x:v>
      </x:c>
      <x:c r="M420" s="28">
        <x:v>46203</x:v>
      </x:c>
      <x:c r="N420" s="28">
        <x:v>46251</x:v>
      </x:c>
      <x:c r="O420" s="14">
        <x:v>48</x:v>
      </x:c>
      <x:c r="P420" s="14" t="s">
        <x:v>110</x:v>
      </x:c>
      <x:c r="Q420" s="14" t="s">
        <x:v>103</x:v>
      </x:c>
      <x:c r="R420" s="14" t="s">
        <x:v>104</x:v>
      </x:c>
      <x:c r="S420" s="14" t="s">
        <x:v>105</x:v>
      </x:c>
      <x:c r="T420" s="14"/>
      <x:c r="U420" s="28"/>
      <x:c r="V420" s="30"/>
      <x:c r="W420" s="14"/>
      <x:c r="X420" s="14" t="s">
        <x:v>71</x:v>
      </x:c>
      <x:c r="Y420" s="32" t="str">
        <x:v>TRN-0419|20260630</x:v>
      </x:c>
      <x:c r="Z420" s="32" t="str" cm="1">
        <x:f t="array" ref="Z42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420" s="33" t="n">
        <x:f>--OR(WorkforceData[[#This Row],[Status]]="Active",WorkforceData[[#This Row],[Promoted]]="Yes",WorkforceData[[#This Row],[Total Days Worked]]&gt;=121)</x:f>
        <x:v>0</x:v>
      </x:c>
      <x:c r="AB420" s="33" t="n">
        <x:f>IF(AND(Q420="Terminated",R420="",O420=0),1,0)</x:f>
        <x:v>0</x:v>
      </x:c>
      <x:c r="AC420" s="33" t="n">
        <x:f>--OR(WorkforceData[[#This Row],[Status]]="Resigned",WorkforceData[[#This Row],[Status After Training]]="Withdrew")</x:f>
        <x:v>1</x:v>
      </x:c>
      <x:c r="AD420" s="34" t="n">
        <x:f>EOMONTH(WorkforceData[[#This Row],[Training Date]],0)</x:f>
        <x:v>46203</x:v>
      </x:c>
      <x:c r="AE420" s="32" t="str">
        <x:f>IF(M420&lt;H420,"Existing Employee",IF(U420="","No Assignment",IF(V420=0,"0 Days",IF(V420&lt;=7,"1-7 Days",IF(V420&lt;=14,"8-14 Days",IF(V420&lt;=21,"15-21 Days","21+ Days"))))))</x:f>
        <x:v>No Assignment</x:v>
      </x:c>
      <x:c r="AF42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420" s="33" t="n">
        <x:f>--(WorkforceData[[#This Row],[Total Days Worked]]&gt;=121)</x:f>
        <x:v>0</x:v>
      </x:c>
    </x:row>
    <x:row r="421">
      <x:c r="A421" s="236" t="str">
        <x:v>TRN-0420</x:v>
      </x:c>
      <x:c r="B421" s="243"/>
      <x:c r="C421" s="243"/>
      <x:c r="D421" s="243"/>
      <x:c r="E421" s="243"/>
      <x:c r="F421" s="14" t="str">
        <x:v>Recruiter A</x:v>
      </x:c>
      <x:c r="G421" s="14" t="str">
        <x:v>Training Center B</x:v>
      </x:c>
      <x:c r="H421" s="28">
        <x:v>46203</x:v>
      </x:c>
      <x:c r="I421" s="14">
        <x:v>2026</x:v>
      </x:c>
      <x:c r="J421" s="14" t="s">
        <x:v>129</x:v>
      </x:c>
      <x:c r="K421" s="14">
        <x:v>9</x:v>
      </x:c>
      <x:c r="L421" s="29" t="s">
        <x:v>132</x:v>
      </x:c>
      <x:c r="M421" s="28">
        <x:v>46201</x:v>
      </x:c>
      <x:c r="N421" s="28">
        <x:v>46251</x:v>
      </x:c>
      <x:c r="O421" s="14">
        <x:v>50</x:v>
      </x:c>
      <x:c r="P421" s="14" t="s">
        <x:v>110</x:v>
      </x:c>
      <x:c r="Q421" s="14" t="s">
        <x:v>103</x:v>
      </x:c>
      <x:c r="R421" s="14" t="s">
        <x:v>104</x:v>
      </x:c>
      <x:c r="S421" s="14" t="s">
        <x:v>105</x:v>
      </x:c>
      <x:c r="T421" s="14" t="str">
        <x:v>Region C</x:v>
      </x:c>
      <x:c r="U421" s="28">
        <x:v>46203</x:v>
      </x:c>
      <x:c r="V421" s="30">
        <x:v>0</x:v>
      </x:c>
      <x:c r="W421" s="14" t="s">
        <x:v>109</x:v>
      </x:c>
      <x:c r="X421" s="14" t="s">
        <x:v>106</x:v>
      </x:c>
      <x:c r="Y421" s="32" t="str">
        <x:v>TRN-0420|20260630</x:v>
      </x:c>
      <x:c r="Z421" s="32" t="str" cm="1">
        <x:f t="array" ref="Z42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421" s="33" t="n">
        <x:f>--OR(WorkforceData[[#This Row],[Status]]="Active",WorkforceData[[#This Row],[Promoted]]="Yes",WorkforceData[[#This Row],[Total Days Worked]]&gt;=121)</x:f>
        <x:v>0</x:v>
      </x:c>
      <x:c r="AB421" s="33" t="n">
        <x:f>IF(AND(Q421="Terminated",R421="",O421=0),1,0)</x:f>
        <x:v>0</x:v>
      </x:c>
      <x:c r="AC421" s="33" t="n">
        <x:f>--OR(WorkforceData[[#This Row],[Status]]="Resigned",WorkforceData[[#This Row],[Status After Training]]="Withdrew")</x:f>
        <x:v>1</x:v>
      </x:c>
      <x:c r="AD421" s="34" t="n">
        <x:f>EOMONTH(WorkforceData[[#This Row],[Training Date]],0)</x:f>
        <x:v>46203</x:v>
      </x:c>
      <x:c r="AE421" s="32" t="str">
        <x:f>IF(M421&lt;H421,"Existing Employee",IF(U421="","No Assignment",IF(V421=0,"0 Days",IF(V421&lt;=7,"1-7 Days",IF(V421&lt;=14,"8-14 Days",IF(V421&lt;=21,"15-21 Days","21+ Days"))))))</x:f>
        <x:v>Existing Employee</x:v>
      </x:c>
      <x:c r="AF42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421" s="33" t="n">
        <x:f>--(WorkforceData[[#This Row],[Total Days Worked]]&gt;=121)</x:f>
        <x:v>0</x:v>
      </x:c>
    </x:row>
    <x:row r="422">
      <x:c r="A422" s="236" t="str">
        <x:v>TRN-0421</x:v>
      </x:c>
      <x:c r="B422" s="243"/>
      <x:c r="C422" s="243"/>
      <x:c r="D422" s="243"/>
      <x:c r="E422" s="243"/>
      <x:c r="F422" s="14" t="str">
        <x:v>Recruiter G</x:v>
      </x:c>
      <x:c r="G422" s="14" t="str">
        <x:v>Training Center B</x:v>
      </x:c>
      <x:c r="H422" s="28">
        <x:v>46203</x:v>
      </x:c>
      <x:c r="I422" s="14">
        <x:v>2026</x:v>
      </x:c>
      <x:c r="J422" s="14" t="s">
        <x:v>129</x:v>
      </x:c>
      <x:c r="K422" s="14">
        <x:v>9</x:v>
      </x:c>
      <x:c r="L422" s="29" t="s">
        <x:v>132</x:v>
      </x:c>
      <x:c r="M422" s="28">
        <x:v>46202</x:v>
      </x:c>
      <x:c r="N422" s="14"/>
      <x:c r="O422" s="14">
        <x:v>49</x:v>
      </x:c>
      <x:c r="P422" s="14" t="s">
        <x:v>110</x:v>
      </x:c>
      <x:c r="Q422" s="14" t="s">
        <x:v>25</x:v>
      </x:c>
      <x:c r="R422" s="14"/>
      <x:c r="S422" s="14" t="s">
        <x:v>105</x:v>
      </x:c>
      <x:c r="T422" s="14" t="str">
        <x:v>Region D</x:v>
      </x:c>
      <x:c r="U422" s="28">
        <x:v>46213</x:v>
      </x:c>
      <x:c r="V422" s="30">
        <x:v>10</x:v>
      </x:c>
      <x:c r="W422" s="14" t="s">
        <x:v>45</x:v>
      </x:c>
      <x:c r="X422" s="14" t="s">
        <x:v>106</x:v>
      </x:c>
      <x:c r="Y422" s="32" t="str">
        <x:v>TRN-0421|20260630</x:v>
      </x:c>
      <x:c r="Z422" s="32" t="str" cm="1">
        <x:f t="array" ref="Z42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422" s="33" t="n">
        <x:f>--OR(WorkforceData[[#This Row],[Status]]="Active",WorkforceData[[#This Row],[Promoted]]="Yes",WorkforceData[[#This Row],[Total Days Worked]]&gt;=121)</x:f>
        <x:v>1</x:v>
      </x:c>
      <x:c r="AB422" s="33" t="n">
        <x:f>IF(AND(Q422="Terminated",R422="",O422=0),1,0)</x:f>
        <x:v>0</x:v>
      </x:c>
      <x:c r="AC422" s="33" t="n">
        <x:f>--OR(WorkforceData[[#This Row],[Status]]="Resigned",WorkforceData[[#This Row],[Status After Training]]="Withdrew")</x:f>
        <x:v>0</x:v>
      </x:c>
      <x:c r="AD422" s="34" t="n">
        <x:f>EOMONTH(WorkforceData[[#This Row],[Training Date]],0)</x:f>
        <x:v>46203</x:v>
      </x:c>
      <x:c r="AE422" s="32" t="str">
        <x:f>IF(M422&lt;H422,"Existing Employee",IF(U422="","No Assignment",IF(V422=0,"0 Days",IF(V422&lt;=7,"1-7 Days",IF(V422&lt;=14,"8-14 Days",IF(V422&lt;=21,"15-21 Days","21+ Days"))))))</x:f>
        <x:v>Existing Employee</x:v>
      </x:c>
      <x:c r="AF42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422" s="33" t="n">
        <x:f>--(WorkforceData[[#This Row],[Total Days Worked]]&gt;=121)</x:f>
        <x:v>0</x:v>
      </x:c>
    </x:row>
    <x:row r="423">
      <x:c r="A423" s="236" t="str">
        <x:v>TRN-0422</x:v>
      </x:c>
      <x:c r="B423" s="243"/>
      <x:c r="C423" s="243"/>
      <x:c r="D423" s="243"/>
      <x:c r="E423" s="243"/>
      <x:c r="F423" s="14" t="str">
        <x:v>Recruiter C</x:v>
      </x:c>
      <x:c r="G423" s="14" t="str">
        <x:v>Training Center B</x:v>
      </x:c>
      <x:c r="H423" s="28">
        <x:v>46203</x:v>
      </x:c>
      <x:c r="I423" s="14">
        <x:v>2026</x:v>
      </x:c>
      <x:c r="J423" s="14" t="s">
        <x:v>129</x:v>
      </x:c>
      <x:c r="K423" s="14">
        <x:v>9</x:v>
      </x:c>
      <x:c r="L423" s="29" t="s">
        <x:v>132</x:v>
      </x:c>
      <x:c r="M423" s="28">
        <x:v>46201</x:v>
      </x:c>
      <x:c r="N423" s="28">
        <x:v>46221</x:v>
      </x:c>
      <x:c r="O423" s="14">
        <x:v>20</x:v>
      </x:c>
      <x:c r="P423" s="14" t="s">
        <x:v>102</x:v>
      </x:c>
      <x:c r="Q423" s="14" t="s">
        <x:v>103</x:v>
      </x:c>
      <x:c r="R423" s="14" t="s">
        <x:v>111</x:v>
      </x:c>
      <x:c r="S423" s="14" t="s">
        <x:v>105</x:v>
      </x:c>
      <x:c r="T423" s="14" t="str">
        <x:v>Region D</x:v>
      </x:c>
      <x:c r="U423" s="28">
        <x:v>46221</x:v>
      </x:c>
      <x:c r="V423" s="30">
        <x:v>18</x:v>
      </x:c>
      <x:c r="W423" s="14" t="s">
        <x:v>112</x:v>
      </x:c>
      <x:c r="X423" s="14" t="s">
        <x:v>106</x:v>
      </x:c>
      <x:c r="Y423" s="32" t="str">
        <x:v>TRN-0422|20260630</x:v>
      </x:c>
      <x:c r="Z423" s="32" t="str" cm="1">
        <x:f t="array" ref="Z42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423" s="33" t="n">
        <x:f>--OR(WorkforceData[[#This Row],[Status]]="Active",WorkforceData[[#This Row],[Promoted]]="Yes",WorkforceData[[#This Row],[Total Days Worked]]&gt;=121)</x:f>
        <x:v>0</x:v>
      </x:c>
      <x:c r="AB423" s="33" t="n">
        <x:f>IF(AND(Q423="Terminated",R423="",O423=0),1,0)</x:f>
        <x:v>0</x:v>
      </x:c>
      <x:c r="AC423" s="33" t="n">
        <x:f>--OR(WorkforceData[[#This Row],[Status]]="Resigned",WorkforceData[[#This Row],[Status After Training]]="Withdrew")</x:f>
        <x:v>1</x:v>
      </x:c>
      <x:c r="AD423" s="34" t="n">
        <x:f>EOMONTH(WorkforceData[[#This Row],[Training Date]],0)</x:f>
        <x:v>46203</x:v>
      </x:c>
      <x:c r="AE423" s="32" t="str">
        <x:f>IF(M423&lt;H423,"Existing Employee",IF(U423="","No Assignment",IF(V423=0,"0 Days",IF(V423&lt;=7,"1-7 Days",IF(V423&lt;=14,"8-14 Days",IF(V423&lt;=21,"15-21 Days","21+ Days"))))))</x:f>
        <x:v>Existing Employee</x:v>
      </x:c>
      <x:c r="AF42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423" s="33" t="n">
        <x:f>--(WorkforceData[[#This Row],[Total Days Worked]]&gt;=121)</x:f>
        <x:v>0</x:v>
      </x:c>
    </x:row>
    <x:row r="424">
      <x:c r="A424" s="236" t="str">
        <x:v>TRN-0423</x:v>
      </x:c>
      <x:c r="B424" s="243"/>
      <x:c r="C424" s="243"/>
      <x:c r="D424" s="243"/>
      <x:c r="E424" s="243"/>
      <x:c r="F424" s="14" t="str">
        <x:v>Recruiter F</x:v>
      </x:c>
      <x:c r="G424" s="14" t="str">
        <x:v>Training Center B</x:v>
      </x:c>
      <x:c r="H424" s="28">
        <x:v>46203</x:v>
      </x:c>
      <x:c r="I424" s="14">
        <x:v>2026</x:v>
      </x:c>
      <x:c r="J424" s="14" t="s">
        <x:v>129</x:v>
      </x:c>
      <x:c r="K424" s="14">
        <x:v>9</x:v>
      </x:c>
      <x:c r="L424" s="29" t="s">
        <x:v>132</x:v>
      </x:c>
      <x:c r="M424" s="28">
        <x:v>46203</x:v>
      </x:c>
      <x:c r="N424" s="14"/>
      <x:c r="O424" s="14">
        <x:v>48</x:v>
      </x:c>
      <x:c r="P424" s="14" t="s">
        <x:v>110</x:v>
      </x:c>
      <x:c r="Q424" s="14" t="s">
        <x:v>25</x:v>
      </x:c>
      <x:c r="R424" s="14"/>
      <x:c r="S424" s="14" t="s">
        <x:v>105</x:v>
      </x:c>
      <x:c r="T424" s="14" t="str">
        <x:v>Region A</x:v>
      </x:c>
      <x:c r="U424" s="28">
        <x:v>46208</x:v>
      </x:c>
      <x:c r="V424" s="30">
        <x:v>5</x:v>
      </x:c>
      <x:c r="W424" s="14" t="s">
        <x:v>109</x:v>
      </x:c>
      <x:c r="X424" s="14" t="s">
        <x:v>106</x:v>
      </x:c>
      <x:c r="Y424" s="32" t="str">
        <x:v>TRN-0423|20260630</x:v>
      </x:c>
      <x:c r="Z424" s="32" t="str" cm="1">
        <x:f t="array" ref="Z42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424" s="33" t="n">
        <x:f>--OR(WorkforceData[[#This Row],[Status]]="Active",WorkforceData[[#This Row],[Promoted]]="Yes",WorkforceData[[#This Row],[Total Days Worked]]&gt;=121)</x:f>
        <x:v>1</x:v>
      </x:c>
      <x:c r="AB424" s="33" t="n">
        <x:f>IF(AND(Q424="Terminated",R424="",O424=0),1,0)</x:f>
        <x:v>0</x:v>
      </x:c>
      <x:c r="AC424" s="33" t="n">
        <x:f>--OR(WorkforceData[[#This Row],[Status]]="Resigned",WorkforceData[[#This Row],[Status After Training]]="Withdrew")</x:f>
        <x:v>0</x:v>
      </x:c>
      <x:c r="AD424" s="34" t="n">
        <x:f>EOMONTH(WorkforceData[[#This Row],[Training Date]],0)</x:f>
        <x:v>46203</x:v>
      </x:c>
      <x:c r="AE424" s="32" t="str">
        <x:f>IF(M424&lt;H424,"Existing Employee",IF(U424="","No Assignment",IF(V424=0,"0 Days",IF(V424&lt;=7,"1-7 Days",IF(V424&lt;=14,"8-14 Days",IF(V424&lt;=21,"15-21 Days","21+ Days"))))))</x:f>
        <x:v>1-7 Days</x:v>
      </x:c>
      <x:c r="AF42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424" s="33" t="n">
        <x:f>--(WorkforceData[[#This Row],[Total Days Worked]]&gt;=121)</x:f>
        <x:v>0</x:v>
      </x:c>
    </x:row>
    <x:row r="425">
      <x:c r="A425" s="236" t="str">
        <x:v>TRN-0424</x:v>
      </x:c>
      <x:c r="B425" s="243"/>
      <x:c r="C425" s="243"/>
      <x:c r="D425" s="243"/>
      <x:c r="E425" s="243"/>
      <x:c r="F425" s="14" t="str">
        <x:v>Recruiter C</x:v>
      </x:c>
      <x:c r="G425" s="14" t="str">
        <x:v>Training Center B</x:v>
      </x:c>
      <x:c r="H425" s="28">
        <x:v>46203</x:v>
      </x:c>
      <x:c r="I425" s="14">
        <x:v>2026</x:v>
      </x:c>
      <x:c r="J425" s="14" t="s">
        <x:v>129</x:v>
      </x:c>
      <x:c r="K425" s="14">
        <x:v>9</x:v>
      </x:c>
      <x:c r="L425" s="29" t="s">
        <x:v>132</x:v>
      </x:c>
      <x:c r="M425" s="28">
        <x:v>46202</x:v>
      </x:c>
      <x:c r="N425" s="28">
        <x:v>46204</x:v>
      </x:c>
      <x:c r="O425" s="14">
        <x:v>2</x:v>
      </x:c>
      <x:c r="P425" s="14" t="s">
        <x:v>102</x:v>
      </x:c>
      <x:c r="Q425" s="14" t="s">
        <x:v>33</x:v>
      </x:c>
      <x:c r="R425" s="14" t="s">
        <x:v>121</x:v>
      </x:c>
      <x:c r="S425" s="14" t="s">
        <x:v>105</x:v>
      </x:c>
      <x:c r="T425" s="14" t="str">
        <x:v>Region E</x:v>
      </x:c>
      <x:c r="U425" s="28">
        <x:v>46204</x:v>
      </x:c>
      <x:c r="V425" s="30">
        <x:v>1</x:v>
      </x:c>
      <x:c r="W425" s="14" t="s">
        <x:v>109</x:v>
      </x:c>
      <x:c r="X425" s="14" t="s">
        <x:v>106</x:v>
      </x:c>
      <x:c r="Y425" s="32" t="str">
        <x:v>TRN-0424|20260630</x:v>
      </x:c>
      <x:c r="Z425" s="32" t="str" cm="1">
        <x:f t="array" ref="Z42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425" s="33" t="n">
        <x:f>--OR(WorkforceData[[#This Row],[Status]]="Active",WorkforceData[[#This Row],[Promoted]]="Yes",WorkforceData[[#This Row],[Total Days Worked]]&gt;=121)</x:f>
        <x:v>0</x:v>
      </x:c>
      <x:c r="AB425" s="33" t="n">
        <x:f>IF(AND(Q425="Terminated",R425="",O425=0),1,0)</x:f>
        <x:v>0</x:v>
      </x:c>
      <x:c r="AC425" s="33" t="n">
        <x:f>--OR(WorkforceData[[#This Row],[Status]]="Resigned",WorkforceData[[#This Row],[Status After Training]]="Withdrew")</x:f>
        <x:v>0</x:v>
      </x:c>
      <x:c r="AD425" s="34" t="n">
        <x:f>EOMONTH(WorkforceData[[#This Row],[Training Date]],0)</x:f>
        <x:v>46203</x:v>
      </x:c>
      <x:c r="AE425" s="32" t="str">
        <x:f>IF(M425&lt;H425,"Existing Employee",IF(U425="","No Assignment",IF(V425=0,"0 Days",IF(V425&lt;=7,"1-7 Days",IF(V425&lt;=14,"8-14 Days",IF(V425&lt;=21,"15-21 Days","21+ Days"))))))</x:f>
        <x:v>Existing Employee</x:v>
      </x:c>
      <x:c r="AF42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1-7 Days</x:v>
      </x:c>
      <x:c r="AG425" s="33" t="n">
        <x:f>--(WorkforceData[[#This Row],[Total Days Worked]]&gt;=121)</x:f>
        <x:v>0</x:v>
      </x:c>
    </x:row>
    <x:row r="426">
      <x:c r="A426" s="236" t="str">
        <x:v>TRN-0425</x:v>
      </x:c>
      <x:c r="B426" s="243"/>
      <x:c r="C426" s="243"/>
      <x:c r="D426" s="243"/>
      <x:c r="E426" s="243"/>
      <x:c r="F426" s="14" t="str">
        <x:v>Recruiter C</x:v>
      </x:c>
      <x:c r="G426" s="14" t="str">
        <x:v>Training Center B</x:v>
      </x:c>
      <x:c r="H426" s="28">
        <x:v>46203</x:v>
      </x:c>
      <x:c r="I426" s="14">
        <x:v>2026</x:v>
      </x:c>
      <x:c r="J426" s="14" t="s">
        <x:v>129</x:v>
      </x:c>
      <x:c r="K426" s="14">
        <x:v>9</x:v>
      </x:c>
      <x:c r="L426" s="29" t="s">
        <x:v>132</x:v>
      </x:c>
      <x:c r="M426" s="28">
        <x:v>46193</x:v>
      </x:c>
      <x:c r="N426" s="28">
        <x:v>46251</x:v>
      </x:c>
      <x:c r="O426" s="14">
        <x:v>58</x:v>
      </x:c>
      <x:c r="P426" s="14" t="s">
        <x:v>110</x:v>
      </x:c>
      <x:c r="Q426" s="14" t="s">
        <x:v>33</x:v>
      </x:c>
      <x:c r="R426" s="14" t="s">
        <x:v>116</x:v>
      </x:c>
      <x:c r="S426" s="14" t="s">
        <x:v>105</x:v>
      </x:c>
      <x:c r="T426" s="14" t="str">
        <x:v>Region B</x:v>
      </x:c>
      <x:c r="U426" s="28">
        <x:v>46210</x:v>
      </x:c>
      <x:c r="V426" s="30">
        <x:v>7</x:v>
      </x:c>
      <x:c r="W426" s="14" t="s">
        <x:v>109</x:v>
      </x:c>
      <x:c r="X426" s="14" t="s">
        <x:v>106</x:v>
      </x:c>
      <x:c r="Y426" s="32" t="str">
        <x:v>TRN-0425|20260630</x:v>
      </x:c>
      <x:c r="Z426" s="32" t="str" cm="1">
        <x:f t="array" ref="Z42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426" s="33" t="n">
        <x:f>--OR(WorkforceData[[#This Row],[Status]]="Active",WorkforceData[[#This Row],[Promoted]]="Yes",WorkforceData[[#This Row],[Total Days Worked]]&gt;=121)</x:f>
        <x:v>0</x:v>
      </x:c>
      <x:c r="AB426" s="33" t="n">
        <x:f>IF(AND(Q426="Terminated",R426="",O426=0),1,0)</x:f>
        <x:v>0</x:v>
      </x:c>
      <x:c r="AC426" s="33" t="n">
        <x:f>--OR(WorkforceData[[#This Row],[Status]]="Resigned",WorkforceData[[#This Row],[Status After Training]]="Withdrew")</x:f>
        <x:v>0</x:v>
      </x:c>
      <x:c r="AD426" s="34" t="n">
        <x:f>EOMONTH(WorkforceData[[#This Row],[Training Date]],0)</x:f>
        <x:v>46203</x:v>
      </x:c>
      <x:c r="AE426" s="32" t="str">
        <x:f>IF(M426&lt;H426,"Existing Employee",IF(U426="","No Assignment",IF(V426=0,"0 Days",IF(V426&lt;=7,"1-7 Days",IF(V426&lt;=14,"8-14 Days",IF(V426&lt;=21,"15-21 Days","21+ Days"))))))</x:f>
        <x:v>Existing Employee</x:v>
      </x:c>
      <x:c r="AF42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426" s="33" t="n">
        <x:f>--(WorkforceData[[#This Row],[Total Days Worked]]&gt;=121)</x:f>
        <x:v>0</x:v>
      </x:c>
    </x:row>
    <x:row r="427">
      <x:c r="A427" s="236" t="str">
        <x:v>TRN-0426</x:v>
      </x:c>
      <x:c r="B427" s="243"/>
      <x:c r="C427" s="243"/>
      <x:c r="D427" s="243"/>
      <x:c r="E427" s="243"/>
      <x:c r="F427" s="14" t="str">
        <x:v>Recruiter E</x:v>
      </x:c>
      <x:c r="G427" s="14" t="str">
        <x:v>Training Center B</x:v>
      </x:c>
      <x:c r="H427" s="28">
        <x:v>46011</x:v>
      </x:c>
      <x:c r="I427" s="14">
        <x:v>2025</x:v>
      </x:c>
      <x:c r="J427" s="14" t="s">
        <x:v>131</x:v>
      </x:c>
      <x:c r="K427" s="14">
        <x:v>21</x:v>
      </x:c>
      <x:c r="L427" s="29" t="s">
        <x:v>101</x:v>
      </x:c>
      <x:c r="M427" s="28">
        <x:v>46006</x:v>
      </x:c>
      <x:c r="N427" s="14"/>
      <x:c r="O427" s="14">
        <x:v>245</x:v>
      </x:c>
      <x:c r="P427" s="14" t="s">
        <x:v>107</x:v>
      </x:c>
      <x:c r="Q427" s="14" t="s">
        <x:v>25</x:v>
      </x:c>
      <x:c r="R427" s="14"/>
      <x:c r="S427" s="14" t="s">
        <x:v>108</x:v>
      </x:c>
      <x:c r="T427" s="14" t="str">
        <x:v>Region D</x:v>
      </x:c>
      <x:c r="U427" s="28">
        <x:v>46032</x:v>
      </x:c>
      <x:c r="V427" s="30">
        <x:v>21</x:v>
      </x:c>
      <x:c r="W427" s="14" t="s">
        <x:v>112</x:v>
      </x:c>
      <x:c r="X427" s="14" t="s">
        <x:v>106</x:v>
      </x:c>
      <x:c r="Y427" s="32" t="str">
        <x:v>TRN-0426|20251220</x:v>
      </x:c>
      <x:c r="Z427" s="32" t="str" cm="1">
        <x:f t="array" ref="Z42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427" s="33" t="n">
        <x:f>--OR(WorkforceData[[#This Row],[Status]]="Active",WorkforceData[[#This Row],[Promoted]]="Yes",WorkforceData[[#This Row],[Total Days Worked]]&gt;=121)</x:f>
        <x:v>1</x:v>
      </x:c>
      <x:c r="AB427" s="33" t="n">
        <x:f>IF(AND(Q427="Terminated",R427="",O427=0),1,0)</x:f>
        <x:v>0</x:v>
      </x:c>
      <x:c r="AC427" s="33" t="n">
        <x:f>--OR(WorkforceData[[#This Row],[Status]]="Resigned",WorkforceData[[#This Row],[Status After Training]]="Withdrew")</x:f>
        <x:v>0</x:v>
      </x:c>
      <x:c r="AD427" s="34" t="n">
        <x:f>EOMONTH(WorkforceData[[#This Row],[Training Date]],0)</x:f>
        <x:v>46022</x:v>
      </x:c>
      <x:c r="AE427" s="32" t="str">
        <x:f>IF(M427&lt;H427,"Existing Employee",IF(U427="","No Assignment",IF(V427=0,"0 Days",IF(V427&lt;=7,"1-7 Days",IF(V427&lt;=14,"8-14 Days",IF(V427&lt;=21,"15-21 Days","21+ Days"))))))</x:f>
        <x:v>Existing Employee</x:v>
      </x:c>
      <x:c r="AF42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27" s="33" t="n">
        <x:f>--(WorkforceData[[#This Row],[Total Days Worked]]&gt;=121)</x:f>
        <x:v>1</x:v>
      </x:c>
    </x:row>
    <x:row r="428">
      <x:c r="A428" s="236" t="str">
        <x:v>TRN-0427</x:v>
      </x:c>
      <x:c r="B428" s="243"/>
      <x:c r="C428" s="243"/>
      <x:c r="D428" s="243"/>
      <x:c r="E428" s="243"/>
      <x:c r="F428" s="14" t="str">
        <x:v>Recruiter F</x:v>
      </x:c>
      <x:c r="G428" s="14" t="str">
        <x:v>Training Center B</x:v>
      </x:c>
      <x:c r="H428" s="28">
        <x:v>46011</x:v>
      </x:c>
      <x:c r="I428" s="14">
        <x:v>2025</x:v>
      </x:c>
      <x:c r="J428" s="14" t="s">
        <x:v>131</x:v>
      </x:c>
      <x:c r="K428" s="14">
        <x:v>21</x:v>
      </x:c>
      <x:c r="L428" s="29" t="s">
        <x:v>101</x:v>
      </x:c>
      <x:c r="M428" s="28">
        <x:v>46004</x:v>
      </x:c>
      <x:c r="N428" s="28">
        <x:v>46251</x:v>
      </x:c>
      <x:c r="O428" s="14">
        <x:v>247</x:v>
      </x:c>
      <x:c r="P428" s="14" t="s">
        <x:v>107</x:v>
      </x:c>
      <x:c r="Q428" s="14" t="s">
        <x:v>103</x:v>
      </x:c>
      <x:c r="R428" s="14" t="s">
        <x:v>104</x:v>
      </x:c>
      <x:c r="S428" s="14" t="s">
        <x:v>108</x:v>
      </x:c>
      <x:c r="T428" s="14" t="str">
        <x:v>Region B</x:v>
      </x:c>
      <x:c r="U428" s="28">
        <x:v>46022</x:v>
      </x:c>
      <x:c r="V428" s="30">
        <x:v>11</x:v>
      </x:c>
      <x:c r="W428" s="14" t="s">
        <x:v>45</x:v>
      </x:c>
      <x:c r="X428" s="14" t="s">
        <x:v>106</x:v>
      </x:c>
      <x:c r="Y428" s="32" t="str">
        <x:v>TRN-0427|20251220</x:v>
      </x:c>
      <x:c r="Z428" s="32" t="str" cm="1">
        <x:f t="array" ref="Z42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428" s="33" t="n">
        <x:f>--OR(WorkforceData[[#This Row],[Status]]="Active",WorkforceData[[#This Row],[Promoted]]="Yes",WorkforceData[[#This Row],[Total Days Worked]]&gt;=121)</x:f>
        <x:v>1</x:v>
      </x:c>
      <x:c r="AB428" s="33" t="n">
        <x:f>IF(AND(Q428="Terminated",R428="",O428=0),1,0)</x:f>
        <x:v>0</x:v>
      </x:c>
      <x:c r="AC428" s="33" t="n">
        <x:f>--OR(WorkforceData[[#This Row],[Status]]="Resigned",WorkforceData[[#This Row],[Status After Training]]="Withdrew")</x:f>
        <x:v>1</x:v>
      </x:c>
      <x:c r="AD428" s="34" t="n">
        <x:f>EOMONTH(WorkforceData[[#This Row],[Training Date]],0)</x:f>
        <x:v>46022</x:v>
      </x:c>
      <x:c r="AE428" s="32" t="str">
        <x:f>IF(M428&lt;H428,"Existing Employee",IF(U428="","No Assignment",IF(V428=0,"0 Days",IF(V428&lt;=7,"1-7 Days",IF(V428&lt;=14,"8-14 Days",IF(V428&lt;=21,"15-21 Days","21+ Days"))))))</x:f>
        <x:v>Existing Employee</x:v>
      </x:c>
      <x:c r="AF42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28" s="33" t="n">
        <x:f>--(WorkforceData[[#This Row],[Total Days Worked]]&gt;=121)</x:f>
        <x:v>1</x:v>
      </x:c>
    </x:row>
    <x:row r="429">
      <x:c r="A429" s="236" t="str">
        <x:v>TRN-0428</x:v>
      </x:c>
      <x:c r="B429" s="243"/>
      <x:c r="C429" s="243"/>
      <x:c r="D429" s="243"/>
      <x:c r="E429" s="243"/>
      <x:c r="F429" s="14" t="str">
        <x:v>Recruiter B</x:v>
      </x:c>
      <x:c r="G429" s="14" t="str">
        <x:v>Training Center B</x:v>
      </x:c>
      <x:c r="H429" s="28">
        <x:v>46011</x:v>
      </x:c>
      <x:c r="I429" s="14">
        <x:v>2025</x:v>
      </x:c>
      <x:c r="J429" s="14" t="s">
        <x:v>131</x:v>
      </x:c>
      <x:c r="K429" s="14">
        <x:v>21</x:v>
      </x:c>
      <x:c r="L429" s="29" t="s">
        <x:v>101</x:v>
      </x:c>
      <x:c r="M429" s="28">
        <x:v>46004</x:v>
      </x:c>
      <x:c r="N429" s="14"/>
      <x:c r="O429" s="14">
        <x:v>247</x:v>
      </x:c>
      <x:c r="P429" s="14" t="s">
        <x:v>107</x:v>
      </x:c>
      <x:c r="Q429" s="14" t="s">
        <x:v>25</x:v>
      </x:c>
      <x:c r="R429" s="14"/>
      <x:c r="S429" s="14" t="s">
        <x:v>108</x:v>
      </x:c>
      <x:c r="T429" s="14" t="str">
        <x:v>Region D</x:v>
      </x:c>
      <x:c r="U429" s="28">
        <x:v>46011</x:v>
      </x:c>
      <x:c r="V429" s="30">
        <x:v>0</x:v>
      </x:c>
      <x:c r="W429" s="14" t="s">
        <x:v>109</x:v>
      </x:c>
      <x:c r="X429" s="14" t="s">
        <x:v>106</x:v>
      </x:c>
      <x:c r="Y429" s="32" t="str">
        <x:v>TRN-0428|20251220</x:v>
      </x:c>
      <x:c r="Z429" s="32" t="str" cm="1">
        <x:f t="array" ref="Z42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429" s="33" t="n">
        <x:f>--OR(WorkforceData[[#This Row],[Status]]="Active",WorkforceData[[#This Row],[Promoted]]="Yes",WorkforceData[[#This Row],[Total Days Worked]]&gt;=121)</x:f>
        <x:v>1</x:v>
      </x:c>
      <x:c r="AB429" s="33" t="n">
        <x:f>IF(AND(Q429="Terminated",R429="",O429=0),1,0)</x:f>
        <x:v>0</x:v>
      </x:c>
      <x:c r="AC429" s="33" t="n">
        <x:f>--OR(WorkforceData[[#This Row],[Status]]="Resigned",WorkforceData[[#This Row],[Status After Training]]="Withdrew")</x:f>
        <x:v>0</x:v>
      </x:c>
      <x:c r="AD429" s="34" t="n">
        <x:f>EOMONTH(WorkforceData[[#This Row],[Training Date]],0)</x:f>
        <x:v>46022</x:v>
      </x:c>
      <x:c r="AE429" s="32" t="str">
        <x:f>IF(M429&lt;H429,"Existing Employee",IF(U429="","No Assignment",IF(V429=0,"0 Days",IF(V429&lt;=7,"1-7 Days",IF(V429&lt;=14,"8-14 Days",IF(V429&lt;=21,"15-21 Days","21+ Days"))))))</x:f>
        <x:v>Existing Employee</x:v>
      </x:c>
      <x:c r="AF42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29" s="33" t="n">
        <x:f>--(WorkforceData[[#This Row],[Total Days Worked]]&gt;=121)</x:f>
        <x:v>1</x:v>
      </x:c>
    </x:row>
    <x:row r="430">
      <x:c r="A430" s="236" t="str">
        <x:v>TRN-0429</x:v>
      </x:c>
      <x:c r="B430" s="243"/>
      <x:c r="C430" s="243"/>
      <x:c r="D430" s="243"/>
      <x:c r="E430" s="243"/>
      <x:c r="F430" s="14" t="str">
        <x:v>Recruiter D</x:v>
      </x:c>
      <x:c r="G430" s="14" t="str">
        <x:v>Training Center B</x:v>
      </x:c>
      <x:c r="H430" s="28">
        <x:v>46011</x:v>
      </x:c>
      <x:c r="I430" s="14">
        <x:v>2025</x:v>
      </x:c>
      <x:c r="J430" s="14" t="s">
        <x:v>131</x:v>
      </x:c>
      <x:c r="K430" s="14">
        <x:v>21</x:v>
      </x:c>
      <x:c r="L430" s="29" t="s">
        <x:v>101</x:v>
      </x:c>
      <x:c r="M430" s="28">
        <x:v>46009</x:v>
      </x:c>
      <x:c r="N430" s="28">
        <x:v>46047</x:v>
      </x:c>
      <x:c r="O430" s="14">
        <x:v>38</x:v>
      </x:c>
      <x:c r="P430" s="14" t="s">
        <x:v>110</x:v>
      </x:c>
      <x:c r="Q430" s="14" t="s">
        <x:v>103</x:v>
      </x:c>
      <x:c r="R430" s="14" t="s">
        <x:v>104</x:v>
      </x:c>
      <x:c r="S430" s="14" t="s">
        <x:v>105</x:v>
      </x:c>
      <x:c r="T430" s="14" t="str">
        <x:v>Region B</x:v>
      </x:c>
      <x:c r="U430" s="28">
        <x:v>46047</x:v>
      </x:c>
      <x:c r="V430" s="30">
        <x:v>36</x:v>
      </x:c>
      <x:c r="W430" s="14" t="s">
        <x:v>63</x:v>
      </x:c>
      <x:c r="X430" s="14" t="s">
        <x:v>117</x:v>
      </x:c>
      <x:c r="Y430" s="32" t="str">
        <x:v>TRN-0429|20251220</x:v>
      </x:c>
      <x:c r="Z430" s="32" t="str" cm="1">
        <x:f t="array" ref="Z43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430" s="33" t="n">
        <x:f>--OR(WorkforceData[[#This Row],[Status]]="Active",WorkforceData[[#This Row],[Promoted]]="Yes",WorkforceData[[#This Row],[Total Days Worked]]&gt;=121)</x:f>
        <x:v>0</x:v>
      </x:c>
      <x:c r="AB430" s="33" t="n">
        <x:f>IF(AND(Q430="Terminated",R430="",O430=0),1,0)</x:f>
        <x:v>0</x:v>
      </x:c>
      <x:c r="AC430" s="33" t="n">
        <x:f>--OR(WorkforceData[[#This Row],[Status]]="Resigned",WorkforceData[[#This Row],[Status After Training]]="Withdrew")</x:f>
        <x:v>1</x:v>
      </x:c>
      <x:c r="AD430" s="34" t="n">
        <x:f>EOMONTH(WorkforceData[[#This Row],[Training Date]],0)</x:f>
        <x:v>46022</x:v>
      </x:c>
      <x:c r="AE430" s="32" t="str">
        <x:f>IF(M430&lt;H430,"Existing Employee",IF(U430="","No Assignment",IF(V430=0,"0 Days",IF(V430&lt;=7,"1-7 Days",IF(V430&lt;=14,"8-14 Days",IF(V430&lt;=21,"15-21 Days","21+ Days"))))))</x:f>
        <x:v>Existing Employee</x:v>
      </x:c>
      <x:c r="AF43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430" s="33" t="n">
        <x:f>--(WorkforceData[[#This Row],[Total Days Worked]]&gt;=121)</x:f>
        <x:v>0</x:v>
      </x:c>
    </x:row>
    <x:row r="431">
      <x:c r="A431" s="236" t="str">
        <x:v>TRN-0430</x:v>
      </x:c>
      <x:c r="B431" s="243"/>
      <x:c r="C431" s="243"/>
      <x:c r="D431" s="243"/>
      <x:c r="E431" s="243"/>
      <x:c r="F431" s="14" t="str">
        <x:v>Recruiter B</x:v>
      </x:c>
      <x:c r="G431" s="14" t="str">
        <x:v>Training Center B</x:v>
      </x:c>
      <x:c r="H431" s="28">
        <x:v>46011</x:v>
      </x:c>
      <x:c r="I431" s="14">
        <x:v>2025</x:v>
      </x:c>
      <x:c r="J431" s="14" t="s">
        <x:v>131</x:v>
      </x:c>
      <x:c r="K431" s="14">
        <x:v>21</x:v>
      </x:c>
      <x:c r="L431" s="29" t="s">
        <x:v>101</x:v>
      </x:c>
      <x:c r="M431" s="28">
        <x:v>46001</x:v>
      </x:c>
      <x:c r="N431" s="14"/>
      <x:c r="O431" s="14">
        <x:v>250</x:v>
      </x:c>
      <x:c r="P431" s="14" t="s">
        <x:v>107</x:v>
      </x:c>
      <x:c r="Q431" s="14" t="s">
        <x:v>25</x:v>
      </x:c>
      <x:c r="R431" s="14"/>
      <x:c r="S431" s="14" t="s">
        <x:v>108</x:v>
      </x:c>
      <x:c r="T431" s="14" t="str">
        <x:v>Region B</x:v>
      </x:c>
      <x:c r="U431" s="28">
        <x:v>46052</x:v>
      </x:c>
      <x:c r="V431" s="30">
        <x:v>41</x:v>
      </x:c>
      <x:c r="W431" s="14" t="s">
        <x:v>63</x:v>
      </x:c>
      <x:c r="X431" s="14" t="s">
        <x:v>125</x:v>
      </x:c>
      <x:c r="Y431" s="32" t="str">
        <x:v>TRN-0430|20251220</x:v>
      </x:c>
      <x:c r="Z431" s="32" t="str" cm="1">
        <x:f t="array" ref="Z43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431" s="33" t="n">
        <x:f>--OR(WorkforceData[[#This Row],[Status]]="Active",WorkforceData[[#This Row],[Promoted]]="Yes",WorkforceData[[#This Row],[Total Days Worked]]&gt;=121)</x:f>
        <x:v>1</x:v>
      </x:c>
      <x:c r="AB431" s="33" t="n">
        <x:f>IF(AND(Q431="Terminated",R431="",O431=0),1,0)</x:f>
        <x:v>0</x:v>
      </x:c>
      <x:c r="AC431" s="33" t="n">
        <x:f>--OR(WorkforceData[[#This Row],[Status]]="Resigned",WorkforceData[[#This Row],[Status After Training]]="Withdrew")</x:f>
        <x:v>0</x:v>
      </x:c>
      <x:c r="AD431" s="34" t="n">
        <x:f>EOMONTH(WorkforceData[[#This Row],[Training Date]],0)</x:f>
        <x:v>46022</x:v>
      </x:c>
      <x:c r="AE431" s="32" t="str">
        <x:f>IF(M431&lt;H431,"Existing Employee",IF(U431="","No Assignment",IF(V431=0,"0 Days",IF(V431&lt;=7,"1-7 Days",IF(V431&lt;=14,"8-14 Days",IF(V431&lt;=21,"15-21 Days","21+ Days"))))))</x:f>
        <x:v>Existing Employee</x:v>
      </x:c>
      <x:c r="AF43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31" s="33" t="n">
        <x:f>--(WorkforceData[[#This Row],[Total Days Worked]]&gt;=121)</x:f>
        <x:v>1</x:v>
      </x:c>
    </x:row>
    <x:row r="432">
      <x:c r="A432" s="236" t="str">
        <x:v>TRN-0431</x:v>
      </x:c>
      <x:c r="B432" s="243"/>
      <x:c r="C432" s="243"/>
      <x:c r="D432" s="243"/>
      <x:c r="E432" s="243"/>
      <x:c r="F432" s="14" t="str">
        <x:v>Recruiter H</x:v>
      </x:c>
      <x:c r="G432" s="14" t="str">
        <x:v>Training Center B</x:v>
      </x:c>
      <x:c r="H432" s="28">
        <x:v>46011</x:v>
      </x:c>
      <x:c r="I432" s="14">
        <x:v>2025</x:v>
      </x:c>
      <x:c r="J432" s="14" t="s">
        <x:v>131</x:v>
      </x:c>
      <x:c r="K432" s="14">
        <x:v>21</x:v>
      </x:c>
      <x:c r="L432" s="29" t="s">
        <x:v>101</x:v>
      </x:c>
      <x:c r="M432" s="28">
        <x:v>46011</x:v>
      </x:c>
      <x:c r="N432" s="28">
        <x:v>46021</x:v>
      </x:c>
      <x:c r="O432" s="14">
        <x:v>10</x:v>
      </x:c>
      <x:c r="P432" s="14" t="s">
        <x:v>102</x:v>
      </x:c>
      <x:c r="Q432" s="14" t="s">
        <x:v>103</x:v>
      </x:c>
      <x:c r="R432" s="14" t="s">
        <x:v>111</x:v>
      </x:c>
      <x:c r="S432" s="14" t="s">
        <x:v>105</x:v>
      </x:c>
      <x:c r="T432" s="14" t="str">
        <x:v>Region E</x:v>
      </x:c>
      <x:c r="U432" s="28">
        <x:v>46021</x:v>
      </x:c>
      <x:c r="V432" s="30">
        <x:v>10</x:v>
      </x:c>
      <x:c r="W432" s="14" t="s">
        <x:v>45</x:v>
      </x:c>
      <x:c r="X432" s="14" t="s">
        <x:v>106</x:v>
      </x:c>
      <x:c r="Y432" s="32" t="str">
        <x:v>TRN-0431|20251220</x:v>
      </x:c>
      <x:c r="Z432" s="32" t="str" cm="1">
        <x:f t="array" ref="Z43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432" s="33" t="n">
        <x:f>--OR(WorkforceData[[#This Row],[Status]]="Active",WorkforceData[[#This Row],[Promoted]]="Yes",WorkforceData[[#This Row],[Total Days Worked]]&gt;=121)</x:f>
        <x:v>0</x:v>
      </x:c>
      <x:c r="AB432" s="33" t="n">
        <x:f>IF(AND(Q432="Terminated",R432="",O432=0),1,0)</x:f>
        <x:v>0</x:v>
      </x:c>
      <x:c r="AC432" s="33" t="n">
        <x:f>--OR(WorkforceData[[#This Row],[Status]]="Resigned",WorkforceData[[#This Row],[Status After Training]]="Withdrew")</x:f>
        <x:v>1</x:v>
      </x:c>
      <x:c r="AD432" s="34" t="n">
        <x:f>EOMONTH(WorkforceData[[#This Row],[Training Date]],0)</x:f>
        <x:v>46022</x:v>
      </x:c>
      <x:c r="AE432" s="32" t="str">
        <x:f>IF(M432&lt;H432,"Existing Employee",IF(U432="","No Assignment",IF(V432=0,"0 Days",IF(V432&lt;=7,"1-7 Days",IF(V432&lt;=14,"8-14 Days",IF(V432&lt;=21,"15-21 Days","21+ Days"))))))</x:f>
        <x:v>8-14 Days</x:v>
      </x:c>
      <x:c r="AF43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432" s="33" t="n">
        <x:f>--(WorkforceData[[#This Row],[Total Days Worked]]&gt;=121)</x:f>
        <x:v>0</x:v>
      </x:c>
    </x:row>
    <x:row r="433">
      <x:c r="A433" s="236" t="str">
        <x:v>TRN-0432</x:v>
      </x:c>
      <x:c r="B433" s="243"/>
      <x:c r="C433" s="243"/>
      <x:c r="D433" s="243"/>
      <x:c r="E433" s="243"/>
      <x:c r="F433" s="14" t="str">
        <x:v>Recruiter G</x:v>
      </x:c>
      <x:c r="G433" s="14" t="str">
        <x:v>Training Center B</x:v>
      </x:c>
      <x:c r="H433" s="28">
        <x:v>46011</x:v>
      </x:c>
      <x:c r="I433" s="14">
        <x:v>2025</x:v>
      </x:c>
      <x:c r="J433" s="14" t="s">
        <x:v>131</x:v>
      </x:c>
      <x:c r="K433" s="14">
        <x:v>21</x:v>
      </x:c>
      <x:c r="L433" s="29" t="s">
        <x:v>101</x:v>
      </x:c>
      <x:c r="M433" s="28">
        <x:v>46001</x:v>
      </x:c>
      <x:c r="N433" s="28">
        <x:v>46091</x:v>
      </x:c>
      <x:c r="O433" s="14">
        <x:v>90</x:v>
      </x:c>
      <x:c r="P433" s="14" t="s">
        <x:v>110</x:v>
      </x:c>
      <x:c r="Q433" s="14" t="s">
        <x:v>103</x:v>
      </x:c>
      <x:c r="R433" s="14" t="s">
        <x:v>111</x:v>
      </x:c>
      <x:c r="S433" s="14" t="s">
        <x:v>105</x:v>
      </x:c>
      <x:c r="T433" s="14" t="str">
        <x:v>Region D</x:v>
      </x:c>
      <x:c r="U433" s="28">
        <x:v>46021</x:v>
      </x:c>
      <x:c r="V433" s="30">
        <x:v>10</x:v>
      </x:c>
      <x:c r="W433" s="14" t="s">
        <x:v>45</x:v>
      </x:c>
      <x:c r="X433" s="14" t="s">
        <x:v>106</x:v>
      </x:c>
      <x:c r="Y433" s="32" t="str">
        <x:v>TRN-0432|20251220</x:v>
      </x:c>
      <x:c r="Z433" s="32" t="str" cm="1">
        <x:f t="array" ref="Z43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433" s="33" t="n">
        <x:f>--OR(WorkforceData[[#This Row],[Status]]="Active",WorkforceData[[#This Row],[Promoted]]="Yes",WorkforceData[[#This Row],[Total Days Worked]]&gt;=121)</x:f>
        <x:v>0</x:v>
      </x:c>
      <x:c r="AB433" s="33" t="n">
        <x:f>IF(AND(Q433="Terminated",R433="",O433=0),1,0)</x:f>
        <x:v>0</x:v>
      </x:c>
      <x:c r="AC433" s="33" t="n">
        <x:f>--OR(WorkforceData[[#This Row],[Status]]="Resigned",WorkforceData[[#This Row],[Status After Training]]="Withdrew")</x:f>
        <x:v>1</x:v>
      </x:c>
      <x:c r="AD433" s="34" t="n">
        <x:f>EOMONTH(WorkforceData[[#This Row],[Training Date]],0)</x:f>
        <x:v>46022</x:v>
      </x:c>
      <x:c r="AE433" s="32" t="str">
        <x:f>IF(M433&lt;H433,"Existing Employee",IF(U433="","No Assignment",IF(V433=0,"0 Days",IF(V433&lt;=7,"1-7 Days",IF(V433&lt;=14,"8-14 Days",IF(V433&lt;=21,"15-21 Days","21+ Days"))))))</x:f>
        <x:v>Existing Employee</x:v>
      </x:c>
      <x:c r="AF43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61-90 Days</x:v>
      </x:c>
      <x:c r="AG433" s="33" t="n">
        <x:f>--(WorkforceData[[#This Row],[Total Days Worked]]&gt;=121)</x:f>
        <x:v>0</x:v>
      </x:c>
    </x:row>
    <x:row r="434">
      <x:c r="A434" s="236" t="str">
        <x:v>TRN-0433</x:v>
      </x:c>
      <x:c r="B434" s="243"/>
      <x:c r="C434" s="243"/>
      <x:c r="D434" s="243"/>
      <x:c r="E434" s="243"/>
      <x:c r="F434" s="14" t="str">
        <x:v>Recruiter E</x:v>
      </x:c>
      <x:c r="G434" s="14" t="str">
        <x:v>Training Center B</x:v>
      </x:c>
      <x:c r="H434" s="28">
        <x:v>46011</x:v>
      </x:c>
      <x:c r="I434" s="14">
        <x:v>2025</x:v>
      </x:c>
      <x:c r="J434" s="14" t="s">
        <x:v>131</x:v>
      </x:c>
      <x:c r="K434" s="14">
        <x:v>21</x:v>
      </x:c>
      <x:c r="L434" s="29" t="s">
        <x:v>101</x:v>
      </x:c>
      <x:c r="M434" s="28">
        <x:v>46011</x:v>
      </x:c>
      <x:c r="N434" s="14"/>
      <x:c r="O434" s="14">
        <x:v>240</x:v>
      </x:c>
      <x:c r="P434" s="14" t="s">
        <x:v>107</x:v>
      </x:c>
      <x:c r="Q434" s="14" t="s">
        <x:v>25</x:v>
      </x:c>
      <x:c r="R434" s="14"/>
      <x:c r="S434" s="14" t="s">
        <x:v>108</x:v>
      </x:c>
      <x:c r="T434" s="14" t="str">
        <x:v>Region B</x:v>
      </x:c>
      <x:c r="U434" s="28">
        <x:v>46013</x:v>
      </x:c>
      <x:c r="V434" s="30">
        <x:v>2</x:v>
      </x:c>
      <x:c r="W434" s="14" t="s">
        <x:v>109</x:v>
      </x:c>
      <x:c r="X434" s="14" t="s">
        <x:v>106</x:v>
      </x:c>
      <x:c r="Y434" s="32" t="str">
        <x:v>TRN-0433|20251220</x:v>
      </x:c>
      <x:c r="Z434" s="32" t="str" cm="1">
        <x:f t="array" ref="Z43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434" s="33" t="n">
        <x:f>--OR(WorkforceData[[#This Row],[Status]]="Active",WorkforceData[[#This Row],[Promoted]]="Yes",WorkforceData[[#This Row],[Total Days Worked]]&gt;=121)</x:f>
        <x:v>1</x:v>
      </x:c>
      <x:c r="AB434" s="33" t="n">
        <x:f>IF(AND(Q434="Terminated",R434="",O434=0),1,0)</x:f>
        <x:v>0</x:v>
      </x:c>
      <x:c r="AC434" s="33" t="n">
        <x:f>--OR(WorkforceData[[#This Row],[Status]]="Resigned",WorkforceData[[#This Row],[Status After Training]]="Withdrew")</x:f>
        <x:v>0</x:v>
      </x:c>
      <x:c r="AD434" s="34" t="n">
        <x:f>EOMONTH(WorkforceData[[#This Row],[Training Date]],0)</x:f>
        <x:v>46022</x:v>
      </x:c>
      <x:c r="AE434" s="32" t="str">
        <x:f>IF(M434&lt;H434,"Existing Employee",IF(U434="","No Assignment",IF(V434=0,"0 Days",IF(V434&lt;=7,"1-7 Days",IF(V434&lt;=14,"8-14 Days",IF(V434&lt;=21,"15-21 Days","21+ Days"))))))</x:f>
        <x:v>1-7 Days</x:v>
      </x:c>
      <x:c r="AF43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34" s="33" t="n">
        <x:f>--(WorkforceData[[#This Row],[Total Days Worked]]&gt;=121)</x:f>
        <x:v>1</x:v>
      </x:c>
    </x:row>
    <x:row r="435">
      <x:c r="A435" s="236" t="str">
        <x:v>TRN-0434</x:v>
      </x:c>
      <x:c r="B435" s="243"/>
      <x:c r="C435" s="243"/>
      <x:c r="D435" s="243"/>
      <x:c r="E435" s="243"/>
      <x:c r="F435" s="14" t="str">
        <x:v>Recruiter H</x:v>
      </x:c>
      <x:c r="G435" s="14" t="str">
        <x:v>Training Center B</x:v>
      </x:c>
      <x:c r="H435" s="28">
        <x:v>46011</x:v>
      </x:c>
      <x:c r="I435" s="14">
        <x:v>2025</x:v>
      </x:c>
      <x:c r="J435" s="14" t="s">
        <x:v>131</x:v>
      </x:c>
      <x:c r="K435" s="14">
        <x:v>21</x:v>
      </x:c>
      <x:c r="L435" s="29" t="s">
        <x:v>101</x:v>
      </x:c>
      <x:c r="M435" s="28">
        <x:v>46010</x:v>
      </x:c>
      <x:c r="N435" s="14"/>
      <x:c r="O435" s="14">
        <x:v>241</x:v>
      </x:c>
      <x:c r="P435" s="14" t="s">
        <x:v>107</x:v>
      </x:c>
      <x:c r="Q435" s="14" t="s">
        <x:v>25</x:v>
      </x:c>
      <x:c r="R435" s="14"/>
      <x:c r="S435" s="14" t="s">
        <x:v>108</x:v>
      </x:c>
      <x:c r="T435" s="14" t="str">
        <x:v>Region A</x:v>
      </x:c>
      <x:c r="U435" s="28">
        <x:v>46056</x:v>
      </x:c>
      <x:c r="V435" s="30">
        <x:v>45</x:v>
      </x:c>
      <x:c r="W435" s="14" t="s">
        <x:v>63</x:v>
      </x:c>
      <x:c r="X435" s="14" t="s">
        <x:v>117</x:v>
      </x:c>
      <x:c r="Y435" s="32" t="str">
        <x:v>TRN-0434|20251220</x:v>
      </x:c>
      <x:c r="Z435" s="32" t="str" cm="1">
        <x:f t="array" ref="Z43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435" s="33" t="n">
        <x:f>--OR(WorkforceData[[#This Row],[Status]]="Active",WorkforceData[[#This Row],[Promoted]]="Yes",WorkforceData[[#This Row],[Total Days Worked]]&gt;=121)</x:f>
        <x:v>1</x:v>
      </x:c>
      <x:c r="AB435" s="33" t="n">
        <x:f>IF(AND(Q435="Terminated",R435="",O435=0),1,0)</x:f>
        <x:v>0</x:v>
      </x:c>
      <x:c r="AC435" s="33" t="n">
        <x:f>--OR(WorkforceData[[#This Row],[Status]]="Resigned",WorkforceData[[#This Row],[Status After Training]]="Withdrew")</x:f>
        <x:v>0</x:v>
      </x:c>
      <x:c r="AD435" s="34" t="n">
        <x:f>EOMONTH(WorkforceData[[#This Row],[Training Date]],0)</x:f>
        <x:v>46022</x:v>
      </x:c>
      <x:c r="AE435" s="32" t="str">
        <x:f>IF(M435&lt;H435,"Existing Employee",IF(U435="","No Assignment",IF(V435=0,"0 Days",IF(V435&lt;=7,"1-7 Days",IF(V435&lt;=14,"8-14 Days",IF(V435&lt;=21,"15-21 Days","21+ Days"))))))</x:f>
        <x:v>Existing Employee</x:v>
      </x:c>
      <x:c r="AF43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35" s="33" t="n">
        <x:f>--(WorkforceData[[#This Row],[Total Days Worked]]&gt;=121)</x:f>
        <x:v>1</x:v>
      </x:c>
    </x:row>
    <x:row r="436">
      <x:c r="A436" s="236" t="str">
        <x:v>TRN-0435</x:v>
      </x:c>
      <x:c r="B436" s="243"/>
      <x:c r="C436" s="243"/>
      <x:c r="D436" s="243"/>
      <x:c r="E436" s="243"/>
      <x:c r="F436" s="14" t="str">
        <x:v>Recruiter D</x:v>
      </x:c>
      <x:c r="G436" s="14" t="str">
        <x:v>Training Center B</x:v>
      </x:c>
      <x:c r="H436" s="28">
        <x:v>46011</x:v>
      </x:c>
      <x:c r="I436" s="14">
        <x:v>2025</x:v>
      </x:c>
      <x:c r="J436" s="14" t="s">
        <x:v>131</x:v>
      </x:c>
      <x:c r="K436" s="14">
        <x:v>21</x:v>
      </x:c>
      <x:c r="L436" s="29" t="s">
        <x:v>101</x:v>
      </x:c>
      <x:c r="M436" s="28">
        <x:v>46011</x:v>
      </x:c>
      <x:c r="N436" s="14"/>
      <x:c r="O436" s="14">
        <x:v>240</x:v>
      </x:c>
      <x:c r="P436" s="14" t="s">
        <x:v>107</x:v>
      </x:c>
      <x:c r="Q436" s="14" t="s">
        <x:v>25</x:v>
      </x:c>
      <x:c r="R436" s="14"/>
      <x:c r="S436" s="14" t="s">
        <x:v>108</x:v>
      </x:c>
      <x:c r="T436" s="14" t="str">
        <x:v>Region A</x:v>
      </x:c>
      <x:c r="U436" s="28">
        <x:v>46043</x:v>
      </x:c>
      <x:c r="V436" s="30">
        <x:v>32</x:v>
      </x:c>
      <x:c r="W436" s="14" t="s">
        <x:v>63</x:v>
      </x:c>
      <x:c r="X436" s="14" t="s">
        <x:v>117</x:v>
      </x:c>
      <x:c r="Y436" s="32" t="str">
        <x:v>TRN-0435|20251220</x:v>
      </x:c>
      <x:c r="Z436" s="32" t="str" cm="1">
        <x:f t="array" ref="Z43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436" s="33" t="n">
        <x:f>--OR(WorkforceData[[#This Row],[Status]]="Active",WorkforceData[[#This Row],[Promoted]]="Yes",WorkforceData[[#This Row],[Total Days Worked]]&gt;=121)</x:f>
        <x:v>1</x:v>
      </x:c>
      <x:c r="AB436" s="33" t="n">
        <x:f>IF(AND(Q436="Terminated",R436="",O436=0),1,0)</x:f>
        <x:v>0</x:v>
      </x:c>
      <x:c r="AC436" s="33" t="n">
        <x:f>--OR(WorkforceData[[#This Row],[Status]]="Resigned",WorkforceData[[#This Row],[Status After Training]]="Withdrew")</x:f>
        <x:v>0</x:v>
      </x:c>
      <x:c r="AD436" s="34" t="n">
        <x:f>EOMONTH(WorkforceData[[#This Row],[Training Date]],0)</x:f>
        <x:v>46022</x:v>
      </x:c>
      <x:c r="AE436" s="32" t="str">
        <x:f>IF(M436&lt;H436,"Existing Employee",IF(U436="","No Assignment",IF(V436=0,"0 Days",IF(V436&lt;=7,"1-7 Days",IF(V436&lt;=14,"8-14 Days",IF(V436&lt;=21,"15-21 Days","21+ Days"))))))</x:f>
        <x:v>21+ Days</x:v>
      </x:c>
      <x:c r="AF43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36" s="33" t="n">
        <x:f>--(WorkforceData[[#This Row],[Total Days Worked]]&gt;=121)</x:f>
        <x:v>1</x:v>
      </x:c>
    </x:row>
    <x:row r="437">
      <x:c r="A437" s="236" t="str">
        <x:v>TRN-0436</x:v>
      </x:c>
      <x:c r="B437" s="243"/>
      <x:c r="C437" s="243"/>
      <x:c r="D437" s="243"/>
      <x:c r="E437" s="243"/>
      <x:c r="F437" s="14" t="str">
        <x:v>Recruiter F</x:v>
      </x:c>
      <x:c r="G437" s="14" t="str">
        <x:v>Training Center B</x:v>
      </x:c>
      <x:c r="H437" s="28">
        <x:v>46011</x:v>
      </x:c>
      <x:c r="I437" s="14">
        <x:v>2025</x:v>
      </x:c>
      <x:c r="J437" s="14" t="s">
        <x:v>131</x:v>
      </x:c>
      <x:c r="K437" s="14">
        <x:v>21</x:v>
      </x:c>
      <x:c r="L437" s="29" t="s">
        <x:v>101</x:v>
      </x:c>
      <x:c r="M437" s="28">
        <x:v>46011</x:v>
      </x:c>
      <x:c r="N437" s="28">
        <x:v>46038</x:v>
      </x:c>
      <x:c r="O437" s="14">
        <x:v>27</x:v>
      </x:c>
      <x:c r="P437" s="14" t="s">
        <x:v>102</x:v>
      </x:c>
      <x:c r="Q437" s="14" t="s">
        <x:v>103</x:v>
      </x:c>
      <x:c r="R437" s="14" t="s">
        <x:v>104</x:v>
      </x:c>
      <x:c r="S437" s="14" t="s">
        <x:v>105</x:v>
      </x:c>
      <x:c r="T437" s="14"/>
      <x:c r="U437" s="28"/>
      <x:c r="V437" s="30"/>
      <x:c r="W437" s="14"/>
      <x:c r="X437" s="14" t="s">
        <x:v>71</x:v>
      </x:c>
      <x:c r="Y437" s="32" t="str">
        <x:v>TRN-0436|20251220</x:v>
      </x:c>
      <x:c r="Z437" s="32" t="str" cm="1">
        <x:f t="array" ref="Z43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437" s="33" t="n">
        <x:f>--OR(WorkforceData[[#This Row],[Status]]="Active",WorkforceData[[#This Row],[Promoted]]="Yes",WorkforceData[[#This Row],[Total Days Worked]]&gt;=121)</x:f>
        <x:v>0</x:v>
      </x:c>
      <x:c r="AB437" s="33" t="n">
        <x:f>IF(AND(Q437="Terminated",R437="",O437=0),1,0)</x:f>
        <x:v>0</x:v>
      </x:c>
      <x:c r="AC437" s="33" t="n">
        <x:f>--OR(WorkforceData[[#This Row],[Status]]="Resigned",WorkforceData[[#This Row],[Status After Training]]="Withdrew")</x:f>
        <x:v>1</x:v>
      </x:c>
      <x:c r="AD437" s="34" t="n">
        <x:f>EOMONTH(WorkforceData[[#This Row],[Training Date]],0)</x:f>
        <x:v>46022</x:v>
      </x:c>
      <x:c r="AE437" s="32" t="str">
        <x:f>IF(M437&lt;H437,"Existing Employee",IF(U437="","No Assignment",IF(V437=0,"0 Days",IF(V437&lt;=7,"1-7 Days",IF(V437&lt;=14,"8-14 Days",IF(V437&lt;=21,"15-21 Days","21+ Days"))))))</x:f>
        <x:v>No Assignment</x:v>
      </x:c>
      <x:c r="AF43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437" s="33" t="n">
        <x:f>--(WorkforceData[[#This Row],[Total Days Worked]]&gt;=121)</x:f>
        <x:v>0</x:v>
      </x:c>
    </x:row>
    <x:row r="438">
      <x:c r="A438" s="236" t="str">
        <x:v>TRN-0437</x:v>
      </x:c>
      <x:c r="B438" s="243"/>
      <x:c r="C438" s="243"/>
      <x:c r="D438" s="243"/>
      <x:c r="E438" s="243"/>
      <x:c r="F438" s="14" t="str">
        <x:v>Recruiter H</x:v>
      </x:c>
      <x:c r="G438" s="14" t="str">
        <x:v>Training Center B</x:v>
      </x:c>
      <x:c r="H438" s="28">
        <x:v>46011</x:v>
      </x:c>
      <x:c r="I438" s="14">
        <x:v>2025</x:v>
      </x:c>
      <x:c r="J438" s="14" t="s">
        <x:v>131</x:v>
      </x:c>
      <x:c r="K438" s="14">
        <x:v>21</x:v>
      </x:c>
      <x:c r="L438" s="29" t="s">
        <x:v>101</x:v>
      </x:c>
      <x:c r="M438" s="28">
        <x:v>46008</x:v>
      </x:c>
      <x:c r="N438" s="14"/>
      <x:c r="O438" s="14">
        <x:v>243</x:v>
      </x:c>
      <x:c r="P438" s="14" t="s">
        <x:v>107</x:v>
      </x:c>
      <x:c r="Q438" s="14" t="s">
        <x:v>25</x:v>
      </x:c>
      <x:c r="R438" s="14"/>
      <x:c r="S438" s="14" t="s">
        <x:v>108</x:v>
      </x:c>
      <x:c r="T438" s="14" t="str">
        <x:v>Region B</x:v>
      </x:c>
      <x:c r="U438" s="28">
        <x:v>46025</x:v>
      </x:c>
      <x:c r="V438" s="30">
        <x:v>14</x:v>
      </x:c>
      <x:c r="W438" s="14" t="s">
        <x:v>45</x:v>
      </x:c>
      <x:c r="X438" s="14" t="s">
        <x:v>106</x:v>
      </x:c>
      <x:c r="Y438" s="32" t="str">
        <x:v>TRN-0437|20251220</x:v>
      </x:c>
      <x:c r="Z438" s="32" t="str" cm="1">
        <x:f t="array" ref="Z43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438" s="33" t="n">
        <x:f>--OR(WorkforceData[[#This Row],[Status]]="Active",WorkforceData[[#This Row],[Promoted]]="Yes",WorkforceData[[#This Row],[Total Days Worked]]&gt;=121)</x:f>
        <x:v>1</x:v>
      </x:c>
      <x:c r="AB438" s="33" t="n">
        <x:f>IF(AND(Q438="Terminated",R438="",O438=0),1,0)</x:f>
        <x:v>0</x:v>
      </x:c>
      <x:c r="AC438" s="33" t="n">
        <x:f>--OR(WorkforceData[[#This Row],[Status]]="Resigned",WorkforceData[[#This Row],[Status After Training]]="Withdrew")</x:f>
        <x:v>0</x:v>
      </x:c>
      <x:c r="AD438" s="34" t="n">
        <x:f>EOMONTH(WorkforceData[[#This Row],[Training Date]],0)</x:f>
        <x:v>46022</x:v>
      </x:c>
      <x:c r="AE438" s="32" t="str">
        <x:f>IF(M438&lt;H438,"Existing Employee",IF(U438="","No Assignment",IF(V438=0,"0 Days",IF(V438&lt;=7,"1-7 Days",IF(V438&lt;=14,"8-14 Days",IF(V438&lt;=21,"15-21 Days","21+ Days"))))))</x:f>
        <x:v>Existing Employee</x:v>
      </x:c>
      <x:c r="AF43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38" s="33" t="n">
        <x:f>--(WorkforceData[[#This Row],[Total Days Worked]]&gt;=121)</x:f>
        <x:v>1</x:v>
      </x:c>
    </x:row>
    <x:row r="439">
      <x:c r="A439" s="236" t="str">
        <x:v>TRN-0438</x:v>
      </x:c>
      <x:c r="B439" s="243"/>
      <x:c r="C439" s="243"/>
      <x:c r="D439" s="243"/>
      <x:c r="E439" s="243"/>
      <x:c r="F439" s="14" t="str">
        <x:v>Recruiter E</x:v>
      </x:c>
      <x:c r="G439" s="14" t="str">
        <x:v>Training Center B</x:v>
      </x:c>
      <x:c r="H439" s="28">
        <x:v>46011</x:v>
      </x:c>
      <x:c r="I439" s="14">
        <x:v>2025</x:v>
      </x:c>
      <x:c r="J439" s="14" t="s">
        <x:v>131</x:v>
      </x:c>
      <x:c r="K439" s="14">
        <x:v>21</x:v>
      </x:c>
      <x:c r="L439" s="29" t="s">
        <x:v>101</x:v>
      </x:c>
      <x:c r="M439" s="28">
        <x:v>46004</x:v>
      </x:c>
      <x:c r="N439" s="28">
        <x:v>46022</x:v>
      </x:c>
      <x:c r="O439" s="14">
        <x:v>18</x:v>
      </x:c>
      <x:c r="P439" s="14" t="s">
        <x:v>102</x:v>
      </x:c>
      <x:c r="Q439" s="14" t="s">
        <x:v>103</x:v>
      </x:c>
      <x:c r="R439" s="14" t="s">
        <x:v>111</x:v>
      </x:c>
      <x:c r="S439" s="14" t="s">
        <x:v>105</x:v>
      </x:c>
      <x:c r="T439" s="14" t="str">
        <x:v>Region D</x:v>
      </x:c>
      <x:c r="U439" s="28">
        <x:v>46021</x:v>
      </x:c>
      <x:c r="V439" s="30">
        <x:v>10</x:v>
      </x:c>
      <x:c r="W439" s="14" t="s">
        <x:v>45</x:v>
      </x:c>
      <x:c r="X439" s="14" t="s">
        <x:v>106</x:v>
      </x:c>
      <x:c r="Y439" s="32" t="str">
        <x:v>TRN-0438|20251220</x:v>
      </x:c>
      <x:c r="Z439" s="32" t="str" cm="1">
        <x:f t="array" ref="Z43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439" s="33" t="n">
        <x:f>--OR(WorkforceData[[#This Row],[Status]]="Active",WorkforceData[[#This Row],[Promoted]]="Yes",WorkforceData[[#This Row],[Total Days Worked]]&gt;=121)</x:f>
        <x:v>0</x:v>
      </x:c>
      <x:c r="AB439" s="33" t="n">
        <x:f>IF(AND(Q439="Terminated",R439="",O439=0),1,0)</x:f>
        <x:v>0</x:v>
      </x:c>
      <x:c r="AC439" s="33" t="n">
        <x:f>--OR(WorkforceData[[#This Row],[Status]]="Resigned",WorkforceData[[#This Row],[Status After Training]]="Withdrew")</x:f>
        <x:v>1</x:v>
      </x:c>
      <x:c r="AD439" s="34" t="n">
        <x:f>EOMONTH(WorkforceData[[#This Row],[Training Date]],0)</x:f>
        <x:v>46022</x:v>
      </x:c>
      <x:c r="AE439" s="32" t="str">
        <x:f>IF(M439&lt;H439,"Existing Employee",IF(U439="","No Assignment",IF(V439=0,"0 Days",IF(V439&lt;=7,"1-7 Days",IF(V439&lt;=14,"8-14 Days",IF(V439&lt;=21,"15-21 Days","21+ Days"))))))</x:f>
        <x:v>Existing Employee</x:v>
      </x:c>
      <x:c r="AF43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439" s="33" t="n">
        <x:f>--(WorkforceData[[#This Row],[Total Days Worked]]&gt;=121)</x:f>
        <x:v>0</x:v>
      </x:c>
    </x:row>
    <x:row r="440">
      <x:c r="A440" s="236" t="str">
        <x:v>TRN-0439</x:v>
      </x:c>
      <x:c r="B440" s="243"/>
      <x:c r="C440" s="243"/>
      <x:c r="D440" s="243"/>
      <x:c r="E440" s="243"/>
      <x:c r="F440" s="14" t="str">
        <x:v>Recruiter H</x:v>
      </x:c>
      <x:c r="G440" s="14" t="str">
        <x:v>Training Center B</x:v>
      </x:c>
      <x:c r="H440" s="28">
        <x:v>46011</x:v>
      </x:c>
      <x:c r="I440" s="14">
        <x:v>2025</x:v>
      </x:c>
      <x:c r="J440" s="14" t="s">
        <x:v>131</x:v>
      </x:c>
      <x:c r="K440" s="14">
        <x:v>21</x:v>
      </x:c>
      <x:c r="L440" s="29" t="s">
        <x:v>101</x:v>
      </x:c>
      <x:c r="M440" s="28">
        <x:v>46009</x:v>
      </x:c>
      <x:c r="N440" s="14"/>
      <x:c r="O440" s="14">
        <x:v>242</x:v>
      </x:c>
      <x:c r="P440" s="14" t="s">
        <x:v>107</x:v>
      </x:c>
      <x:c r="Q440" s="14" t="s">
        <x:v>25</x:v>
      </x:c>
      <x:c r="R440" s="14"/>
      <x:c r="S440" s="14" t="s">
        <x:v>108</x:v>
      </x:c>
      <x:c r="T440" s="14" t="str">
        <x:v>Region D</x:v>
      </x:c>
      <x:c r="U440" s="28">
        <x:v>46016</x:v>
      </x:c>
      <x:c r="V440" s="30">
        <x:v>5</x:v>
      </x:c>
      <x:c r="W440" s="14" t="s">
        <x:v>109</x:v>
      </x:c>
      <x:c r="X440" s="14" t="s">
        <x:v>106</x:v>
      </x:c>
      <x:c r="Y440" s="32" t="str">
        <x:v>TRN-0439|20251220</x:v>
      </x:c>
      <x:c r="Z440" s="32" t="str" cm="1">
        <x:f t="array" ref="Z44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440" s="33" t="n">
        <x:f>--OR(WorkforceData[[#This Row],[Status]]="Active",WorkforceData[[#This Row],[Promoted]]="Yes",WorkforceData[[#This Row],[Total Days Worked]]&gt;=121)</x:f>
        <x:v>1</x:v>
      </x:c>
      <x:c r="AB440" s="33" t="n">
        <x:f>IF(AND(Q440="Terminated",R440="",O440=0),1,0)</x:f>
        <x:v>0</x:v>
      </x:c>
      <x:c r="AC440" s="33" t="n">
        <x:f>--OR(WorkforceData[[#This Row],[Status]]="Resigned",WorkforceData[[#This Row],[Status After Training]]="Withdrew")</x:f>
        <x:v>0</x:v>
      </x:c>
      <x:c r="AD440" s="34" t="n">
        <x:f>EOMONTH(WorkforceData[[#This Row],[Training Date]],0)</x:f>
        <x:v>46022</x:v>
      </x:c>
      <x:c r="AE440" s="32" t="str">
        <x:f>IF(M440&lt;H440,"Existing Employee",IF(U440="","No Assignment",IF(V440=0,"0 Days",IF(V440&lt;=7,"1-7 Days",IF(V440&lt;=14,"8-14 Days",IF(V440&lt;=21,"15-21 Days","21+ Days"))))))</x:f>
        <x:v>Existing Employee</x:v>
      </x:c>
      <x:c r="AF44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40" s="33" t="n">
        <x:f>--(WorkforceData[[#This Row],[Total Days Worked]]&gt;=121)</x:f>
        <x:v>1</x:v>
      </x:c>
    </x:row>
    <x:row r="441">
      <x:c r="A441" s="236" t="str">
        <x:v>TRN-0440</x:v>
      </x:c>
      <x:c r="B441" s="243"/>
      <x:c r="C441" s="243"/>
      <x:c r="D441" s="243"/>
      <x:c r="E441" s="243"/>
      <x:c r="F441" s="14" t="str">
        <x:v>Recruiter H</x:v>
      </x:c>
      <x:c r="G441" s="14" t="str">
        <x:v>Training Center B</x:v>
      </x:c>
      <x:c r="H441" s="28">
        <x:v>46011</x:v>
      </x:c>
      <x:c r="I441" s="14">
        <x:v>2025</x:v>
      </x:c>
      <x:c r="J441" s="14" t="s">
        <x:v>131</x:v>
      </x:c>
      <x:c r="K441" s="14">
        <x:v>21</x:v>
      </x:c>
      <x:c r="L441" s="29" t="s">
        <x:v>101</x:v>
      </x:c>
      <x:c r="M441" s="28">
        <x:v>46011</x:v>
      </x:c>
      <x:c r="N441" s="14"/>
      <x:c r="O441" s="14">
        <x:v>240</x:v>
      </x:c>
      <x:c r="P441" s="14" t="s">
        <x:v>107</x:v>
      </x:c>
      <x:c r="Q441" s="14" t="s">
        <x:v>25</x:v>
      </x:c>
      <x:c r="R441" s="14"/>
      <x:c r="S441" s="14" t="s">
        <x:v>108</x:v>
      </x:c>
      <x:c r="T441" s="14" t="str">
        <x:v>Region C</x:v>
      </x:c>
      <x:c r="U441" s="28">
        <x:v>46014</x:v>
      </x:c>
      <x:c r="V441" s="30">
        <x:v>3</x:v>
      </x:c>
      <x:c r="W441" s="14" t="s">
        <x:v>109</x:v>
      </x:c>
      <x:c r="X441" s="14" t="s">
        <x:v>106</x:v>
      </x:c>
      <x:c r="Y441" s="32" t="str">
        <x:v>TRN-0440|20251220</x:v>
      </x:c>
      <x:c r="Z441" s="32" t="str" cm="1">
        <x:f t="array" ref="Z44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441" s="33" t="n">
        <x:f>--OR(WorkforceData[[#This Row],[Status]]="Active",WorkforceData[[#This Row],[Promoted]]="Yes",WorkforceData[[#This Row],[Total Days Worked]]&gt;=121)</x:f>
        <x:v>1</x:v>
      </x:c>
      <x:c r="AB441" s="33" t="n">
        <x:f>IF(AND(Q441="Terminated",R441="",O441=0),1,0)</x:f>
        <x:v>0</x:v>
      </x:c>
      <x:c r="AC441" s="33" t="n">
        <x:f>--OR(WorkforceData[[#This Row],[Status]]="Resigned",WorkforceData[[#This Row],[Status After Training]]="Withdrew")</x:f>
        <x:v>0</x:v>
      </x:c>
      <x:c r="AD441" s="34" t="n">
        <x:f>EOMONTH(WorkforceData[[#This Row],[Training Date]],0)</x:f>
        <x:v>46022</x:v>
      </x:c>
      <x:c r="AE441" s="32" t="str">
        <x:f>IF(M441&lt;H441,"Existing Employee",IF(U441="","No Assignment",IF(V441=0,"0 Days",IF(V441&lt;=7,"1-7 Days",IF(V441&lt;=14,"8-14 Days",IF(V441&lt;=21,"15-21 Days","21+ Days"))))))</x:f>
        <x:v>1-7 Days</x:v>
      </x:c>
      <x:c r="AF44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41" s="33" t="n">
        <x:f>--(WorkforceData[[#This Row],[Total Days Worked]]&gt;=121)</x:f>
        <x:v>1</x:v>
      </x:c>
    </x:row>
    <x:row r="442">
      <x:c r="A442" s="236" t="str">
        <x:v>TRN-0441</x:v>
      </x:c>
      <x:c r="B442" s="243"/>
      <x:c r="C442" s="243"/>
      <x:c r="D442" s="243"/>
      <x:c r="E442" s="243"/>
      <x:c r="F442" s="14" t="str">
        <x:v>Recruiter G</x:v>
      </x:c>
      <x:c r="G442" s="14" t="str">
        <x:v>Training Center B</x:v>
      </x:c>
      <x:c r="H442" s="28">
        <x:v>46011</x:v>
      </x:c>
      <x:c r="I442" s="14">
        <x:v>2025</x:v>
      </x:c>
      <x:c r="J442" s="14" t="s">
        <x:v>131</x:v>
      </x:c>
      <x:c r="K442" s="14">
        <x:v>21</x:v>
      </x:c>
      <x:c r="L442" s="29" t="s">
        <x:v>101</x:v>
      </x:c>
      <x:c r="M442" s="28">
        <x:v>46006</x:v>
      </x:c>
      <x:c r="N442" s="14"/>
      <x:c r="O442" s="14">
        <x:v>245</x:v>
      </x:c>
      <x:c r="P442" s="14" t="s">
        <x:v>107</x:v>
      </x:c>
      <x:c r="Q442" s="14" t="s">
        <x:v>25</x:v>
      </x:c>
      <x:c r="R442" s="14"/>
      <x:c r="S442" s="14" t="s">
        <x:v>105</x:v>
      </x:c>
      <x:c r="T442" s="14"/>
      <x:c r="U442" s="28"/>
      <x:c r="V442" s="30"/>
      <x:c r="W442" s="14"/>
      <x:c r="X442" s="14" t="s">
        <x:v>71</x:v>
      </x:c>
      <x:c r="Y442" s="32" t="str">
        <x:v>TRN-0441|20251220</x:v>
      </x:c>
      <x:c r="Z442" s="32" t="str" cm="1">
        <x:f t="array" ref="Z44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442" s="33" t="n">
        <x:f>--OR(WorkforceData[[#This Row],[Status]]="Active",WorkforceData[[#This Row],[Promoted]]="Yes",WorkforceData[[#This Row],[Total Days Worked]]&gt;=121)</x:f>
        <x:v>1</x:v>
      </x:c>
      <x:c r="AB442" s="33" t="n">
        <x:f>IF(AND(Q442="Terminated",R442="",O442=0),1,0)</x:f>
        <x:v>0</x:v>
      </x:c>
      <x:c r="AC442" s="33" t="n">
        <x:f>--OR(WorkforceData[[#This Row],[Status]]="Resigned",WorkforceData[[#This Row],[Status After Training]]="Withdrew")</x:f>
        <x:v>0</x:v>
      </x:c>
      <x:c r="AD442" s="34" t="n">
        <x:f>EOMONTH(WorkforceData[[#This Row],[Training Date]],0)</x:f>
        <x:v>46022</x:v>
      </x:c>
      <x:c r="AE442" s="32" t="str">
        <x:f>IF(M442&lt;H442,"Existing Employee",IF(U442="","No Assignment",IF(V442=0,"0 Days",IF(V442&lt;=7,"1-7 Days",IF(V442&lt;=14,"8-14 Days",IF(V442&lt;=21,"15-21 Days","21+ Days"))))))</x:f>
        <x:v>Existing Employee</x:v>
      </x:c>
      <x:c r="AF44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42" s="33" t="n">
        <x:f>--(WorkforceData[[#This Row],[Total Days Worked]]&gt;=121)</x:f>
        <x:v>1</x:v>
      </x:c>
    </x:row>
    <x:row r="443">
      <x:c r="A443" s="236" t="str">
        <x:v>TRN-0442</x:v>
      </x:c>
      <x:c r="B443" s="243"/>
      <x:c r="C443" s="243"/>
      <x:c r="D443" s="243"/>
      <x:c r="E443" s="243"/>
      <x:c r="F443" s="14" t="str">
        <x:v>Recruiter A</x:v>
      </x:c>
      <x:c r="G443" s="14" t="str">
        <x:v>Training Center B</x:v>
      </x:c>
      <x:c r="H443" s="28">
        <x:v>46011</x:v>
      </x:c>
      <x:c r="I443" s="14">
        <x:v>2025</x:v>
      </x:c>
      <x:c r="J443" s="14" t="s">
        <x:v>131</x:v>
      </x:c>
      <x:c r="K443" s="14">
        <x:v>21</x:v>
      </x:c>
      <x:c r="L443" s="29" t="s">
        <x:v>101</x:v>
      </x:c>
      <x:c r="M443" s="28">
        <x:v>46010</x:v>
      </x:c>
      <x:c r="N443" s="28">
        <x:v>46018</x:v>
      </x:c>
      <x:c r="O443" s="14">
        <x:v>8</x:v>
      </x:c>
      <x:c r="P443" s="14" t="s">
        <x:v>102</x:v>
      </x:c>
      <x:c r="Q443" s="14" t="s">
        <x:v>103</x:v>
      </x:c>
      <x:c r="R443" s="14" t="s">
        <x:v>104</x:v>
      </x:c>
      <x:c r="S443" s="14" t="s">
        <x:v>105</x:v>
      </x:c>
      <x:c r="T443" s="14" t="str">
        <x:v>Region D</x:v>
      </x:c>
      <x:c r="U443" s="28">
        <x:v>46018</x:v>
      </x:c>
      <x:c r="V443" s="30">
        <x:v>7</x:v>
      </x:c>
      <x:c r="W443" s="14" t="s">
        <x:v>109</x:v>
      </x:c>
      <x:c r="X443" s="14" t="s">
        <x:v>106</x:v>
      </x:c>
      <x:c r="Y443" s="32" t="str">
        <x:v>TRN-0442|20251220</x:v>
      </x:c>
      <x:c r="Z443" s="32" t="str" cm="1">
        <x:f t="array" ref="Z44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443" s="33" t="n">
        <x:f>--OR(WorkforceData[[#This Row],[Status]]="Active",WorkforceData[[#This Row],[Promoted]]="Yes",WorkforceData[[#This Row],[Total Days Worked]]&gt;=121)</x:f>
        <x:v>0</x:v>
      </x:c>
      <x:c r="AB443" s="33" t="n">
        <x:f>IF(AND(Q443="Terminated",R443="",O443=0),1,0)</x:f>
        <x:v>0</x:v>
      </x:c>
      <x:c r="AC443" s="33" t="n">
        <x:f>--OR(WorkforceData[[#This Row],[Status]]="Resigned",WorkforceData[[#This Row],[Status After Training]]="Withdrew")</x:f>
        <x:v>1</x:v>
      </x:c>
      <x:c r="AD443" s="34" t="n">
        <x:f>EOMONTH(WorkforceData[[#This Row],[Training Date]],0)</x:f>
        <x:v>46022</x:v>
      </x:c>
      <x:c r="AE443" s="32" t="str">
        <x:f>IF(M443&lt;H443,"Existing Employee",IF(U443="","No Assignment",IF(V443=0,"0 Days",IF(V443&lt;=7,"1-7 Days",IF(V443&lt;=14,"8-14 Days",IF(V443&lt;=21,"15-21 Days","21+ Days"))))))</x:f>
        <x:v>Existing Employee</x:v>
      </x:c>
      <x:c r="AF44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443" s="33" t="n">
        <x:f>--(WorkforceData[[#This Row],[Total Days Worked]]&gt;=121)</x:f>
        <x:v>0</x:v>
      </x:c>
    </x:row>
    <x:row r="444">
      <x:c r="A444" s="236" t="str">
        <x:v>TRN-0443</x:v>
      </x:c>
      <x:c r="B444" s="243"/>
      <x:c r="C444" s="243"/>
      <x:c r="D444" s="243"/>
      <x:c r="E444" s="243"/>
      <x:c r="F444" s="14" t="str">
        <x:v>Recruiter C</x:v>
      </x:c>
      <x:c r="G444" s="14" t="str">
        <x:v>Training Center B</x:v>
      </x:c>
      <x:c r="H444" s="28">
        <x:v>46011</x:v>
      </x:c>
      <x:c r="I444" s="14">
        <x:v>2025</x:v>
      </x:c>
      <x:c r="J444" s="14" t="s">
        <x:v>131</x:v>
      </x:c>
      <x:c r="K444" s="14">
        <x:v>21</x:v>
      </x:c>
      <x:c r="L444" s="29" t="s">
        <x:v>101</x:v>
      </x:c>
      <x:c r="M444" s="28">
        <x:v>46010</x:v>
      </x:c>
      <x:c r="N444" s="14"/>
      <x:c r="O444" s="14">
        <x:v>241</x:v>
      </x:c>
      <x:c r="P444" s="14" t="s">
        <x:v>107</x:v>
      </x:c>
      <x:c r="Q444" s="14" t="s">
        <x:v>25</x:v>
      </x:c>
      <x:c r="R444" s="14"/>
      <x:c r="S444" s="14" t="s">
        <x:v>108</x:v>
      </x:c>
      <x:c r="T444" s="14" t="str">
        <x:v>Region B</x:v>
      </x:c>
      <x:c r="U444" s="28">
        <x:v>46071</x:v>
      </x:c>
      <x:c r="V444" s="30">
        <x:v>60</x:v>
      </x:c>
      <x:c r="W444" s="14" t="s">
        <x:v>63</x:v>
      </x:c>
      <x:c r="X444" s="14" t="s">
        <x:v>117</x:v>
      </x:c>
      <x:c r="Y444" s="32" t="str">
        <x:v>TRN-0443|20251220</x:v>
      </x:c>
      <x:c r="Z444" s="32" t="str" cm="1">
        <x:f t="array" ref="Z44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444" s="33" t="n">
        <x:f>--OR(WorkforceData[[#This Row],[Status]]="Active",WorkforceData[[#This Row],[Promoted]]="Yes",WorkforceData[[#This Row],[Total Days Worked]]&gt;=121)</x:f>
        <x:v>1</x:v>
      </x:c>
      <x:c r="AB444" s="33" t="n">
        <x:f>IF(AND(Q444="Terminated",R444="",O444=0),1,0)</x:f>
        <x:v>0</x:v>
      </x:c>
      <x:c r="AC444" s="33" t="n">
        <x:f>--OR(WorkforceData[[#This Row],[Status]]="Resigned",WorkforceData[[#This Row],[Status After Training]]="Withdrew")</x:f>
        <x:v>0</x:v>
      </x:c>
      <x:c r="AD444" s="34" t="n">
        <x:f>EOMONTH(WorkforceData[[#This Row],[Training Date]],0)</x:f>
        <x:v>46022</x:v>
      </x:c>
      <x:c r="AE444" s="32" t="str">
        <x:f>IF(M444&lt;H444,"Existing Employee",IF(U444="","No Assignment",IF(V444=0,"0 Days",IF(V444&lt;=7,"1-7 Days",IF(V444&lt;=14,"8-14 Days",IF(V444&lt;=21,"15-21 Days","21+ Days"))))))</x:f>
        <x:v>Existing Employee</x:v>
      </x:c>
      <x:c r="AF44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44" s="33" t="n">
        <x:f>--(WorkforceData[[#This Row],[Total Days Worked]]&gt;=121)</x:f>
        <x:v>1</x:v>
      </x:c>
    </x:row>
    <x:row r="445">
      <x:c r="A445" s="236" t="str">
        <x:v>TRN-0444</x:v>
      </x:c>
      <x:c r="B445" s="243"/>
      <x:c r="C445" s="243"/>
      <x:c r="D445" s="243"/>
      <x:c r="E445" s="243"/>
      <x:c r="F445" s="14" t="str">
        <x:v>Recruiter F</x:v>
      </x:c>
      <x:c r="G445" s="14" t="str">
        <x:v>Training Center B</x:v>
      </x:c>
      <x:c r="H445" s="28">
        <x:v>46011</x:v>
      </x:c>
      <x:c r="I445" s="14">
        <x:v>2025</x:v>
      </x:c>
      <x:c r="J445" s="14" t="s">
        <x:v>131</x:v>
      </x:c>
      <x:c r="K445" s="14">
        <x:v>21</x:v>
      </x:c>
      <x:c r="L445" s="29" t="s">
        <x:v>101</x:v>
      </x:c>
      <x:c r="M445" s="28">
        <x:v>46004</x:v>
      </x:c>
      <x:c r="N445" s="28">
        <x:v>46150</x:v>
      </x:c>
      <x:c r="O445" s="14">
        <x:v>146</x:v>
      </x:c>
      <x:c r="P445" s="14" t="s">
        <x:v>113</x:v>
      </x:c>
      <x:c r="Q445" s="14" t="s">
        <x:v>103</x:v>
      </x:c>
      <x:c r="R445" s="14" t="s">
        <x:v>104</x:v>
      </x:c>
      <x:c r="S445" s="14" t="s">
        <x:v>105</x:v>
      </x:c>
      <x:c r="T445" s="14" t="str">
        <x:v>Region B</x:v>
      </x:c>
      <x:c r="U445" s="28">
        <x:v>46027</x:v>
      </x:c>
      <x:c r="V445" s="30">
        <x:v>16</x:v>
      </x:c>
      <x:c r="W445" s="14" t="s">
        <x:v>112</x:v>
      </x:c>
      <x:c r="X445" s="14" t="s">
        <x:v>106</x:v>
      </x:c>
      <x:c r="Y445" s="32" t="str">
        <x:v>TRN-0444|20251220</x:v>
      </x:c>
      <x:c r="Z445" s="32" t="str" cm="1">
        <x:f t="array" ref="Z44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Complete</x:v>
      </x:c>
      <x:c r="AA445" s="33" t="n">
        <x:f>--OR(WorkforceData[[#This Row],[Status]]="Active",WorkforceData[[#This Row],[Promoted]]="Yes",WorkforceData[[#This Row],[Total Days Worked]]&gt;=121)</x:f>
        <x:v>1</x:v>
      </x:c>
      <x:c r="AB445" s="33" t="n">
        <x:f>IF(AND(Q445="Terminated",R445="",O445=0),1,0)</x:f>
        <x:v>0</x:v>
      </x:c>
      <x:c r="AC445" s="33" t="n">
        <x:f>--OR(WorkforceData[[#This Row],[Status]]="Resigned",WorkforceData[[#This Row],[Status After Training]]="Withdrew")</x:f>
        <x:v>1</x:v>
      </x:c>
      <x:c r="AD445" s="34" t="n">
        <x:f>EOMONTH(WorkforceData[[#This Row],[Training Date]],0)</x:f>
        <x:v>46022</x:v>
      </x:c>
      <x:c r="AE445" s="32" t="str">
        <x:f>IF(M445&lt;H445,"Existing Employee",IF(U445="","No Assignment",IF(V445=0,"0 Days",IF(V445&lt;=7,"1-7 Days",IF(V445&lt;=14,"8-14 Days",IF(V445&lt;=21,"15-21 Days","21+ Days"))))))</x:f>
        <x:v>Existing Employee</x:v>
      </x:c>
      <x:c r="AF44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45" s="33" t="n">
        <x:f>--(WorkforceData[[#This Row],[Total Days Worked]]&gt;=121)</x:f>
        <x:v>1</x:v>
      </x:c>
    </x:row>
    <x:row r="446">
      <x:c r="A446" s="236" t="str">
        <x:v>TRN-0445</x:v>
      </x:c>
      <x:c r="B446" s="243"/>
      <x:c r="C446" s="243"/>
      <x:c r="D446" s="243"/>
      <x:c r="E446" s="243"/>
      <x:c r="F446" s="14" t="str">
        <x:v>Recruiter F</x:v>
      </x:c>
      <x:c r="G446" s="14" t="str">
        <x:v>Training Center B</x:v>
      </x:c>
      <x:c r="H446" s="28">
        <x:v>46011</x:v>
      </x:c>
      <x:c r="I446" s="14">
        <x:v>2025</x:v>
      </x:c>
      <x:c r="J446" s="14" t="s">
        <x:v>131</x:v>
      </x:c>
      <x:c r="K446" s="14">
        <x:v>21</x:v>
      </x:c>
      <x:c r="L446" s="29" t="s">
        <x:v>101</x:v>
      </x:c>
      <x:c r="M446" s="28">
        <x:v>46011</x:v>
      </x:c>
      <x:c r="N446" s="14"/>
      <x:c r="O446" s="14">
        <x:v>240</x:v>
      </x:c>
      <x:c r="P446" s="14" t="s">
        <x:v>107</x:v>
      </x:c>
      <x:c r="Q446" s="14" t="s">
        <x:v>25</x:v>
      </x:c>
      <x:c r="R446" s="14"/>
      <x:c r="S446" s="14" t="s">
        <x:v>108</x:v>
      </x:c>
      <x:c r="T446" s="14" t="str">
        <x:v>Region B</x:v>
      </x:c>
      <x:c r="U446" s="28">
        <x:v>46025</x:v>
      </x:c>
      <x:c r="V446" s="30">
        <x:v>14</x:v>
      </x:c>
      <x:c r="W446" s="14" t="s">
        <x:v>45</x:v>
      </x:c>
      <x:c r="X446" s="14" t="s">
        <x:v>106</x:v>
      </x:c>
      <x:c r="Y446" s="32" t="str">
        <x:v>TRN-0445|20251220</x:v>
      </x:c>
      <x:c r="Z446" s="32" t="str" cm="1">
        <x:f t="array" ref="Z44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446" s="33" t="n">
        <x:f>--OR(WorkforceData[[#This Row],[Status]]="Active",WorkforceData[[#This Row],[Promoted]]="Yes",WorkforceData[[#This Row],[Total Days Worked]]&gt;=121)</x:f>
        <x:v>1</x:v>
      </x:c>
      <x:c r="AB446" s="33" t="n">
        <x:f>IF(AND(Q446="Terminated",R446="",O446=0),1,0)</x:f>
        <x:v>0</x:v>
      </x:c>
      <x:c r="AC446" s="33" t="n">
        <x:f>--OR(WorkforceData[[#This Row],[Status]]="Resigned",WorkforceData[[#This Row],[Status After Training]]="Withdrew")</x:f>
        <x:v>0</x:v>
      </x:c>
      <x:c r="AD446" s="34" t="n">
        <x:f>EOMONTH(WorkforceData[[#This Row],[Training Date]],0)</x:f>
        <x:v>46022</x:v>
      </x:c>
      <x:c r="AE446" s="32" t="str">
        <x:f>IF(M446&lt;H446,"Existing Employee",IF(U446="","No Assignment",IF(V446=0,"0 Days",IF(V446&lt;=7,"1-7 Days",IF(V446&lt;=14,"8-14 Days",IF(V446&lt;=21,"15-21 Days","21+ Days"))))))</x:f>
        <x:v>8-14 Days</x:v>
      </x:c>
      <x:c r="AF44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46" s="33" t="n">
        <x:f>--(WorkforceData[[#This Row],[Total Days Worked]]&gt;=121)</x:f>
        <x:v>1</x:v>
      </x:c>
    </x:row>
    <x:row r="447">
      <x:c r="A447" s="236" t="str">
        <x:v>TRN-0446</x:v>
      </x:c>
      <x:c r="B447" s="243"/>
      <x:c r="C447" s="243"/>
      <x:c r="D447" s="243"/>
      <x:c r="E447" s="243"/>
      <x:c r="F447" s="14" t="str">
        <x:v>Recruiter C</x:v>
      </x:c>
      <x:c r="G447" s="14" t="str">
        <x:v>Training Center B</x:v>
      </x:c>
      <x:c r="H447" s="28">
        <x:v>46011</x:v>
      </x:c>
      <x:c r="I447" s="14">
        <x:v>2025</x:v>
      </x:c>
      <x:c r="J447" s="14" t="s">
        <x:v>131</x:v>
      </x:c>
      <x:c r="K447" s="14">
        <x:v>21</x:v>
      </x:c>
      <x:c r="L447" s="29" t="s">
        <x:v>101</x:v>
      </x:c>
      <x:c r="M447" s="28">
        <x:v>46011</x:v>
      </x:c>
      <x:c r="N447" s="14"/>
      <x:c r="O447" s="14">
        <x:v>240</x:v>
      </x:c>
      <x:c r="P447" s="14" t="s">
        <x:v>107</x:v>
      </x:c>
      <x:c r="Q447" s="14" t="s">
        <x:v>25</x:v>
      </x:c>
      <x:c r="R447" s="14"/>
      <x:c r="S447" s="14" t="s">
        <x:v>108</x:v>
      </x:c>
      <x:c r="T447" s="14" t="str">
        <x:v>Region C</x:v>
      </x:c>
      <x:c r="U447" s="28">
        <x:v>46015</x:v>
      </x:c>
      <x:c r="V447" s="30">
        <x:v>4</x:v>
      </x:c>
      <x:c r="W447" s="14" t="s">
        <x:v>109</x:v>
      </x:c>
      <x:c r="X447" s="14" t="s">
        <x:v>106</x:v>
      </x:c>
      <x:c r="Y447" s="32" t="str">
        <x:v>TRN-0446|20251220</x:v>
      </x:c>
      <x:c r="Z447" s="32" t="str" cm="1">
        <x:f t="array" ref="Z44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447" s="33" t="n">
        <x:f>--OR(WorkforceData[[#This Row],[Status]]="Active",WorkforceData[[#This Row],[Promoted]]="Yes",WorkforceData[[#This Row],[Total Days Worked]]&gt;=121)</x:f>
        <x:v>1</x:v>
      </x:c>
      <x:c r="AB447" s="33" t="n">
        <x:f>IF(AND(Q447="Terminated",R447="",O447=0),1,0)</x:f>
        <x:v>0</x:v>
      </x:c>
      <x:c r="AC447" s="33" t="n">
        <x:f>--OR(WorkforceData[[#This Row],[Status]]="Resigned",WorkforceData[[#This Row],[Status After Training]]="Withdrew")</x:f>
        <x:v>0</x:v>
      </x:c>
      <x:c r="AD447" s="34" t="n">
        <x:f>EOMONTH(WorkforceData[[#This Row],[Training Date]],0)</x:f>
        <x:v>46022</x:v>
      </x:c>
      <x:c r="AE447" s="32" t="str">
        <x:f>IF(M447&lt;H447,"Existing Employee",IF(U447="","No Assignment",IF(V447=0,"0 Days",IF(V447&lt;=7,"1-7 Days",IF(V447&lt;=14,"8-14 Days",IF(V447&lt;=21,"15-21 Days","21+ Days"))))))</x:f>
        <x:v>1-7 Days</x:v>
      </x:c>
      <x:c r="AF44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47" s="33" t="n">
        <x:f>--(WorkforceData[[#This Row],[Total Days Worked]]&gt;=121)</x:f>
        <x:v>1</x:v>
      </x:c>
    </x:row>
    <x:row r="448">
      <x:c r="A448" s="236" t="str">
        <x:v>TRN-0447</x:v>
      </x:c>
      <x:c r="B448" s="243"/>
      <x:c r="C448" s="243"/>
      <x:c r="D448" s="243"/>
      <x:c r="E448" s="243"/>
      <x:c r="F448" s="14" t="str">
        <x:v>Recruiter H</x:v>
      </x:c>
      <x:c r="G448" s="14" t="str">
        <x:v>Training Center B</x:v>
      </x:c>
      <x:c r="H448" s="28">
        <x:v>45246</x:v>
      </x:c>
      <x:c r="I448" s="14">
        <x:v>2023</x:v>
      </x:c>
      <x:c r="J448" s="14" t="s">
        <x:v>134</x:v>
      </x:c>
      <x:c r="K448" s="14">
        <x:v>25</x:v>
      </x:c>
      <x:c r="L448" s="29" t="s">
        <x:v>101</x:v>
      </x:c>
      <x:c r="M448" s="28">
        <x:v>45244</x:v>
      </x:c>
      <x:c r="N448" s="28">
        <x:v>45299</x:v>
      </x:c>
      <x:c r="O448" s="14">
        <x:v>55</x:v>
      </x:c>
      <x:c r="P448" s="14" t="s">
        <x:v>110</x:v>
      </x:c>
      <x:c r="Q448" s="14" t="s">
        <x:v>103</x:v>
      </x:c>
      <x:c r="R448" s="14" t="s">
        <x:v>111</x:v>
      </x:c>
      <x:c r="S448" s="14" t="s">
        <x:v>105</x:v>
      </x:c>
      <x:c r="T448" s="14" t="str">
        <x:v>Region B</x:v>
      </x:c>
      <x:c r="U448" s="28">
        <x:v>45255</x:v>
      </x:c>
      <x:c r="V448" s="30">
        <x:v>9</x:v>
      </x:c>
      <x:c r="W448" s="14" t="s">
        <x:v>45</x:v>
      </x:c>
      <x:c r="X448" s="14" t="s">
        <x:v>106</x:v>
      </x:c>
      <x:c r="Y448" s="32" t="str">
        <x:v>TRN-0447|20231116</x:v>
      </x:c>
      <x:c r="Z448" s="32" t="str" cm="1">
        <x:f t="array" ref="Z44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448" s="33" t="n">
        <x:f>--OR(WorkforceData[[#This Row],[Status]]="Active",WorkforceData[[#This Row],[Promoted]]="Yes",WorkforceData[[#This Row],[Total Days Worked]]&gt;=121)</x:f>
        <x:v>0</x:v>
      </x:c>
      <x:c r="AB448" s="33" t="n">
        <x:f>IF(AND(Q448="Terminated",R448="",O448=0),1,0)</x:f>
        <x:v>0</x:v>
      </x:c>
      <x:c r="AC448" s="33" t="n">
        <x:f>--OR(WorkforceData[[#This Row],[Status]]="Resigned",WorkforceData[[#This Row],[Status After Training]]="Withdrew")</x:f>
        <x:v>1</x:v>
      </x:c>
      <x:c r="AD448" s="34" t="n">
        <x:f>EOMONTH(WorkforceData[[#This Row],[Training Date]],0)</x:f>
        <x:v>45260</x:v>
      </x:c>
      <x:c r="AE448" s="32" t="str">
        <x:f>IF(M448&lt;H448,"Existing Employee",IF(U448="","No Assignment",IF(V448=0,"0 Days",IF(V448&lt;=7,"1-7 Days",IF(V448&lt;=14,"8-14 Days",IF(V448&lt;=21,"15-21 Days","21+ Days"))))))</x:f>
        <x:v>Existing Employee</x:v>
      </x:c>
      <x:c r="AF44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448" s="33" t="n">
        <x:f>--(WorkforceData[[#This Row],[Total Days Worked]]&gt;=121)</x:f>
        <x:v>0</x:v>
      </x:c>
    </x:row>
    <x:row r="449">
      <x:c r="A449" s="236" t="str">
        <x:v>TRN-0448</x:v>
      </x:c>
      <x:c r="B449" s="243"/>
      <x:c r="C449" s="243"/>
      <x:c r="D449" s="243"/>
      <x:c r="E449" s="243"/>
      <x:c r="F449" s="14" t="str">
        <x:v>Recruiter D</x:v>
      </x:c>
      <x:c r="G449" s="14" t="str">
        <x:v>Training Center B</x:v>
      </x:c>
      <x:c r="H449" s="28">
        <x:v>45246</x:v>
      </x:c>
      <x:c r="I449" s="14">
        <x:v>2023</x:v>
      </x:c>
      <x:c r="J449" s="14" t="s">
        <x:v>134</x:v>
      </x:c>
      <x:c r="K449" s="14">
        <x:v>25</x:v>
      </x:c>
      <x:c r="L449" s="29" t="s">
        <x:v>101</x:v>
      </x:c>
      <x:c r="M449" s="28">
        <x:v>45243</x:v>
      </x:c>
      <x:c r="N449" s="14"/>
      <x:c r="O449" s="14">
        <x:v>1008</x:v>
      </x:c>
      <x:c r="P449" s="14" t="s">
        <x:v>122</x:v>
      </x:c>
      <x:c r="Q449" s="14" t="s">
        <x:v>38</x:v>
      </x:c>
      <x:c r="R449" s="14"/>
      <x:c r="S449" s="14" t="s">
        <x:v>108</x:v>
      </x:c>
      <x:c r="T449" s="14" t="str">
        <x:v>Region D</x:v>
      </x:c>
      <x:c r="U449" s="28">
        <x:v>45271</x:v>
      </x:c>
      <x:c r="V449" s="30">
        <x:v>25</x:v>
      </x:c>
      <x:c r="W449" s="14" t="s">
        <x:v>112</x:v>
      </x:c>
      <x:c r="X449" s="14" t="s">
        <x:v>106</x:v>
      </x:c>
      <x:c r="Y449" s="32" t="str">
        <x:v>TRN-0448|20231116</x:v>
      </x:c>
      <x:c r="Z449" s="32" t="str" cm="1">
        <x:f t="array" ref="Z44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449" s="33" t="n">
        <x:f>--OR(WorkforceData[[#This Row],[Status]]="Active",WorkforceData[[#This Row],[Promoted]]="Yes",WorkforceData[[#This Row],[Total Days Worked]]&gt;=121)</x:f>
        <x:v>1</x:v>
      </x:c>
      <x:c r="AB449" s="33" t="n">
        <x:f>IF(AND(Q449="Terminated",R449="",O449=0),1,0)</x:f>
        <x:v>0</x:v>
      </x:c>
      <x:c r="AC449" s="33" t="n">
        <x:f>--OR(WorkforceData[[#This Row],[Status]]="Resigned",WorkforceData[[#This Row],[Status After Training]]="Withdrew")</x:f>
        <x:v>0</x:v>
      </x:c>
      <x:c r="AD449" s="34" t="n">
        <x:f>EOMONTH(WorkforceData[[#This Row],[Training Date]],0)</x:f>
        <x:v>45260</x:v>
      </x:c>
      <x:c r="AE449" s="32" t="str">
        <x:f>IF(M449&lt;H449,"Existing Employee",IF(U449="","No Assignment",IF(V449=0,"0 Days",IF(V449&lt;=7,"1-7 Days",IF(V449&lt;=14,"8-14 Days",IF(V449&lt;=21,"15-21 Days","21+ Days"))))))</x:f>
        <x:v>Existing Employee</x:v>
      </x:c>
      <x:c r="AF44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49" s="33" t="n">
        <x:f>--(WorkforceData[[#This Row],[Total Days Worked]]&gt;=121)</x:f>
        <x:v>1</x:v>
      </x:c>
    </x:row>
    <x:row r="450">
      <x:c r="A450" s="236" t="str">
        <x:v>TRN-0449</x:v>
      </x:c>
      <x:c r="B450" s="243"/>
      <x:c r="C450" s="243"/>
      <x:c r="D450" s="243"/>
      <x:c r="E450" s="243"/>
      <x:c r="F450" s="14" t="str">
        <x:v>Recruiter D</x:v>
      </x:c>
      <x:c r="G450" s="14" t="str">
        <x:v>Training Center B</x:v>
      </x:c>
      <x:c r="H450" s="28">
        <x:v>45246</x:v>
      </x:c>
      <x:c r="I450" s="14">
        <x:v>2023</x:v>
      </x:c>
      <x:c r="J450" s="14" t="s">
        <x:v>134</x:v>
      </x:c>
      <x:c r="K450" s="14">
        <x:v>25</x:v>
      </x:c>
      <x:c r="L450" s="29" t="s">
        <x:v>101</x:v>
      </x:c>
      <x:c r="M450" s="28">
        <x:v>45246</x:v>
      </x:c>
      <x:c r="N450" s="28">
        <x:v>45301</x:v>
      </x:c>
      <x:c r="O450" s="14">
        <x:v>55</x:v>
      </x:c>
      <x:c r="P450" s="14" t="s">
        <x:v>110</x:v>
      </x:c>
      <x:c r="Q450" s="14" t="s">
        <x:v>103</x:v>
      </x:c>
      <x:c r="R450" s="14" t="s">
        <x:v>104</x:v>
      </x:c>
      <x:c r="S450" s="14" t="s">
        <x:v>105</x:v>
      </x:c>
      <x:c r="T450" s="14" t="str">
        <x:v>Region A</x:v>
      </x:c>
      <x:c r="U450" s="28">
        <x:v>45247</x:v>
      </x:c>
      <x:c r="V450" s="30">
        <x:v>1</x:v>
      </x:c>
      <x:c r="W450" s="14" t="s">
        <x:v>109</x:v>
      </x:c>
      <x:c r="X450" s="14" t="s">
        <x:v>106</x:v>
      </x:c>
      <x:c r="Y450" s="32" t="str">
        <x:v>TRN-0449|20231116</x:v>
      </x:c>
      <x:c r="Z450" s="32" t="str" cm="1">
        <x:f t="array" ref="Z45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450" s="33" t="n">
        <x:f>--OR(WorkforceData[[#This Row],[Status]]="Active",WorkforceData[[#This Row],[Promoted]]="Yes",WorkforceData[[#This Row],[Total Days Worked]]&gt;=121)</x:f>
        <x:v>0</x:v>
      </x:c>
      <x:c r="AB450" s="33" t="n">
        <x:f>IF(AND(Q450="Terminated",R450="",O450=0),1,0)</x:f>
        <x:v>0</x:v>
      </x:c>
      <x:c r="AC450" s="33" t="n">
        <x:f>--OR(WorkforceData[[#This Row],[Status]]="Resigned",WorkforceData[[#This Row],[Status After Training]]="Withdrew")</x:f>
        <x:v>1</x:v>
      </x:c>
      <x:c r="AD450" s="34" t="n">
        <x:f>EOMONTH(WorkforceData[[#This Row],[Training Date]],0)</x:f>
        <x:v>45260</x:v>
      </x:c>
      <x:c r="AE450" s="32" t="str">
        <x:f>IF(M450&lt;H450,"Existing Employee",IF(U450="","No Assignment",IF(V450=0,"0 Days",IF(V450&lt;=7,"1-7 Days",IF(V450&lt;=14,"8-14 Days",IF(V450&lt;=21,"15-21 Days","21+ Days"))))))</x:f>
        <x:v>1-7 Days</x:v>
      </x:c>
      <x:c r="AF45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450" s="33" t="n">
        <x:f>--(WorkforceData[[#This Row],[Total Days Worked]]&gt;=121)</x:f>
        <x:v>0</x:v>
      </x:c>
    </x:row>
    <x:row r="451">
      <x:c r="A451" s="236" t="str">
        <x:v>TRN-0450</x:v>
      </x:c>
      <x:c r="B451" s="243"/>
      <x:c r="C451" s="243"/>
      <x:c r="D451" s="243"/>
      <x:c r="E451" s="243"/>
      <x:c r="F451" s="14" t="str">
        <x:v>Recruiter A</x:v>
      </x:c>
      <x:c r="G451" s="14" t="str">
        <x:v>Training Center B</x:v>
      </x:c>
      <x:c r="H451" s="28">
        <x:v>45246</x:v>
      </x:c>
      <x:c r="I451" s="14">
        <x:v>2023</x:v>
      </x:c>
      <x:c r="J451" s="14" t="s">
        <x:v>134</x:v>
      </x:c>
      <x:c r="K451" s="14">
        <x:v>25</x:v>
      </x:c>
      <x:c r="L451" s="29" t="s">
        <x:v>101</x:v>
      </x:c>
      <x:c r="M451" s="28">
        <x:v>45244</x:v>
      </x:c>
      <x:c r="N451" s="28">
        <x:v>45610</x:v>
      </x:c>
      <x:c r="O451" s="14">
        <x:v>366</x:v>
      </x:c>
      <x:c r="P451" s="14" t="s">
        <x:v>120</x:v>
      </x:c>
      <x:c r="Q451" s="14" t="s">
        <x:v>33</x:v>
      </x:c>
      <x:c r="R451" s="14" t="s">
        <x:v>121</x:v>
      </x:c>
      <x:c r="S451" s="14" t="s">
        <x:v>108</x:v>
      </x:c>
      <x:c r="T451" s="14" t="str">
        <x:v>Region B</x:v>
      </x:c>
      <x:c r="U451" s="28">
        <x:v>45283</x:v>
      </x:c>
      <x:c r="V451" s="30">
        <x:v>37</x:v>
      </x:c>
      <x:c r="W451" s="14" t="s">
        <x:v>63</x:v>
      </x:c>
      <x:c r="X451" s="14" t="s">
        <x:v>117</x:v>
      </x:c>
      <x:c r="Y451" s="32" t="str">
        <x:v>TRN-0450|20231116</x:v>
      </x:c>
      <x:c r="Z451" s="32" t="str" cm="1">
        <x:f t="array" ref="Z45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451" s="33" t="n">
        <x:f>--OR(WorkforceData[[#This Row],[Status]]="Active",WorkforceData[[#This Row],[Promoted]]="Yes",WorkforceData[[#This Row],[Total Days Worked]]&gt;=121)</x:f>
        <x:v>1</x:v>
      </x:c>
      <x:c r="AB451" s="33" t="n">
        <x:f>IF(AND(Q451="Terminated",R451="",O451=0),1,0)</x:f>
        <x:v>0</x:v>
      </x:c>
      <x:c r="AC451" s="33" t="n">
        <x:f>--OR(WorkforceData[[#This Row],[Status]]="Resigned",WorkforceData[[#This Row],[Status After Training]]="Withdrew")</x:f>
        <x:v>0</x:v>
      </x:c>
      <x:c r="AD451" s="34" t="n">
        <x:f>EOMONTH(WorkforceData[[#This Row],[Training Date]],0)</x:f>
        <x:v>45260</x:v>
      </x:c>
      <x:c r="AE451" s="32" t="str">
        <x:f>IF(M451&lt;H451,"Existing Employee",IF(U451="","No Assignment",IF(V451=0,"0 Days",IF(V451&lt;=7,"1-7 Days",IF(V451&lt;=14,"8-14 Days",IF(V451&lt;=21,"15-21 Days","21+ Days"))))))</x:f>
        <x:v>Existing Employee</x:v>
      </x:c>
      <x:c r="AF45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51" s="33" t="n">
        <x:f>--(WorkforceData[[#This Row],[Total Days Worked]]&gt;=121)</x:f>
        <x:v>1</x:v>
      </x:c>
    </x:row>
    <x:row r="452">
      <x:c r="A452" s="236" t="str">
        <x:v>TRN-0451</x:v>
      </x:c>
      <x:c r="B452" s="243"/>
      <x:c r="C452" s="243"/>
      <x:c r="D452" s="243"/>
      <x:c r="E452" s="243"/>
      <x:c r="F452" s="14" t="str">
        <x:v>Recruiter B</x:v>
      </x:c>
      <x:c r="G452" s="14" t="str">
        <x:v>Training Center B</x:v>
      </x:c>
      <x:c r="H452" s="28">
        <x:v>45246</x:v>
      </x:c>
      <x:c r="I452" s="14">
        <x:v>2023</x:v>
      </x:c>
      <x:c r="J452" s="14" t="s">
        <x:v>134</x:v>
      </x:c>
      <x:c r="K452" s="14">
        <x:v>25</x:v>
      </x:c>
      <x:c r="L452" s="29" t="s">
        <x:v>101</x:v>
      </x:c>
      <x:c r="M452" s="28">
        <x:v>45246</x:v>
      </x:c>
      <x:c r="N452" s="14"/>
      <x:c r="O452" s="14">
        <x:v>1005</x:v>
      </x:c>
      <x:c r="P452" s="14" t="s">
        <x:v>122</x:v>
      </x:c>
      <x:c r="Q452" s="14" t="s">
        <x:v>25</x:v>
      </x:c>
      <x:c r="R452" s="14"/>
      <x:c r="S452" s="14" t="s">
        <x:v>108</x:v>
      </x:c>
      <x:c r="T452" s="14" t="str">
        <x:v>Region B</x:v>
      </x:c>
      <x:c r="U452" s="28">
        <x:v>45247</x:v>
      </x:c>
      <x:c r="V452" s="30">
        <x:v>1</x:v>
      </x:c>
      <x:c r="W452" s="14" t="s">
        <x:v>109</x:v>
      </x:c>
      <x:c r="X452" s="14" t="s">
        <x:v>106</x:v>
      </x:c>
      <x:c r="Y452" s="32" t="str">
        <x:v>TRN-0451|20231116</x:v>
      </x:c>
      <x:c r="Z452" s="32" t="str" cm="1">
        <x:f t="array" ref="Z45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452" s="33" t="n">
        <x:f>--OR(WorkforceData[[#This Row],[Status]]="Active",WorkforceData[[#This Row],[Promoted]]="Yes",WorkforceData[[#This Row],[Total Days Worked]]&gt;=121)</x:f>
        <x:v>1</x:v>
      </x:c>
      <x:c r="AB452" s="33" t="n">
        <x:f>IF(AND(Q452="Terminated",R452="",O452=0),1,0)</x:f>
        <x:v>0</x:v>
      </x:c>
      <x:c r="AC452" s="33" t="n">
        <x:f>--OR(WorkforceData[[#This Row],[Status]]="Resigned",WorkforceData[[#This Row],[Status After Training]]="Withdrew")</x:f>
        <x:v>0</x:v>
      </x:c>
      <x:c r="AD452" s="34" t="n">
        <x:f>EOMONTH(WorkforceData[[#This Row],[Training Date]],0)</x:f>
        <x:v>45260</x:v>
      </x:c>
      <x:c r="AE452" s="32" t="str">
        <x:f>IF(M452&lt;H452,"Existing Employee",IF(U452="","No Assignment",IF(V452=0,"0 Days",IF(V452&lt;=7,"1-7 Days",IF(V452&lt;=14,"8-14 Days",IF(V452&lt;=21,"15-21 Days","21+ Days"))))))</x:f>
        <x:v>1-7 Days</x:v>
      </x:c>
      <x:c r="AF45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52" s="33" t="n">
        <x:f>--(WorkforceData[[#This Row],[Total Days Worked]]&gt;=121)</x:f>
        <x:v>1</x:v>
      </x:c>
    </x:row>
    <x:row r="453">
      <x:c r="A453" s="236" t="str">
        <x:v>TRN-0452</x:v>
      </x:c>
      <x:c r="B453" s="243"/>
      <x:c r="C453" s="243"/>
      <x:c r="D453" s="243"/>
      <x:c r="E453" s="243"/>
      <x:c r="F453" s="14" t="str">
        <x:v>Recruiter C</x:v>
      </x:c>
      <x:c r="G453" s="14" t="str">
        <x:v>Training Center B</x:v>
      </x:c>
      <x:c r="H453" s="28">
        <x:v>45246</x:v>
      </x:c>
      <x:c r="I453" s="14">
        <x:v>2023</x:v>
      </x:c>
      <x:c r="J453" s="14" t="s">
        <x:v>134</x:v>
      </x:c>
      <x:c r="K453" s="14">
        <x:v>25</x:v>
      </x:c>
      <x:c r="L453" s="29" t="s">
        <x:v>101</x:v>
      </x:c>
      <x:c r="M453" s="28">
        <x:v>45246</x:v>
      </x:c>
      <x:c r="N453" s="28">
        <x:v>45279</x:v>
      </x:c>
      <x:c r="O453" s="14">
        <x:v>33</x:v>
      </x:c>
      <x:c r="P453" s="14" t="s">
        <x:v>110</x:v>
      </x:c>
      <x:c r="Q453" s="14" t="s">
        <x:v>33</x:v>
      </x:c>
      <x:c r="R453" s="14" t="s">
        <x:v>121</x:v>
      </x:c>
      <x:c r="S453" s="14" t="s">
        <x:v>105</x:v>
      </x:c>
      <x:c r="T453" s="14" t="str">
        <x:v>Region D</x:v>
      </x:c>
      <x:c r="U453" s="28">
        <x:v>45251</x:v>
      </x:c>
      <x:c r="V453" s="30">
        <x:v>5</x:v>
      </x:c>
      <x:c r="W453" s="14" t="s">
        <x:v>109</x:v>
      </x:c>
      <x:c r="X453" s="14" t="s">
        <x:v>125</x:v>
      </x:c>
      <x:c r="Y453" s="32" t="str">
        <x:v>TRN-0452|20231116</x:v>
      </x:c>
      <x:c r="Z453" s="32" t="str" cm="1">
        <x:f t="array" ref="Z45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453" s="33" t="n">
        <x:f>--OR(WorkforceData[[#This Row],[Status]]="Active",WorkforceData[[#This Row],[Promoted]]="Yes",WorkforceData[[#This Row],[Total Days Worked]]&gt;=121)</x:f>
        <x:v>0</x:v>
      </x:c>
      <x:c r="AB453" s="33" t="n">
        <x:f>IF(AND(Q453="Terminated",R453="",O453=0),1,0)</x:f>
        <x:v>0</x:v>
      </x:c>
      <x:c r="AC453" s="33" t="n">
        <x:f>--OR(WorkforceData[[#This Row],[Status]]="Resigned",WorkforceData[[#This Row],[Status After Training]]="Withdrew")</x:f>
        <x:v>0</x:v>
      </x:c>
      <x:c r="AD453" s="34" t="n">
        <x:f>EOMONTH(WorkforceData[[#This Row],[Training Date]],0)</x:f>
        <x:v>45260</x:v>
      </x:c>
      <x:c r="AE453" s="32" t="str">
        <x:f>IF(M453&lt;H453,"Existing Employee",IF(U453="","No Assignment",IF(V453=0,"0 Days",IF(V453&lt;=7,"1-7 Days",IF(V453&lt;=14,"8-14 Days",IF(V453&lt;=21,"15-21 Days","21+ Days"))))))</x:f>
        <x:v>1-7 Days</x:v>
      </x:c>
      <x:c r="AF45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453" s="33" t="n">
        <x:f>--(WorkforceData[[#This Row],[Total Days Worked]]&gt;=121)</x:f>
        <x:v>0</x:v>
      </x:c>
    </x:row>
    <x:row r="454">
      <x:c r="A454" s="236" t="str">
        <x:v>TRN-0453</x:v>
      </x:c>
      <x:c r="B454" s="243"/>
      <x:c r="C454" s="243"/>
      <x:c r="D454" s="243"/>
      <x:c r="E454" s="243"/>
      <x:c r="F454" s="14" t="str">
        <x:v>Recruiter C</x:v>
      </x:c>
      <x:c r="G454" s="14" t="str">
        <x:v>Training Center B</x:v>
      </x:c>
      <x:c r="H454" s="28">
        <x:v>45246</x:v>
      </x:c>
      <x:c r="I454" s="14">
        <x:v>2023</x:v>
      </x:c>
      <x:c r="J454" s="14" t="s">
        <x:v>134</x:v>
      </x:c>
      <x:c r="K454" s="14">
        <x:v>25</x:v>
      </x:c>
      <x:c r="L454" s="29" t="s">
        <x:v>101</x:v>
      </x:c>
      <x:c r="M454" s="28">
        <x:v>45239</x:v>
      </x:c>
      <x:c r="N454" s="14"/>
      <x:c r="O454" s="14">
        <x:v>1012</x:v>
      </x:c>
      <x:c r="P454" s="14" t="s">
        <x:v>122</x:v>
      </x:c>
      <x:c r="Q454" s="14" t="s">
        <x:v>38</x:v>
      </x:c>
      <x:c r="R454" s="14"/>
      <x:c r="S454" s="14" t="s">
        <x:v>108</x:v>
      </x:c>
      <x:c r="T454" s="14" t="str">
        <x:v>Region D</x:v>
      </x:c>
      <x:c r="U454" s="28">
        <x:v>45267</x:v>
      </x:c>
      <x:c r="V454" s="30">
        <x:v>21</x:v>
      </x:c>
      <x:c r="W454" s="14" t="s">
        <x:v>112</x:v>
      </x:c>
      <x:c r="X454" s="14" t="s">
        <x:v>106</x:v>
      </x:c>
      <x:c r="Y454" s="32" t="str">
        <x:v>TRN-0453|20231116</x:v>
      </x:c>
      <x:c r="Z454" s="32" t="str" cm="1">
        <x:f t="array" ref="Z45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454" s="33" t="n">
        <x:f>--OR(WorkforceData[[#This Row],[Status]]="Active",WorkforceData[[#This Row],[Promoted]]="Yes",WorkforceData[[#This Row],[Total Days Worked]]&gt;=121)</x:f>
        <x:v>1</x:v>
      </x:c>
      <x:c r="AB454" s="33" t="n">
        <x:f>IF(AND(Q454="Terminated",R454="",O454=0),1,0)</x:f>
        <x:v>0</x:v>
      </x:c>
      <x:c r="AC454" s="33" t="n">
        <x:f>--OR(WorkforceData[[#This Row],[Status]]="Resigned",WorkforceData[[#This Row],[Status After Training]]="Withdrew")</x:f>
        <x:v>0</x:v>
      </x:c>
      <x:c r="AD454" s="34" t="n">
        <x:f>EOMONTH(WorkforceData[[#This Row],[Training Date]],0)</x:f>
        <x:v>45260</x:v>
      </x:c>
      <x:c r="AE454" s="32" t="str">
        <x:f>IF(M454&lt;H454,"Existing Employee",IF(U454="","No Assignment",IF(V454=0,"0 Days",IF(V454&lt;=7,"1-7 Days",IF(V454&lt;=14,"8-14 Days",IF(V454&lt;=21,"15-21 Days","21+ Days"))))))</x:f>
        <x:v>Existing Employee</x:v>
      </x:c>
      <x:c r="AF45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54" s="33" t="n">
        <x:f>--(WorkforceData[[#This Row],[Total Days Worked]]&gt;=121)</x:f>
        <x:v>1</x:v>
      </x:c>
    </x:row>
    <x:row r="455">
      <x:c r="A455" s="236" t="str">
        <x:v>TRN-0454</x:v>
      </x:c>
      <x:c r="B455" s="243"/>
      <x:c r="C455" s="243"/>
      <x:c r="D455" s="243"/>
      <x:c r="E455" s="243"/>
      <x:c r="F455" s="14" t="str">
        <x:v>Recruiter C</x:v>
      </x:c>
      <x:c r="G455" s="14" t="str">
        <x:v>Training Center B</x:v>
      </x:c>
      <x:c r="H455" s="28">
        <x:v>45246</x:v>
      </x:c>
      <x:c r="I455" s="14">
        <x:v>2023</x:v>
      </x:c>
      <x:c r="J455" s="14" t="s">
        <x:v>134</x:v>
      </x:c>
      <x:c r="K455" s="14">
        <x:v>25</x:v>
      </x:c>
      <x:c r="L455" s="29" t="s">
        <x:v>101</x:v>
      </x:c>
      <x:c r="M455" s="28">
        <x:v>45246</x:v>
      </x:c>
      <x:c r="N455" s="14"/>
      <x:c r="O455" s="14">
        <x:v>1005</x:v>
      </x:c>
      <x:c r="P455" s="14" t="s">
        <x:v>122</x:v>
      </x:c>
      <x:c r="Q455" s="14" t="s">
        <x:v>38</x:v>
      </x:c>
      <x:c r="R455" s="14"/>
      <x:c r="S455" s="14" t="s">
        <x:v>105</x:v>
      </x:c>
      <x:c r="T455" s="14" t="str">
        <x:v>Region A</x:v>
      </x:c>
      <x:c r="U455" s="28">
        <x:v>45350</x:v>
      </x:c>
      <x:c r="V455" s="30">
        <x:v>104</x:v>
      </x:c>
      <x:c r="W455" s="14" t="s">
        <x:v>114</x:v>
      </x:c>
      <x:c r="X455" s="14" t="s">
        <x:v>115</x:v>
      </x:c>
      <x:c r="Y455" s="32" t="str">
        <x:v>TRN-0454|20231116</x:v>
      </x:c>
      <x:c r="Z455" s="32" t="str" cm="1">
        <x:f t="array" ref="Z45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455" s="33" t="n">
        <x:f>--OR(WorkforceData[[#This Row],[Status]]="Active",WorkforceData[[#This Row],[Promoted]]="Yes",WorkforceData[[#This Row],[Total Days Worked]]&gt;=121)</x:f>
        <x:v>1</x:v>
      </x:c>
      <x:c r="AB455" s="33" t="n">
        <x:f>IF(AND(Q455="Terminated",R455="",O455=0),1,0)</x:f>
        <x:v>0</x:v>
      </x:c>
      <x:c r="AC455" s="33" t="n">
        <x:f>--OR(WorkforceData[[#This Row],[Status]]="Resigned",WorkforceData[[#This Row],[Status After Training]]="Withdrew")</x:f>
        <x:v>1</x:v>
      </x:c>
      <x:c r="AD455" s="34" t="n">
        <x:f>EOMONTH(WorkforceData[[#This Row],[Training Date]],0)</x:f>
        <x:v>45260</x:v>
      </x:c>
      <x:c r="AE455" s="32" t="str">
        <x:f>IF(M455&lt;H455,"Existing Employee",IF(U455="","No Assignment",IF(V455=0,"0 Days",IF(V455&lt;=7,"1-7 Days",IF(V455&lt;=14,"8-14 Days",IF(V455&lt;=21,"15-21 Days","21+ Days"))))))</x:f>
        <x:v>21+ Days</x:v>
      </x:c>
      <x:c r="AF45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55" s="33" t="n">
        <x:f>--(WorkforceData[[#This Row],[Total Days Worked]]&gt;=121)</x:f>
        <x:v>1</x:v>
      </x:c>
    </x:row>
    <x:row r="456">
      <x:c r="A456" s="236" t="str">
        <x:v>TRN-0455</x:v>
      </x:c>
      <x:c r="B456" s="243"/>
      <x:c r="C456" s="243"/>
      <x:c r="D456" s="243"/>
      <x:c r="E456" s="243"/>
      <x:c r="F456" s="14" t="str">
        <x:v>Recruiter E</x:v>
      </x:c>
      <x:c r="G456" s="14" t="str">
        <x:v>Training Center B</x:v>
      </x:c>
      <x:c r="H456" s="28">
        <x:v>45246</x:v>
      </x:c>
      <x:c r="I456" s="14">
        <x:v>2023</x:v>
      </x:c>
      <x:c r="J456" s="14" t="s">
        <x:v>134</x:v>
      </x:c>
      <x:c r="K456" s="14">
        <x:v>25</x:v>
      </x:c>
      <x:c r="L456" s="29" t="s">
        <x:v>101</x:v>
      </x:c>
      <x:c r="M456" s="28">
        <x:v>45243</x:v>
      </x:c>
      <x:c r="N456" s="28">
        <x:v>45464</x:v>
      </x:c>
      <x:c r="O456" s="14">
        <x:v>221</x:v>
      </x:c>
      <x:c r="P456" s="14" t="s">
        <x:v>107</x:v>
      </x:c>
      <x:c r="Q456" s="14" t="s">
        <x:v>103</x:v>
      </x:c>
      <x:c r="R456" s="14" t="s">
        <x:v>104</x:v>
      </x:c>
      <x:c r="S456" s="14" t="s">
        <x:v>108</x:v>
      </x:c>
      <x:c r="T456" s="14" t="str">
        <x:v>Region D</x:v>
      </x:c>
      <x:c r="U456" s="28">
        <x:v>45291</x:v>
      </x:c>
      <x:c r="V456" s="30">
        <x:v>45</x:v>
      </x:c>
      <x:c r="W456" s="14" t="s">
        <x:v>63</x:v>
      </x:c>
      <x:c r="X456" s="14" t="s">
        <x:v>117</x:v>
      </x:c>
      <x:c r="Y456" s="32" t="str">
        <x:v>TRN-0455|20231116</x:v>
      </x:c>
      <x:c r="Z456" s="32" t="str" cm="1">
        <x:f t="array" ref="Z45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456" s="33" t="n">
        <x:f>--OR(WorkforceData[[#This Row],[Status]]="Active",WorkforceData[[#This Row],[Promoted]]="Yes",WorkforceData[[#This Row],[Total Days Worked]]&gt;=121)</x:f>
        <x:v>1</x:v>
      </x:c>
      <x:c r="AB456" s="33" t="n">
        <x:f>IF(AND(Q456="Terminated",R456="",O456=0),1,0)</x:f>
        <x:v>0</x:v>
      </x:c>
      <x:c r="AC456" s="33" t="n">
        <x:f>--OR(WorkforceData[[#This Row],[Status]]="Resigned",WorkforceData[[#This Row],[Status After Training]]="Withdrew")</x:f>
        <x:v>1</x:v>
      </x:c>
      <x:c r="AD456" s="34" t="n">
        <x:f>EOMONTH(WorkforceData[[#This Row],[Training Date]],0)</x:f>
        <x:v>45260</x:v>
      </x:c>
      <x:c r="AE456" s="32" t="str">
        <x:f>IF(M456&lt;H456,"Existing Employee",IF(U456="","No Assignment",IF(V456=0,"0 Days",IF(V456&lt;=7,"1-7 Days",IF(V456&lt;=14,"8-14 Days",IF(V456&lt;=21,"15-21 Days","21+ Days"))))))</x:f>
        <x:v>Existing Employee</x:v>
      </x:c>
      <x:c r="AF45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56" s="33" t="n">
        <x:f>--(WorkforceData[[#This Row],[Total Days Worked]]&gt;=121)</x:f>
        <x:v>1</x:v>
      </x:c>
    </x:row>
    <x:row r="457">
      <x:c r="A457" s="236" t="str">
        <x:v>TRN-0456</x:v>
      </x:c>
      <x:c r="B457" s="243"/>
      <x:c r="C457" s="243"/>
      <x:c r="D457" s="243"/>
      <x:c r="E457" s="243"/>
      <x:c r="F457" s="14" t="str">
        <x:v>Recruiter C</x:v>
      </x:c>
      <x:c r="G457" s="14" t="str">
        <x:v>Training Center B</x:v>
      </x:c>
      <x:c r="H457" s="28">
        <x:v>45246</x:v>
      </x:c>
      <x:c r="I457" s="14">
        <x:v>2023</x:v>
      </x:c>
      <x:c r="J457" s="14" t="s">
        <x:v>134</x:v>
      </x:c>
      <x:c r="K457" s="14">
        <x:v>25</x:v>
      </x:c>
      <x:c r="L457" s="29" t="s">
        <x:v>101</x:v>
      </x:c>
      <x:c r="M457" s="28">
        <x:v>45236</x:v>
      </x:c>
      <x:c r="N457" s="28">
        <x:v>46251</x:v>
      </x:c>
      <x:c r="O457" s="14">
        <x:v>1015</x:v>
      </x:c>
      <x:c r="P457" s="14" t="s">
        <x:v>122</x:v>
      </x:c>
      <x:c r="Q457" s="14" t="s">
        <x:v>103</x:v>
      </x:c>
      <x:c r="R457" s="14" t="s">
        <x:v>104</x:v>
      </x:c>
      <x:c r="S457" s="14" t="s">
        <x:v>108</x:v>
      </x:c>
      <x:c r="T457" s="14" t="str">
        <x:v>Region A</x:v>
      </x:c>
      <x:c r="U457" s="28">
        <x:v>45247</x:v>
      </x:c>
      <x:c r="V457" s="30">
        <x:v>1</x:v>
      </x:c>
      <x:c r="W457" s="14" t="s">
        <x:v>109</x:v>
      </x:c>
      <x:c r="X457" s="14" t="s">
        <x:v>106</x:v>
      </x:c>
      <x:c r="Y457" s="32" t="str">
        <x:v>TRN-0456|20231116</x:v>
      </x:c>
      <x:c r="Z457" s="32" t="str" cm="1">
        <x:f t="array" ref="Z45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457" s="33" t="n">
        <x:f>--OR(WorkforceData[[#This Row],[Status]]="Active",WorkforceData[[#This Row],[Promoted]]="Yes",WorkforceData[[#This Row],[Total Days Worked]]&gt;=121)</x:f>
        <x:v>1</x:v>
      </x:c>
      <x:c r="AB457" s="33" t="n">
        <x:f>IF(AND(Q457="Terminated",R457="",O457=0),1,0)</x:f>
        <x:v>0</x:v>
      </x:c>
      <x:c r="AC457" s="33" t="n">
        <x:f>--OR(WorkforceData[[#This Row],[Status]]="Resigned",WorkforceData[[#This Row],[Status After Training]]="Withdrew")</x:f>
        <x:v>1</x:v>
      </x:c>
      <x:c r="AD457" s="34" t="n">
        <x:f>EOMONTH(WorkforceData[[#This Row],[Training Date]],0)</x:f>
        <x:v>45260</x:v>
      </x:c>
      <x:c r="AE457" s="32" t="str">
        <x:f>IF(M457&lt;H457,"Existing Employee",IF(U457="","No Assignment",IF(V457=0,"0 Days",IF(V457&lt;=7,"1-7 Days",IF(V457&lt;=14,"8-14 Days",IF(V457&lt;=21,"15-21 Days","21+ Days"))))))</x:f>
        <x:v>Existing Employee</x:v>
      </x:c>
      <x:c r="AF45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57" s="33" t="n">
        <x:f>--(WorkforceData[[#This Row],[Total Days Worked]]&gt;=121)</x:f>
        <x:v>1</x:v>
      </x:c>
    </x:row>
    <x:row r="458">
      <x:c r="A458" s="236" t="str">
        <x:v>TRN-0457</x:v>
      </x:c>
      <x:c r="B458" s="243"/>
      <x:c r="C458" s="243"/>
      <x:c r="D458" s="243"/>
      <x:c r="E458" s="243"/>
      <x:c r="F458" s="14" t="str">
        <x:v>Recruiter G</x:v>
      </x:c>
      <x:c r="G458" s="14" t="str">
        <x:v>Training Center B</x:v>
      </x:c>
      <x:c r="H458" s="28">
        <x:v>45246</x:v>
      </x:c>
      <x:c r="I458" s="14">
        <x:v>2023</x:v>
      </x:c>
      <x:c r="J458" s="14" t="s">
        <x:v>134</x:v>
      </x:c>
      <x:c r="K458" s="14">
        <x:v>25</x:v>
      </x:c>
      <x:c r="L458" s="29" t="s">
        <x:v>101</x:v>
      </x:c>
      <x:c r="M458" s="28">
        <x:v>45246</x:v>
      </x:c>
      <x:c r="N458" s="28">
        <x:v>45289</x:v>
      </x:c>
      <x:c r="O458" s="14">
        <x:v>43</x:v>
      </x:c>
      <x:c r="P458" s="14" t="s">
        <x:v>110</x:v>
      </x:c>
      <x:c r="Q458" s="14" t="s">
        <x:v>103</x:v>
      </x:c>
      <x:c r="R458" s="14" t="s">
        <x:v>111</x:v>
      </x:c>
      <x:c r="S458" s="14" t="s">
        <x:v>105</x:v>
      </x:c>
      <x:c r="T458" s="14" t="str">
        <x:v>Region A</x:v>
      </x:c>
      <x:c r="U458" s="28">
        <x:v>45274</x:v>
      </x:c>
      <x:c r="V458" s="30">
        <x:v>28</x:v>
      </x:c>
      <x:c r="W458" s="14" t="s">
        <x:v>112</x:v>
      </x:c>
      <x:c r="X458" s="14" t="s">
        <x:v>106</x:v>
      </x:c>
      <x:c r="Y458" s="32" t="str">
        <x:v>TRN-0457|20231116</x:v>
      </x:c>
      <x:c r="Z458" s="32" t="str" cm="1">
        <x:f t="array" ref="Z45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458" s="33" t="n">
        <x:f>--OR(WorkforceData[[#This Row],[Status]]="Active",WorkforceData[[#This Row],[Promoted]]="Yes",WorkforceData[[#This Row],[Total Days Worked]]&gt;=121)</x:f>
        <x:v>0</x:v>
      </x:c>
      <x:c r="AB458" s="33" t="n">
        <x:f>IF(AND(Q458="Terminated",R458="",O458=0),1,0)</x:f>
        <x:v>0</x:v>
      </x:c>
      <x:c r="AC458" s="33" t="n">
        <x:f>--OR(WorkforceData[[#This Row],[Status]]="Resigned",WorkforceData[[#This Row],[Status After Training]]="Withdrew")</x:f>
        <x:v>1</x:v>
      </x:c>
      <x:c r="AD458" s="34" t="n">
        <x:f>EOMONTH(WorkforceData[[#This Row],[Training Date]],0)</x:f>
        <x:v>45260</x:v>
      </x:c>
      <x:c r="AE458" s="32" t="str">
        <x:f>IF(M458&lt;H458,"Existing Employee",IF(U458="","No Assignment",IF(V458=0,"0 Days",IF(V458&lt;=7,"1-7 Days",IF(V458&lt;=14,"8-14 Days",IF(V458&lt;=21,"15-21 Days","21+ Days"))))))</x:f>
        <x:v>21+ Days</x:v>
      </x:c>
      <x:c r="AF45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458" s="33" t="n">
        <x:f>--(WorkforceData[[#This Row],[Total Days Worked]]&gt;=121)</x:f>
        <x:v>0</x:v>
      </x:c>
    </x:row>
    <x:row r="459">
      <x:c r="A459" s="236" t="str">
        <x:v>TRN-0458</x:v>
      </x:c>
      <x:c r="B459" s="243"/>
      <x:c r="C459" s="243"/>
      <x:c r="D459" s="243"/>
      <x:c r="E459" s="243"/>
      <x:c r="F459" s="14" t="str">
        <x:v>Recruiter B</x:v>
      </x:c>
      <x:c r="G459" s="14" t="str">
        <x:v>Training Center B</x:v>
      </x:c>
      <x:c r="H459" s="28">
        <x:v>45246</x:v>
      </x:c>
      <x:c r="I459" s="14">
        <x:v>2023</x:v>
      </x:c>
      <x:c r="J459" s="14" t="s">
        <x:v>134</x:v>
      </x:c>
      <x:c r="K459" s="14">
        <x:v>25</x:v>
      </x:c>
      <x:c r="L459" s="29" t="s">
        <x:v>101</x:v>
      </x:c>
      <x:c r="M459" s="28">
        <x:v>45239</x:v>
      </x:c>
      <x:c r="N459" s="28">
        <x:v>45254</x:v>
      </x:c>
      <x:c r="O459" s="14">
        <x:v>15</x:v>
      </x:c>
      <x:c r="P459" s="14" t="s">
        <x:v>102</x:v>
      </x:c>
      <x:c r="Q459" s="14" t="s">
        <x:v>103</x:v>
      </x:c>
      <x:c r="R459" s="14" t="s">
        <x:v>111</x:v>
      </x:c>
      <x:c r="S459" s="14" t="s">
        <x:v>105</x:v>
      </x:c>
      <x:c r="T459" s="14" t="str">
        <x:v>Region D</x:v>
      </x:c>
      <x:c r="U459" s="28">
        <x:v>45254</x:v>
      </x:c>
      <x:c r="V459" s="30">
        <x:v>8</x:v>
      </x:c>
      <x:c r="W459" s="14" t="s">
        <x:v>45</x:v>
      </x:c>
      <x:c r="X459" s="14" t="s">
        <x:v>106</x:v>
      </x:c>
      <x:c r="Y459" s="32" t="str">
        <x:v>TRN-0458|20231116</x:v>
      </x:c>
      <x:c r="Z459" s="32" t="str" cm="1">
        <x:f t="array" ref="Z45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459" s="33" t="n">
        <x:f>--OR(WorkforceData[[#This Row],[Status]]="Active",WorkforceData[[#This Row],[Promoted]]="Yes",WorkforceData[[#This Row],[Total Days Worked]]&gt;=121)</x:f>
        <x:v>0</x:v>
      </x:c>
      <x:c r="AB459" s="33" t="n">
        <x:f>IF(AND(Q459="Terminated",R459="",O459=0),1,0)</x:f>
        <x:v>0</x:v>
      </x:c>
      <x:c r="AC459" s="33" t="n">
        <x:f>--OR(WorkforceData[[#This Row],[Status]]="Resigned",WorkforceData[[#This Row],[Status After Training]]="Withdrew")</x:f>
        <x:v>1</x:v>
      </x:c>
      <x:c r="AD459" s="34" t="n">
        <x:f>EOMONTH(WorkforceData[[#This Row],[Training Date]],0)</x:f>
        <x:v>45260</x:v>
      </x:c>
      <x:c r="AE459" s="32" t="str">
        <x:f>IF(M459&lt;H459,"Existing Employee",IF(U459="","No Assignment",IF(V459=0,"0 Days",IF(V459&lt;=7,"1-7 Days",IF(V459&lt;=14,"8-14 Days",IF(V459&lt;=21,"15-21 Days","21+ Days"))))))</x:f>
        <x:v>Existing Employee</x:v>
      </x:c>
      <x:c r="AF45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459" s="33" t="n">
        <x:f>--(WorkforceData[[#This Row],[Total Days Worked]]&gt;=121)</x:f>
        <x:v>0</x:v>
      </x:c>
    </x:row>
    <x:row r="460">
      <x:c r="A460" s="236" t="str">
        <x:v>TRN-0459</x:v>
      </x:c>
      <x:c r="B460" s="243"/>
      <x:c r="C460" s="243"/>
      <x:c r="D460" s="243"/>
      <x:c r="E460" s="243"/>
      <x:c r="F460" s="14" t="str">
        <x:v>Recruiter F</x:v>
      </x:c>
      <x:c r="G460" s="14" t="str">
        <x:v>Training Center B</x:v>
      </x:c>
      <x:c r="H460" s="28">
        <x:v>45246</x:v>
      </x:c>
      <x:c r="I460" s="14">
        <x:v>2023</x:v>
      </x:c>
      <x:c r="J460" s="14" t="s">
        <x:v>134</x:v>
      </x:c>
      <x:c r="K460" s="14">
        <x:v>25</x:v>
      </x:c>
      <x:c r="L460" s="29" t="s">
        <x:v>101</x:v>
      </x:c>
      <x:c r="M460" s="28">
        <x:v>45239</x:v>
      </x:c>
      <x:c r="N460" s="14"/>
      <x:c r="O460" s="14">
        <x:v>1012</x:v>
      </x:c>
      <x:c r="P460" s="14" t="s">
        <x:v>122</x:v>
      </x:c>
      <x:c r="Q460" s="14" t="s">
        <x:v>25</x:v>
      </x:c>
      <x:c r="R460" s="14"/>
      <x:c r="S460" s="14" t="s">
        <x:v>108</x:v>
      </x:c>
      <x:c r="T460" s="14" t="str">
        <x:v>Region B</x:v>
      </x:c>
      <x:c r="U460" s="28">
        <x:v>45246</x:v>
      </x:c>
      <x:c r="V460" s="30">
        <x:v>0</x:v>
      </x:c>
      <x:c r="W460" s="14" t="s">
        <x:v>109</x:v>
      </x:c>
      <x:c r="X460" s="14" t="s">
        <x:v>106</x:v>
      </x:c>
      <x:c r="Y460" s="32" t="str">
        <x:v>TRN-0459|20231116</x:v>
      </x:c>
      <x:c r="Z460" s="32" t="str" cm="1">
        <x:f t="array" ref="Z46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460" s="33" t="n">
        <x:f>--OR(WorkforceData[[#This Row],[Status]]="Active",WorkforceData[[#This Row],[Promoted]]="Yes",WorkforceData[[#This Row],[Total Days Worked]]&gt;=121)</x:f>
        <x:v>1</x:v>
      </x:c>
      <x:c r="AB460" s="33" t="n">
        <x:f>IF(AND(Q460="Terminated",R460="",O460=0),1,0)</x:f>
        <x:v>0</x:v>
      </x:c>
      <x:c r="AC460" s="33" t="n">
        <x:f>--OR(WorkforceData[[#This Row],[Status]]="Resigned",WorkforceData[[#This Row],[Status After Training]]="Withdrew")</x:f>
        <x:v>0</x:v>
      </x:c>
      <x:c r="AD460" s="34" t="n">
        <x:f>EOMONTH(WorkforceData[[#This Row],[Training Date]],0)</x:f>
        <x:v>45260</x:v>
      </x:c>
      <x:c r="AE460" s="32" t="str">
        <x:f>IF(M460&lt;H460,"Existing Employee",IF(U460="","No Assignment",IF(V460=0,"0 Days",IF(V460&lt;=7,"1-7 Days",IF(V460&lt;=14,"8-14 Days",IF(V460&lt;=21,"15-21 Days","21+ Days"))))))</x:f>
        <x:v>Existing Employee</x:v>
      </x:c>
      <x:c r="AF46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60" s="33" t="n">
        <x:f>--(WorkforceData[[#This Row],[Total Days Worked]]&gt;=121)</x:f>
        <x:v>1</x:v>
      </x:c>
    </x:row>
    <x:row r="461">
      <x:c r="A461" s="236" t="str">
        <x:v>TRN-0460</x:v>
      </x:c>
      <x:c r="B461" s="243"/>
      <x:c r="C461" s="243"/>
      <x:c r="D461" s="243"/>
      <x:c r="E461" s="243"/>
      <x:c r="F461" s="14" t="str">
        <x:v>Recruiter C</x:v>
      </x:c>
      <x:c r="G461" s="14" t="str">
        <x:v>Training Center B</x:v>
      </x:c>
      <x:c r="H461" s="28">
        <x:v>45246</x:v>
      </x:c>
      <x:c r="I461" s="14">
        <x:v>2023</x:v>
      </x:c>
      <x:c r="J461" s="14" t="s">
        <x:v>134</x:v>
      </x:c>
      <x:c r="K461" s="14">
        <x:v>25</x:v>
      </x:c>
      <x:c r="L461" s="29" t="s">
        <x:v>101</x:v>
      </x:c>
      <x:c r="M461" s="28">
        <x:v>45246</x:v>
      </x:c>
      <x:c r="N461" s="14"/>
      <x:c r="O461" s="14">
        <x:v>1005</x:v>
      </x:c>
      <x:c r="P461" s="14" t="s">
        <x:v>122</x:v>
      </x:c>
      <x:c r="Q461" s="14" t="s">
        <x:v>25</x:v>
      </x:c>
      <x:c r="R461" s="14"/>
      <x:c r="S461" s="14" t="s">
        <x:v>108</x:v>
      </x:c>
      <x:c r="T461" s="14" t="str">
        <x:v>Region B</x:v>
      </x:c>
      <x:c r="U461" s="28">
        <x:v>45250</x:v>
      </x:c>
      <x:c r="V461" s="30">
        <x:v>4</x:v>
      </x:c>
      <x:c r="W461" s="14" t="s">
        <x:v>109</x:v>
      </x:c>
      <x:c r="X461" s="14" t="s">
        <x:v>106</x:v>
      </x:c>
      <x:c r="Y461" s="32" t="str">
        <x:v>TRN-0460|20231116</x:v>
      </x:c>
      <x:c r="Z461" s="32" t="str" cm="1">
        <x:f t="array" ref="Z46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461" s="33" t="n">
        <x:f>--OR(WorkforceData[[#This Row],[Status]]="Active",WorkforceData[[#This Row],[Promoted]]="Yes",WorkforceData[[#This Row],[Total Days Worked]]&gt;=121)</x:f>
        <x:v>1</x:v>
      </x:c>
      <x:c r="AB461" s="33" t="n">
        <x:f>IF(AND(Q461="Terminated",R461="",O461=0),1,0)</x:f>
        <x:v>0</x:v>
      </x:c>
      <x:c r="AC461" s="33" t="n">
        <x:f>--OR(WorkforceData[[#This Row],[Status]]="Resigned",WorkforceData[[#This Row],[Status After Training]]="Withdrew")</x:f>
        <x:v>0</x:v>
      </x:c>
      <x:c r="AD461" s="34" t="n">
        <x:f>EOMONTH(WorkforceData[[#This Row],[Training Date]],0)</x:f>
        <x:v>45260</x:v>
      </x:c>
      <x:c r="AE461" s="32" t="str">
        <x:f>IF(M461&lt;H461,"Existing Employee",IF(U461="","No Assignment",IF(V461=0,"0 Days",IF(V461&lt;=7,"1-7 Days",IF(V461&lt;=14,"8-14 Days",IF(V461&lt;=21,"15-21 Days","21+ Days"))))))</x:f>
        <x:v>1-7 Days</x:v>
      </x:c>
      <x:c r="AF46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61" s="33" t="n">
        <x:f>--(WorkforceData[[#This Row],[Total Days Worked]]&gt;=121)</x:f>
        <x:v>1</x:v>
      </x:c>
    </x:row>
    <x:row r="462">
      <x:c r="A462" s="236" t="str">
        <x:v>TRN-0461</x:v>
      </x:c>
      <x:c r="B462" s="243"/>
      <x:c r="C462" s="243"/>
      <x:c r="D462" s="243"/>
      <x:c r="E462" s="243"/>
      <x:c r="F462" s="14" t="str">
        <x:v>Recruiter G</x:v>
      </x:c>
      <x:c r="G462" s="14" t="str">
        <x:v>Training Center B</x:v>
      </x:c>
      <x:c r="H462" s="28">
        <x:v>45246</x:v>
      </x:c>
      <x:c r="I462" s="14">
        <x:v>2023</x:v>
      </x:c>
      <x:c r="J462" s="14" t="s">
        <x:v>134</x:v>
      </x:c>
      <x:c r="K462" s="14">
        <x:v>25</x:v>
      </x:c>
      <x:c r="L462" s="29" t="s">
        <x:v>101</x:v>
      </x:c>
      <x:c r="M462" s="28">
        <x:v>45243</x:v>
      </x:c>
      <x:c r="N462" s="14"/>
      <x:c r="O462" s="14">
        <x:v>1008</x:v>
      </x:c>
      <x:c r="P462" s="14" t="s">
        <x:v>122</x:v>
      </x:c>
      <x:c r="Q462" s="14" t="s">
        <x:v>38</x:v>
      </x:c>
      <x:c r="R462" s="14"/>
      <x:c r="S462" s="14" t="s">
        <x:v>108</x:v>
      </x:c>
      <x:c r="T462" s="14" t="str">
        <x:v>Region C</x:v>
      </x:c>
      <x:c r="U462" s="28">
        <x:v>45258</x:v>
      </x:c>
      <x:c r="V462" s="30">
        <x:v>12</x:v>
      </x:c>
      <x:c r="W462" s="14" t="s">
        <x:v>45</x:v>
      </x:c>
      <x:c r="X462" s="14" t="s">
        <x:v>106</x:v>
      </x:c>
      <x:c r="Y462" s="32" t="str">
        <x:v>TRN-0461|20231116</x:v>
      </x:c>
      <x:c r="Z462" s="32" t="str" cm="1">
        <x:f t="array" ref="Z46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462" s="33" t="n">
        <x:f>--OR(WorkforceData[[#This Row],[Status]]="Active",WorkforceData[[#This Row],[Promoted]]="Yes",WorkforceData[[#This Row],[Total Days Worked]]&gt;=121)</x:f>
        <x:v>1</x:v>
      </x:c>
      <x:c r="AB462" s="33" t="n">
        <x:f>IF(AND(Q462="Terminated",R462="",O462=0),1,0)</x:f>
        <x:v>0</x:v>
      </x:c>
      <x:c r="AC462" s="33" t="n">
        <x:f>--OR(WorkforceData[[#This Row],[Status]]="Resigned",WorkforceData[[#This Row],[Status After Training]]="Withdrew")</x:f>
        <x:v>0</x:v>
      </x:c>
      <x:c r="AD462" s="34" t="n">
        <x:f>EOMONTH(WorkforceData[[#This Row],[Training Date]],0)</x:f>
        <x:v>45260</x:v>
      </x:c>
      <x:c r="AE462" s="32" t="str">
        <x:f>IF(M462&lt;H462,"Existing Employee",IF(U462="","No Assignment",IF(V462=0,"0 Days",IF(V462&lt;=7,"1-7 Days",IF(V462&lt;=14,"8-14 Days",IF(V462&lt;=21,"15-21 Days","21+ Days"))))))</x:f>
        <x:v>Existing Employee</x:v>
      </x:c>
      <x:c r="AF46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62" s="33" t="n">
        <x:f>--(WorkforceData[[#This Row],[Total Days Worked]]&gt;=121)</x:f>
        <x:v>1</x:v>
      </x:c>
    </x:row>
    <x:row r="463">
      <x:c r="A463" s="236" t="str">
        <x:v>TRN-0462</x:v>
      </x:c>
      <x:c r="B463" s="243"/>
      <x:c r="C463" s="243"/>
      <x:c r="D463" s="243"/>
      <x:c r="E463" s="243"/>
      <x:c r="F463" s="14" t="str">
        <x:v>Recruiter A</x:v>
      </x:c>
      <x:c r="G463" s="14" t="str">
        <x:v>Training Center B</x:v>
      </x:c>
      <x:c r="H463" s="28">
        <x:v>45246</x:v>
      </x:c>
      <x:c r="I463" s="14">
        <x:v>2023</x:v>
      </x:c>
      <x:c r="J463" s="14" t="s">
        <x:v>134</x:v>
      </x:c>
      <x:c r="K463" s="14">
        <x:v>25</x:v>
      </x:c>
      <x:c r="L463" s="29" t="s">
        <x:v>101</x:v>
      </x:c>
      <x:c r="M463" s="28">
        <x:v>45236</x:v>
      </x:c>
      <x:c r="N463" s="28">
        <x:v>45886</x:v>
      </x:c>
      <x:c r="O463" s="14">
        <x:v>650</x:v>
      </x:c>
      <x:c r="P463" s="14" t="s">
        <x:v>120</x:v>
      </x:c>
      <x:c r="Q463" s="14" t="s">
        <x:v>33</x:v>
      </x:c>
      <x:c r="R463" s="14" t="s">
        <x:v>116</x:v>
      </x:c>
      <x:c r="S463" s="14" t="s">
        <x:v>108</x:v>
      </x:c>
      <x:c r="T463" s="14" t="str">
        <x:v>Region C</x:v>
      </x:c>
      <x:c r="U463" s="28">
        <x:v>45251</x:v>
      </x:c>
      <x:c r="V463" s="30">
        <x:v>5</x:v>
      </x:c>
      <x:c r="W463" s="14" t="s">
        <x:v>109</x:v>
      </x:c>
      <x:c r="X463" s="14" t="s">
        <x:v>106</x:v>
      </x:c>
      <x:c r="Y463" s="32" t="str">
        <x:v>TRN-0462|20231116</x:v>
      </x:c>
      <x:c r="Z463" s="32" t="str" cm="1">
        <x:f t="array" ref="Z46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463" s="33" t="n">
        <x:f>--OR(WorkforceData[[#This Row],[Status]]="Active",WorkforceData[[#This Row],[Promoted]]="Yes",WorkforceData[[#This Row],[Total Days Worked]]&gt;=121)</x:f>
        <x:v>1</x:v>
      </x:c>
      <x:c r="AB463" s="33" t="n">
        <x:f>IF(AND(Q463="Terminated",R463="",O463=0),1,0)</x:f>
        <x:v>0</x:v>
      </x:c>
      <x:c r="AC463" s="33" t="n">
        <x:f>--OR(WorkforceData[[#This Row],[Status]]="Resigned",WorkforceData[[#This Row],[Status After Training]]="Withdrew")</x:f>
        <x:v>0</x:v>
      </x:c>
      <x:c r="AD463" s="34" t="n">
        <x:f>EOMONTH(WorkforceData[[#This Row],[Training Date]],0)</x:f>
        <x:v>45260</x:v>
      </x:c>
      <x:c r="AE463" s="32" t="str">
        <x:f>IF(M463&lt;H463,"Existing Employee",IF(U463="","No Assignment",IF(V463=0,"0 Days",IF(V463&lt;=7,"1-7 Days",IF(V463&lt;=14,"8-14 Days",IF(V463&lt;=21,"15-21 Days","21+ Days"))))))</x:f>
        <x:v>Existing Employee</x:v>
      </x:c>
      <x:c r="AF46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63" s="33" t="n">
        <x:f>--(WorkforceData[[#This Row],[Total Days Worked]]&gt;=121)</x:f>
        <x:v>1</x:v>
      </x:c>
    </x:row>
    <x:row r="464">
      <x:c r="A464" s="236" t="str">
        <x:v>TRN-0463</x:v>
      </x:c>
      <x:c r="B464" s="243"/>
      <x:c r="C464" s="243"/>
      <x:c r="D464" s="243"/>
      <x:c r="E464" s="243"/>
      <x:c r="F464" s="14" t="str">
        <x:v>Recruiter G</x:v>
      </x:c>
      <x:c r="G464" s="14" t="str">
        <x:v>Training Center B</x:v>
      </x:c>
      <x:c r="H464" s="28">
        <x:v>45246</x:v>
      </x:c>
      <x:c r="I464" s="14">
        <x:v>2023</x:v>
      </x:c>
      <x:c r="J464" s="14" t="s">
        <x:v>134</x:v>
      </x:c>
      <x:c r="K464" s="14">
        <x:v>25</x:v>
      </x:c>
      <x:c r="L464" s="29" t="s">
        <x:v>101</x:v>
      </x:c>
      <x:c r="M464" s="28">
        <x:v>45236</x:v>
      </x:c>
      <x:c r="N464" s="14"/>
      <x:c r="O464" s="14">
        <x:v>1015</x:v>
      </x:c>
      <x:c r="P464" s="14" t="s">
        <x:v>122</x:v>
      </x:c>
      <x:c r="Q464" s="14" t="s">
        <x:v>25</x:v>
      </x:c>
      <x:c r="R464" s="14"/>
      <x:c r="S464" s="14" t="s">
        <x:v>108</x:v>
      </x:c>
      <x:c r="T464" s="14" t="str">
        <x:v>Region D</x:v>
      </x:c>
      <x:c r="U464" s="28">
        <x:v>45265</x:v>
      </x:c>
      <x:c r="V464" s="30">
        <x:v>19</x:v>
      </x:c>
      <x:c r="W464" s="14" t="s">
        <x:v>112</x:v>
      </x:c>
      <x:c r="X464" s="14" t="s">
        <x:v>106</x:v>
      </x:c>
      <x:c r="Y464" s="32" t="str">
        <x:v>TRN-0463|20231116</x:v>
      </x:c>
      <x:c r="Z464" s="32" t="str" cm="1">
        <x:f t="array" ref="Z46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464" s="33" t="n">
        <x:f>--OR(WorkforceData[[#This Row],[Status]]="Active",WorkforceData[[#This Row],[Promoted]]="Yes",WorkforceData[[#This Row],[Total Days Worked]]&gt;=121)</x:f>
        <x:v>1</x:v>
      </x:c>
      <x:c r="AB464" s="33" t="n">
        <x:f>IF(AND(Q464="Terminated",R464="",O464=0),1,0)</x:f>
        <x:v>0</x:v>
      </x:c>
      <x:c r="AC464" s="33" t="n">
        <x:f>--OR(WorkforceData[[#This Row],[Status]]="Resigned",WorkforceData[[#This Row],[Status After Training]]="Withdrew")</x:f>
        <x:v>0</x:v>
      </x:c>
      <x:c r="AD464" s="34" t="n">
        <x:f>EOMONTH(WorkforceData[[#This Row],[Training Date]],0)</x:f>
        <x:v>45260</x:v>
      </x:c>
      <x:c r="AE464" s="32" t="str">
        <x:f>IF(M464&lt;H464,"Existing Employee",IF(U464="","No Assignment",IF(V464=0,"0 Days",IF(V464&lt;=7,"1-7 Days",IF(V464&lt;=14,"8-14 Days",IF(V464&lt;=21,"15-21 Days","21+ Days"))))))</x:f>
        <x:v>Existing Employee</x:v>
      </x:c>
      <x:c r="AF46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64" s="33" t="n">
        <x:f>--(WorkforceData[[#This Row],[Total Days Worked]]&gt;=121)</x:f>
        <x:v>1</x:v>
      </x:c>
    </x:row>
    <x:row r="465">
      <x:c r="A465" s="236" t="str">
        <x:v>TRN-0464</x:v>
      </x:c>
      <x:c r="B465" s="243"/>
      <x:c r="C465" s="243"/>
      <x:c r="D465" s="243"/>
      <x:c r="E465" s="243"/>
      <x:c r="F465" s="14" t="str">
        <x:v>Recruiter E</x:v>
      </x:c>
      <x:c r="G465" s="14" t="str">
        <x:v>Training Center B</x:v>
      </x:c>
      <x:c r="H465" s="28">
        <x:v>45246</x:v>
      </x:c>
      <x:c r="I465" s="14">
        <x:v>2023</x:v>
      </x:c>
      <x:c r="J465" s="14" t="s">
        <x:v>134</x:v>
      </x:c>
      <x:c r="K465" s="14">
        <x:v>25</x:v>
      </x:c>
      <x:c r="L465" s="29" t="s">
        <x:v>101</x:v>
      </x:c>
      <x:c r="M465" s="28">
        <x:v>45246</x:v>
      </x:c>
      <x:c r="N465" s="14"/>
      <x:c r="O465" s="14">
        <x:v>1005</x:v>
      </x:c>
      <x:c r="P465" s="14" t="s">
        <x:v>122</x:v>
      </x:c>
      <x:c r="Q465" s="14" t="s">
        <x:v>38</x:v>
      </x:c>
      <x:c r="R465" s="14"/>
      <x:c r="S465" s="14" t="s">
        <x:v>108</x:v>
      </x:c>
      <x:c r="T465" s="14" t="str">
        <x:v>Region C</x:v>
      </x:c>
      <x:c r="U465" s="28">
        <x:v>45247</x:v>
      </x:c>
      <x:c r="V465" s="30">
        <x:v>1</x:v>
      </x:c>
      <x:c r="W465" s="14" t="s">
        <x:v>109</x:v>
      </x:c>
      <x:c r="X465" s="14" t="s">
        <x:v>106</x:v>
      </x:c>
      <x:c r="Y465" s="32" t="str">
        <x:v>TRN-0464|20231116</x:v>
      </x:c>
      <x:c r="Z465" s="32" t="str" cm="1">
        <x:f t="array" ref="Z46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465" s="33" t="n">
        <x:f>--OR(WorkforceData[[#This Row],[Status]]="Active",WorkforceData[[#This Row],[Promoted]]="Yes",WorkforceData[[#This Row],[Total Days Worked]]&gt;=121)</x:f>
        <x:v>1</x:v>
      </x:c>
      <x:c r="AB465" s="33" t="n">
        <x:f>IF(AND(Q465="Terminated",R465="",O465=0),1,0)</x:f>
        <x:v>0</x:v>
      </x:c>
      <x:c r="AC465" s="33" t="n">
        <x:f>--OR(WorkforceData[[#This Row],[Status]]="Resigned",WorkforceData[[#This Row],[Status After Training]]="Withdrew")</x:f>
        <x:v>0</x:v>
      </x:c>
      <x:c r="AD465" s="34" t="n">
        <x:f>EOMONTH(WorkforceData[[#This Row],[Training Date]],0)</x:f>
        <x:v>45260</x:v>
      </x:c>
      <x:c r="AE465" s="32" t="str">
        <x:f>IF(M465&lt;H465,"Existing Employee",IF(U465="","No Assignment",IF(V465=0,"0 Days",IF(V465&lt;=7,"1-7 Days",IF(V465&lt;=14,"8-14 Days",IF(V465&lt;=21,"15-21 Days","21+ Days"))))))</x:f>
        <x:v>1-7 Days</x:v>
      </x:c>
      <x:c r="AF46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65" s="33" t="n">
        <x:f>--(WorkforceData[[#This Row],[Total Days Worked]]&gt;=121)</x:f>
        <x:v>1</x:v>
      </x:c>
    </x:row>
    <x:row r="466">
      <x:c r="A466" s="236" t="str">
        <x:v>TRN-0465</x:v>
      </x:c>
      <x:c r="B466" s="243"/>
      <x:c r="C466" s="243"/>
      <x:c r="D466" s="243"/>
      <x:c r="E466" s="243"/>
      <x:c r="F466" s="14" t="str">
        <x:v>Recruiter B</x:v>
      </x:c>
      <x:c r="G466" s="14" t="str">
        <x:v>Training Center B</x:v>
      </x:c>
      <x:c r="H466" s="28">
        <x:v>45246</x:v>
      </x:c>
      <x:c r="I466" s="14">
        <x:v>2023</x:v>
      </x:c>
      <x:c r="J466" s="14" t="s">
        <x:v>134</x:v>
      </x:c>
      <x:c r="K466" s="14">
        <x:v>25</x:v>
      </x:c>
      <x:c r="L466" s="29" t="s">
        <x:v>101</x:v>
      </x:c>
      <x:c r="M466" s="28">
        <x:v>45246</x:v>
      </x:c>
      <x:c r="N466" s="14"/>
      <x:c r="O466" s="14">
        <x:v>1005</x:v>
      </x:c>
      <x:c r="P466" s="14" t="s">
        <x:v>122</x:v>
      </x:c>
      <x:c r="Q466" s="14" t="s">
        <x:v>25</x:v>
      </x:c>
      <x:c r="R466" s="14"/>
      <x:c r="S466" s="14" t="s">
        <x:v>108</x:v>
      </x:c>
      <x:c r="T466" s="14" t="str">
        <x:v>Region A</x:v>
      </x:c>
      <x:c r="U466" s="28">
        <x:v>45252</x:v>
      </x:c>
      <x:c r="V466" s="30">
        <x:v>6</x:v>
      </x:c>
      <x:c r="W466" s="14" t="s">
        <x:v>109</x:v>
      </x:c>
      <x:c r="X466" s="14" t="s">
        <x:v>106</x:v>
      </x:c>
      <x:c r="Y466" s="32" t="str">
        <x:v>TRN-0465|20231116</x:v>
      </x:c>
      <x:c r="Z466" s="32" t="str" cm="1">
        <x:f t="array" ref="Z46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466" s="33" t="n">
        <x:f>--OR(WorkforceData[[#This Row],[Status]]="Active",WorkforceData[[#This Row],[Promoted]]="Yes",WorkforceData[[#This Row],[Total Days Worked]]&gt;=121)</x:f>
        <x:v>1</x:v>
      </x:c>
      <x:c r="AB466" s="33" t="n">
        <x:f>IF(AND(Q466="Terminated",R466="",O466=0),1,0)</x:f>
        <x:v>0</x:v>
      </x:c>
      <x:c r="AC466" s="33" t="n">
        <x:f>--OR(WorkforceData[[#This Row],[Status]]="Resigned",WorkforceData[[#This Row],[Status After Training]]="Withdrew")</x:f>
        <x:v>0</x:v>
      </x:c>
      <x:c r="AD466" s="34" t="n">
        <x:f>EOMONTH(WorkforceData[[#This Row],[Training Date]],0)</x:f>
        <x:v>45260</x:v>
      </x:c>
      <x:c r="AE466" s="32" t="str">
        <x:f>IF(M466&lt;H466,"Existing Employee",IF(U466="","No Assignment",IF(V466=0,"0 Days",IF(V466&lt;=7,"1-7 Days",IF(V466&lt;=14,"8-14 Days",IF(V466&lt;=21,"15-21 Days","21+ Days"))))))</x:f>
        <x:v>1-7 Days</x:v>
      </x:c>
      <x:c r="AF46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66" s="33" t="n">
        <x:f>--(WorkforceData[[#This Row],[Total Days Worked]]&gt;=121)</x:f>
        <x:v>1</x:v>
      </x:c>
    </x:row>
    <x:row r="467">
      <x:c r="A467" s="236" t="str">
        <x:v>TRN-0466</x:v>
      </x:c>
      <x:c r="B467" s="243"/>
      <x:c r="C467" s="243"/>
      <x:c r="D467" s="243"/>
      <x:c r="E467" s="243"/>
      <x:c r="F467" s="14" t="str">
        <x:v>Recruiter G</x:v>
      </x:c>
      <x:c r="G467" s="14" t="str">
        <x:v>Training Center B</x:v>
      </x:c>
      <x:c r="H467" s="28">
        <x:v>45246</x:v>
      </x:c>
      <x:c r="I467" s="14">
        <x:v>2023</x:v>
      </x:c>
      <x:c r="J467" s="14" t="s">
        <x:v>134</x:v>
      </x:c>
      <x:c r="K467" s="14">
        <x:v>25</x:v>
      </x:c>
      <x:c r="L467" s="29" t="s">
        <x:v>101</x:v>
      </x:c>
      <x:c r="M467" s="28">
        <x:v>45236</x:v>
      </x:c>
      <x:c r="N467" s="14"/>
      <x:c r="O467" s="14">
        <x:v>1015</x:v>
      </x:c>
      <x:c r="P467" s="14" t="s">
        <x:v>122</x:v>
      </x:c>
      <x:c r="Q467" s="14" t="s">
        <x:v>25</x:v>
      </x:c>
      <x:c r="R467" s="14"/>
      <x:c r="S467" s="14" t="s">
        <x:v>108</x:v>
      </x:c>
      <x:c r="T467" s="14" t="str">
        <x:v>Region B</x:v>
      </x:c>
      <x:c r="U467" s="28">
        <x:v>45252</x:v>
      </x:c>
      <x:c r="V467" s="30">
        <x:v>6</x:v>
      </x:c>
      <x:c r="W467" s="14" t="s">
        <x:v>109</x:v>
      </x:c>
      <x:c r="X467" s="14" t="s">
        <x:v>106</x:v>
      </x:c>
      <x:c r="Y467" s="32" t="str">
        <x:v>TRN-0466|20231116</x:v>
      </x:c>
      <x:c r="Z467" s="32" t="str" cm="1">
        <x:f t="array" ref="Z46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467" s="33" t="n">
        <x:f>--OR(WorkforceData[[#This Row],[Status]]="Active",WorkforceData[[#This Row],[Promoted]]="Yes",WorkforceData[[#This Row],[Total Days Worked]]&gt;=121)</x:f>
        <x:v>1</x:v>
      </x:c>
      <x:c r="AB467" s="33" t="n">
        <x:f>IF(AND(Q467="Terminated",R467="",O467=0),1,0)</x:f>
        <x:v>0</x:v>
      </x:c>
      <x:c r="AC467" s="33" t="n">
        <x:f>--OR(WorkforceData[[#This Row],[Status]]="Resigned",WorkforceData[[#This Row],[Status After Training]]="Withdrew")</x:f>
        <x:v>0</x:v>
      </x:c>
      <x:c r="AD467" s="34" t="n">
        <x:f>EOMONTH(WorkforceData[[#This Row],[Training Date]],0)</x:f>
        <x:v>45260</x:v>
      </x:c>
      <x:c r="AE467" s="32" t="str">
        <x:f>IF(M467&lt;H467,"Existing Employee",IF(U467="","No Assignment",IF(V467=0,"0 Days",IF(V467&lt;=7,"1-7 Days",IF(V467&lt;=14,"8-14 Days",IF(V467&lt;=21,"15-21 Days","21+ Days"))))))</x:f>
        <x:v>Existing Employee</x:v>
      </x:c>
      <x:c r="AF46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67" s="33" t="n">
        <x:f>--(WorkforceData[[#This Row],[Total Days Worked]]&gt;=121)</x:f>
        <x:v>1</x:v>
      </x:c>
    </x:row>
    <x:row r="468">
      <x:c r="A468" s="236" t="str">
        <x:v>TRN-0467</x:v>
      </x:c>
      <x:c r="B468" s="243"/>
      <x:c r="C468" s="243"/>
      <x:c r="D468" s="243"/>
      <x:c r="E468" s="243"/>
      <x:c r="F468" s="14" t="str">
        <x:v>Recruiter E</x:v>
      </x:c>
      <x:c r="G468" s="14" t="str">
        <x:v>Training Center B</x:v>
      </x:c>
      <x:c r="H468" s="28">
        <x:v>45246</x:v>
      </x:c>
      <x:c r="I468" s="14">
        <x:v>2023</x:v>
      </x:c>
      <x:c r="J468" s="14" t="s">
        <x:v>134</x:v>
      </x:c>
      <x:c r="K468" s="14">
        <x:v>25</x:v>
      </x:c>
      <x:c r="L468" s="29" t="s">
        <x:v>101</x:v>
      </x:c>
      <x:c r="M468" s="28">
        <x:v>45241</x:v>
      </x:c>
      <x:c r="N468" s="14"/>
      <x:c r="O468" s="14">
        <x:v>1010</x:v>
      </x:c>
      <x:c r="P468" s="14" t="s">
        <x:v>122</x:v>
      </x:c>
      <x:c r="Q468" s="14" t="s">
        <x:v>25</x:v>
      </x:c>
      <x:c r="R468" s="14"/>
      <x:c r="S468" s="14" t="s">
        <x:v>108</x:v>
      </x:c>
      <x:c r="T468" s="14" t="str">
        <x:v>Region E</x:v>
      </x:c>
      <x:c r="U468" s="28">
        <x:v>45254</x:v>
      </x:c>
      <x:c r="V468" s="30">
        <x:v>8</x:v>
      </x:c>
      <x:c r="W468" s="14" t="s">
        <x:v>45</x:v>
      </x:c>
      <x:c r="X468" s="14" t="s">
        <x:v>106</x:v>
      </x:c>
      <x:c r="Y468" s="32" t="str">
        <x:v>TRN-0467|20231116</x:v>
      </x:c>
      <x:c r="Z468" s="32" t="str" cm="1">
        <x:f t="array" ref="Z46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468" s="33" t="n">
        <x:f>--OR(WorkforceData[[#This Row],[Status]]="Active",WorkforceData[[#This Row],[Promoted]]="Yes",WorkforceData[[#This Row],[Total Days Worked]]&gt;=121)</x:f>
        <x:v>1</x:v>
      </x:c>
      <x:c r="AB468" s="33" t="n">
        <x:f>IF(AND(Q468="Terminated",R468="",O468=0),1,0)</x:f>
        <x:v>0</x:v>
      </x:c>
      <x:c r="AC468" s="33" t="n">
        <x:f>--OR(WorkforceData[[#This Row],[Status]]="Resigned",WorkforceData[[#This Row],[Status After Training]]="Withdrew")</x:f>
        <x:v>0</x:v>
      </x:c>
      <x:c r="AD468" s="34" t="n">
        <x:f>EOMONTH(WorkforceData[[#This Row],[Training Date]],0)</x:f>
        <x:v>45260</x:v>
      </x:c>
      <x:c r="AE468" s="32" t="str">
        <x:f>IF(M468&lt;H468,"Existing Employee",IF(U468="","No Assignment",IF(V468=0,"0 Days",IF(V468&lt;=7,"1-7 Days",IF(V468&lt;=14,"8-14 Days",IF(V468&lt;=21,"15-21 Days","21+ Days"))))))</x:f>
        <x:v>Existing Employee</x:v>
      </x:c>
      <x:c r="AF46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68" s="33" t="n">
        <x:f>--(WorkforceData[[#This Row],[Total Days Worked]]&gt;=121)</x:f>
        <x:v>1</x:v>
      </x:c>
    </x:row>
    <x:row r="469">
      <x:c r="A469" s="236" t="str">
        <x:v>TRN-0468</x:v>
      </x:c>
      <x:c r="B469" s="243"/>
      <x:c r="C469" s="243"/>
      <x:c r="D469" s="243"/>
      <x:c r="E469" s="243"/>
      <x:c r="F469" s="14" t="str">
        <x:v>Recruiter C</x:v>
      </x:c>
      <x:c r="G469" s="14" t="str">
        <x:v>Training Center B</x:v>
      </x:c>
      <x:c r="H469" s="28">
        <x:v>45246</x:v>
      </x:c>
      <x:c r="I469" s="14">
        <x:v>2023</x:v>
      </x:c>
      <x:c r="J469" s="14" t="s">
        <x:v>134</x:v>
      </x:c>
      <x:c r="K469" s="14">
        <x:v>25</x:v>
      </x:c>
      <x:c r="L469" s="29" t="s">
        <x:v>101</x:v>
      </x:c>
      <x:c r="M469" s="28">
        <x:v>45236</x:v>
      </x:c>
      <x:c r="N469" s="14"/>
      <x:c r="O469" s="14">
        <x:v>1015</x:v>
      </x:c>
      <x:c r="P469" s="14" t="s">
        <x:v>122</x:v>
      </x:c>
      <x:c r="Q469" s="14" t="s">
        <x:v>25</x:v>
      </x:c>
      <x:c r="R469" s="14"/>
      <x:c r="S469" s="14" t="s">
        <x:v>108</x:v>
      </x:c>
      <x:c r="T469" s="14" t="str">
        <x:v>Region A</x:v>
      </x:c>
      <x:c r="U469" s="28">
        <x:v>45263</x:v>
      </x:c>
      <x:c r="V469" s="30">
        <x:v>17</x:v>
      </x:c>
      <x:c r="W469" s="14" t="s">
        <x:v>112</x:v>
      </x:c>
      <x:c r="X469" s="14" t="s">
        <x:v>106</x:v>
      </x:c>
      <x:c r="Y469" s="32" t="str">
        <x:v>TRN-0468|20231116</x:v>
      </x:c>
      <x:c r="Z469" s="32" t="str" cm="1">
        <x:f t="array" ref="Z46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469" s="33" t="n">
        <x:f>--OR(WorkforceData[[#This Row],[Status]]="Active",WorkforceData[[#This Row],[Promoted]]="Yes",WorkforceData[[#This Row],[Total Days Worked]]&gt;=121)</x:f>
        <x:v>1</x:v>
      </x:c>
      <x:c r="AB469" s="33" t="n">
        <x:f>IF(AND(Q469="Terminated",R469="",O469=0),1,0)</x:f>
        <x:v>0</x:v>
      </x:c>
      <x:c r="AC469" s="33" t="n">
        <x:f>--OR(WorkforceData[[#This Row],[Status]]="Resigned",WorkforceData[[#This Row],[Status After Training]]="Withdrew")</x:f>
        <x:v>0</x:v>
      </x:c>
      <x:c r="AD469" s="34" t="n">
        <x:f>EOMONTH(WorkforceData[[#This Row],[Training Date]],0)</x:f>
        <x:v>45260</x:v>
      </x:c>
      <x:c r="AE469" s="32" t="str">
        <x:f>IF(M469&lt;H469,"Existing Employee",IF(U469="","No Assignment",IF(V469=0,"0 Days",IF(V469&lt;=7,"1-7 Days",IF(V469&lt;=14,"8-14 Days",IF(V469&lt;=21,"15-21 Days","21+ Days"))))))</x:f>
        <x:v>Existing Employee</x:v>
      </x:c>
      <x:c r="AF46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69" s="33" t="n">
        <x:f>--(WorkforceData[[#This Row],[Total Days Worked]]&gt;=121)</x:f>
        <x:v>1</x:v>
      </x:c>
    </x:row>
    <x:row r="470">
      <x:c r="A470" s="236" t="str">
        <x:v>TRN-0469</x:v>
      </x:c>
      <x:c r="B470" s="243"/>
      <x:c r="C470" s="243"/>
      <x:c r="D470" s="243"/>
      <x:c r="E470" s="243"/>
      <x:c r="F470" s="14" t="str">
        <x:v>Recruiter E</x:v>
      </x:c>
      <x:c r="G470" s="14" t="str">
        <x:v>Training Center B</x:v>
      </x:c>
      <x:c r="H470" s="28">
        <x:v>45246</x:v>
      </x:c>
      <x:c r="I470" s="14">
        <x:v>2023</x:v>
      </x:c>
      <x:c r="J470" s="14" t="s">
        <x:v>134</x:v>
      </x:c>
      <x:c r="K470" s="14">
        <x:v>25</x:v>
      </x:c>
      <x:c r="L470" s="29" t="s">
        <x:v>101</x:v>
      </x:c>
      <x:c r="M470" s="28">
        <x:v>45246</x:v>
      </x:c>
      <x:c r="N470" s="28">
        <x:v>45789</x:v>
      </x:c>
      <x:c r="O470" s="14">
        <x:v>543</x:v>
      </x:c>
      <x:c r="P470" s="14" t="s">
        <x:v>120</x:v>
      </x:c>
      <x:c r="Q470" s="14" t="s">
        <x:v>103</x:v>
      </x:c>
      <x:c r="R470" s="14" t="s">
        <x:v>111</x:v>
      </x:c>
      <x:c r="S470" s="14" t="s">
        <x:v>108</x:v>
      </x:c>
      <x:c r="T470" s="14" t="str">
        <x:v>Region A</x:v>
      </x:c>
      <x:c r="U470" s="28">
        <x:v>45275</x:v>
      </x:c>
      <x:c r="V470" s="30">
        <x:v>29</x:v>
      </x:c>
      <x:c r="W470" s="14" t="s">
        <x:v>112</x:v>
      </x:c>
      <x:c r="X470" s="14" t="s">
        <x:v>106</x:v>
      </x:c>
      <x:c r="Y470" s="32" t="str">
        <x:v>TRN-0469|20231116</x:v>
      </x:c>
      <x:c r="Z470" s="32" t="str" cm="1">
        <x:f t="array" ref="Z47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470" s="33" t="n">
        <x:f>--OR(WorkforceData[[#This Row],[Status]]="Active",WorkforceData[[#This Row],[Promoted]]="Yes",WorkforceData[[#This Row],[Total Days Worked]]&gt;=121)</x:f>
        <x:v>1</x:v>
      </x:c>
      <x:c r="AB470" s="33" t="n">
        <x:f>IF(AND(Q470="Terminated",R470="",O470=0),1,0)</x:f>
        <x:v>0</x:v>
      </x:c>
      <x:c r="AC470" s="33" t="n">
        <x:f>--OR(WorkforceData[[#This Row],[Status]]="Resigned",WorkforceData[[#This Row],[Status After Training]]="Withdrew")</x:f>
        <x:v>1</x:v>
      </x:c>
      <x:c r="AD470" s="34" t="n">
        <x:f>EOMONTH(WorkforceData[[#This Row],[Training Date]],0)</x:f>
        <x:v>45260</x:v>
      </x:c>
      <x:c r="AE470" s="32" t="str">
        <x:f>IF(M470&lt;H470,"Existing Employee",IF(U470="","No Assignment",IF(V470=0,"0 Days",IF(V470&lt;=7,"1-7 Days",IF(V470&lt;=14,"8-14 Days",IF(V470&lt;=21,"15-21 Days","21+ Days"))))))</x:f>
        <x:v>21+ Days</x:v>
      </x:c>
      <x:c r="AF47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70" s="33" t="n">
        <x:f>--(WorkforceData[[#This Row],[Total Days Worked]]&gt;=121)</x:f>
        <x:v>1</x:v>
      </x:c>
    </x:row>
    <x:row r="471">
      <x:c r="A471" s="236" t="str">
        <x:v>TRN-0470</x:v>
      </x:c>
      <x:c r="B471" s="243"/>
      <x:c r="C471" s="243"/>
      <x:c r="D471" s="243"/>
      <x:c r="E471" s="243"/>
      <x:c r="F471" s="14" t="str">
        <x:v>Recruiter C</x:v>
      </x:c>
      <x:c r="G471" s="14" t="str">
        <x:v>Training Center B</x:v>
      </x:c>
      <x:c r="H471" s="28">
        <x:v>45246</x:v>
      </x:c>
      <x:c r="I471" s="14">
        <x:v>2023</x:v>
      </x:c>
      <x:c r="J471" s="14" t="s">
        <x:v>134</x:v>
      </x:c>
      <x:c r="K471" s="14">
        <x:v>25</x:v>
      </x:c>
      <x:c r="L471" s="29" t="s">
        <x:v>101</x:v>
      </x:c>
      <x:c r="M471" s="28">
        <x:v>45246</x:v>
      </x:c>
      <x:c r="N471" s="28">
        <x:v>45273</x:v>
      </x:c>
      <x:c r="O471" s="14">
        <x:v>27</x:v>
      </x:c>
      <x:c r="P471" s="14" t="s">
        <x:v>102</x:v>
      </x:c>
      <x:c r="Q471" s="14" t="s">
        <x:v>103</x:v>
      </x:c>
      <x:c r="R471" s="14" t="s">
        <x:v>111</x:v>
      </x:c>
      <x:c r="S471" s="14" t="s">
        <x:v>105</x:v>
      </x:c>
      <x:c r="T471" s="14" t="str">
        <x:v>Region C</x:v>
      </x:c>
      <x:c r="U471" s="28">
        <x:v>45259</x:v>
      </x:c>
      <x:c r="V471" s="30">
        <x:v>13</x:v>
      </x:c>
      <x:c r="W471" s="14" t="s">
        <x:v>45</x:v>
      </x:c>
      <x:c r="X471" s="14" t="s">
        <x:v>106</x:v>
      </x:c>
      <x:c r="Y471" s="32" t="str">
        <x:v>TRN-0470|20231116</x:v>
      </x:c>
      <x:c r="Z471" s="32" t="str" cm="1">
        <x:f t="array" ref="Z47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471" s="33" t="n">
        <x:f>--OR(WorkforceData[[#This Row],[Status]]="Active",WorkforceData[[#This Row],[Promoted]]="Yes",WorkforceData[[#This Row],[Total Days Worked]]&gt;=121)</x:f>
        <x:v>0</x:v>
      </x:c>
      <x:c r="AB471" s="33" t="n">
        <x:f>IF(AND(Q471="Terminated",R471="",O471=0),1,0)</x:f>
        <x:v>0</x:v>
      </x:c>
      <x:c r="AC471" s="33" t="n">
        <x:f>--OR(WorkforceData[[#This Row],[Status]]="Resigned",WorkforceData[[#This Row],[Status After Training]]="Withdrew")</x:f>
        <x:v>1</x:v>
      </x:c>
      <x:c r="AD471" s="34" t="n">
        <x:f>EOMONTH(WorkforceData[[#This Row],[Training Date]],0)</x:f>
        <x:v>45260</x:v>
      </x:c>
      <x:c r="AE471" s="32" t="str">
        <x:f>IF(M471&lt;H471,"Existing Employee",IF(U471="","No Assignment",IF(V471=0,"0 Days",IF(V471&lt;=7,"1-7 Days",IF(V471&lt;=14,"8-14 Days",IF(V471&lt;=21,"15-21 Days","21+ Days"))))))</x:f>
        <x:v>8-14 Days</x:v>
      </x:c>
      <x:c r="AF47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471" s="33" t="n">
        <x:f>--(WorkforceData[[#This Row],[Total Days Worked]]&gt;=121)</x:f>
        <x:v>0</x:v>
      </x:c>
    </x:row>
    <x:row r="472">
      <x:c r="A472" s="236" t="str">
        <x:v>TRN-0471</x:v>
      </x:c>
      <x:c r="B472" s="243"/>
      <x:c r="C472" s="243"/>
      <x:c r="D472" s="243"/>
      <x:c r="E472" s="243"/>
      <x:c r="F472" s="14" t="str">
        <x:v>Recruiter E</x:v>
      </x:c>
      <x:c r="G472" s="14" t="str">
        <x:v>Training Center B</x:v>
      </x:c>
      <x:c r="H472" s="28">
        <x:v>45246</x:v>
      </x:c>
      <x:c r="I472" s="14">
        <x:v>2023</x:v>
      </x:c>
      <x:c r="J472" s="14" t="s">
        <x:v>134</x:v>
      </x:c>
      <x:c r="K472" s="14">
        <x:v>25</x:v>
      </x:c>
      <x:c r="L472" s="29" t="s">
        <x:v>101</x:v>
      </x:c>
      <x:c r="M472" s="28">
        <x:v>45239</x:v>
      </x:c>
      <x:c r="N472" s="28">
        <x:v>45375</x:v>
      </x:c>
      <x:c r="O472" s="14">
        <x:v>136</x:v>
      </x:c>
      <x:c r="P472" s="14" t="s">
        <x:v>113</x:v>
      </x:c>
      <x:c r="Q472" s="14" t="s">
        <x:v>103</x:v>
      </x:c>
      <x:c r="R472" s="14" t="s">
        <x:v>104</x:v>
      </x:c>
      <x:c r="S472" s="14" t="s">
        <x:v>105</x:v>
      </x:c>
      <x:c r="T472" s="14" t="str">
        <x:v>Region D</x:v>
      </x:c>
      <x:c r="U472" s="28">
        <x:v>45247</x:v>
      </x:c>
      <x:c r="V472" s="30">
        <x:v>1</x:v>
      </x:c>
      <x:c r="W472" s="14" t="s">
        <x:v>109</x:v>
      </x:c>
      <x:c r="X472" s="14" t="s">
        <x:v>106</x:v>
      </x:c>
      <x:c r="Y472" s="32" t="str">
        <x:v>TRN-0471|20231116</x:v>
      </x:c>
      <x:c r="Z472" s="32" t="str" cm="1">
        <x:f t="array" ref="Z47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Complete</x:v>
      </x:c>
      <x:c r="AA472" s="33" t="n">
        <x:f>--OR(WorkforceData[[#This Row],[Status]]="Active",WorkforceData[[#This Row],[Promoted]]="Yes",WorkforceData[[#This Row],[Total Days Worked]]&gt;=121)</x:f>
        <x:v>1</x:v>
      </x:c>
      <x:c r="AB472" s="33" t="n">
        <x:f>IF(AND(Q472="Terminated",R472="",O472=0),1,0)</x:f>
        <x:v>0</x:v>
      </x:c>
      <x:c r="AC472" s="33" t="n">
        <x:f>--OR(WorkforceData[[#This Row],[Status]]="Resigned",WorkforceData[[#This Row],[Status After Training]]="Withdrew")</x:f>
        <x:v>1</x:v>
      </x:c>
      <x:c r="AD472" s="34" t="n">
        <x:f>EOMONTH(WorkforceData[[#This Row],[Training Date]],0)</x:f>
        <x:v>45260</x:v>
      </x:c>
      <x:c r="AE472" s="32" t="str">
        <x:f>IF(M472&lt;H472,"Existing Employee",IF(U472="","No Assignment",IF(V472=0,"0 Days",IF(V472&lt;=7,"1-7 Days",IF(V472&lt;=14,"8-14 Days",IF(V472&lt;=21,"15-21 Days","21+ Days"))))))</x:f>
        <x:v>Existing Employee</x:v>
      </x:c>
      <x:c r="AF47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72" s="33" t="n">
        <x:f>--(WorkforceData[[#This Row],[Total Days Worked]]&gt;=121)</x:f>
        <x:v>1</x:v>
      </x:c>
    </x:row>
    <x:row r="473">
      <x:c r="A473" s="236" t="str">
        <x:v>TRN-0472</x:v>
      </x:c>
      <x:c r="B473" s="243"/>
      <x:c r="C473" s="243"/>
      <x:c r="D473" s="243"/>
      <x:c r="E473" s="243"/>
      <x:c r="F473" s="14" t="str">
        <x:v>Recruiter H</x:v>
      </x:c>
      <x:c r="G473" s="14" t="str">
        <x:v>Training Center A</x:v>
      </x:c>
      <x:c r="H473" s="28">
        <x:v>45386</x:v>
      </x:c>
      <x:c r="I473" s="14">
        <x:v>2024</x:v>
      </x:c>
      <x:c r="J473" s="14" t="s">
        <x:v>126</x:v>
      </x:c>
      <x:c r="K473" s="14">
        <x:v>21</x:v>
      </x:c>
      <x:c r="L473" s="29" t="s">
        <x:v>101</x:v>
      </x:c>
      <x:c r="M473" s="28">
        <x:v>45383</x:v>
      </x:c>
      <x:c r="N473" s="28">
        <x:v>45558</x:v>
      </x:c>
      <x:c r="O473" s="14">
        <x:v>175</x:v>
      </x:c>
      <x:c r="P473" s="14" t="s">
        <x:v>113</x:v>
      </x:c>
      <x:c r="Q473" s="14" t="s">
        <x:v>33</x:v>
      </x:c>
      <x:c r="R473" s="14" t="s">
        <x:v>121</x:v>
      </x:c>
      <x:c r="S473" s="14" t="s">
        <x:v>105</x:v>
      </x:c>
      <x:c r="T473" s="14" t="str">
        <x:v>Region C</x:v>
      </x:c>
      <x:c r="U473" s="28">
        <x:v>45432</x:v>
      </x:c>
      <x:c r="V473" s="30">
        <x:v>46</x:v>
      </x:c>
      <x:c r="W473" s="14" t="s">
        <x:v>63</x:v>
      </x:c>
      <x:c r="X473" s="14" t="s">
        <x:v>117</x:v>
      </x:c>
      <x:c r="Y473" s="32" t="str">
        <x:v>TRN-0472|20240404</x:v>
      </x:c>
      <x:c r="Z473" s="32" t="str" cm="1">
        <x:f t="array" ref="Z47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Complete</x:v>
      </x:c>
      <x:c r="AA473" s="33" t="n">
        <x:f>--OR(WorkforceData[[#This Row],[Status]]="Active",WorkforceData[[#This Row],[Promoted]]="Yes",WorkforceData[[#This Row],[Total Days Worked]]&gt;=121)</x:f>
        <x:v>1</x:v>
      </x:c>
      <x:c r="AB473" s="33" t="n">
        <x:f>IF(AND(Q473="Terminated",R473="",O473=0),1,0)</x:f>
        <x:v>0</x:v>
      </x:c>
      <x:c r="AC473" s="33" t="n">
        <x:f>--OR(WorkforceData[[#This Row],[Status]]="Resigned",WorkforceData[[#This Row],[Status After Training]]="Withdrew")</x:f>
        <x:v>0</x:v>
      </x:c>
      <x:c r="AD473" s="34" t="n">
        <x:f>EOMONTH(WorkforceData[[#This Row],[Training Date]],0)</x:f>
        <x:v>45412</x:v>
      </x:c>
      <x:c r="AE473" s="32" t="str">
        <x:f>IF(M473&lt;H473,"Existing Employee",IF(U473="","No Assignment",IF(V473=0,"0 Days",IF(V473&lt;=7,"1-7 Days",IF(V473&lt;=14,"8-14 Days",IF(V473&lt;=21,"15-21 Days","21+ Days"))))))</x:f>
        <x:v>Existing Employee</x:v>
      </x:c>
      <x:c r="AF47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73" s="33" t="n">
        <x:f>--(WorkforceData[[#This Row],[Total Days Worked]]&gt;=121)</x:f>
        <x:v>1</x:v>
      </x:c>
    </x:row>
    <x:row r="474">
      <x:c r="A474" s="236" t="str">
        <x:v>TRN-0473</x:v>
      </x:c>
      <x:c r="B474" s="243"/>
      <x:c r="C474" s="243"/>
      <x:c r="D474" s="243"/>
      <x:c r="E474" s="243"/>
      <x:c r="F474" s="14" t="str">
        <x:v>Recruiter H</x:v>
      </x:c>
      <x:c r="G474" s="14" t="str">
        <x:v>Training Center A</x:v>
      </x:c>
      <x:c r="H474" s="28">
        <x:v>45386</x:v>
      </x:c>
      <x:c r="I474" s="14">
        <x:v>2024</x:v>
      </x:c>
      <x:c r="J474" s="14" t="s">
        <x:v>126</x:v>
      </x:c>
      <x:c r="K474" s="14">
        <x:v>21</x:v>
      </x:c>
      <x:c r="L474" s="29" t="s">
        <x:v>101</x:v>
      </x:c>
      <x:c r="M474" s="28">
        <x:v>45381</x:v>
      </x:c>
      <x:c r="N474" s="28">
        <x:v>45393</x:v>
      </x:c>
      <x:c r="O474" s="14">
        <x:v>12</x:v>
      </x:c>
      <x:c r="P474" s="14" t="s">
        <x:v>102</x:v>
      </x:c>
      <x:c r="Q474" s="14" t="s">
        <x:v>103</x:v>
      </x:c>
      <x:c r="R474" s="14" t="s">
        <x:v>123</x:v>
      </x:c>
      <x:c r="S474" s="14" t="s">
        <x:v>105</x:v>
      </x:c>
      <x:c r="T474" s="14" t="str">
        <x:v>Region A</x:v>
      </x:c>
      <x:c r="U474" s="28">
        <x:v>45393</x:v>
      </x:c>
      <x:c r="V474" s="30">
        <x:v>7</x:v>
      </x:c>
      <x:c r="W474" s="14" t="s">
        <x:v>109</x:v>
      </x:c>
      <x:c r="X474" s="14" t="s">
        <x:v>117</x:v>
      </x:c>
      <x:c r="Y474" s="32" t="str">
        <x:v>TRN-0473|20240404</x:v>
      </x:c>
      <x:c r="Z474" s="32" t="str" cm="1">
        <x:f t="array" ref="Z47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474" s="33" t="n">
        <x:f>--OR(WorkforceData[[#This Row],[Status]]="Active",WorkforceData[[#This Row],[Promoted]]="Yes",WorkforceData[[#This Row],[Total Days Worked]]&gt;=121)</x:f>
        <x:v>0</x:v>
      </x:c>
      <x:c r="AB474" s="33" t="n">
        <x:f>IF(AND(Q474="Terminated",R474="",O474=0),1,0)</x:f>
        <x:v>0</x:v>
      </x:c>
      <x:c r="AC474" s="33" t="n">
        <x:f>--OR(WorkforceData[[#This Row],[Status]]="Resigned",WorkforceData[[#This Row],[Status After Training]]="Withdrew")</x:f>
        <x:v>1</x:v>
      </x:c>
      <x:c r="AD474" s="34" t="n">
        <x:f>EOMONTH(WorkforceData[[#This Row],[Training Date]],0)</x:f>
        <x:v>45412</x:v>
      </x:c>
      <x:c r="AE474" s="32" t="str">
        <x:f>IF(M474&lt;H474,"Existing Employee",IF(U474="","No Assignment",IF(V474=0,"0 Days",IF(V474&lt;=7,"1-7 Days",IF(V474&lt;=14,"8-14 Days",IF(V474&lt;=21,"15-21 Days","21+ Days"))))))</x:f>
        <x:v>Existing Employee</x:v>
      </x:c>
      <x:c r="AF47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474" s="33" t="n">
        <x:f>--(WorkforceData[[#This Row],[Total Days Worked]]&gt;=121)</x:f>
        <x:v>0</x:v>
      </x:c>
    </x:row>
    <x:row r="475">
      <x:c r="A475" s="236" t="str">
        <x:v>TRN-0474</x:v>
      </x:c>
      <x:c r="B475" s="243"/>
      <x:c r="C475" s="243"/>
      <x:c r="D475" s="243"/>
      <x:c r="E475" s="243"/>
      <x:c r="F475" s="14" t="str">
        <x:v>Recruiter C</x:v>
      </x:c>
      <x:c r="G475" s="14" t="str">
        <x:v>Training Center A</x:v>
      </x:c>
      <x:c r="H475" s="28">
        <x:v>45386</x:v>
      </x:c>
      <x:c r="I475" s="14">
        <x:v>2024</x:v>
      </x:c>
      <x:c r="J475" s="14" t="s">
        <x:v>126</x:v>
      </x:c>
      <x:c r="K475" s="14">
        <x:v>21</x:v>
      </x:c>
      <x:c r="L475" s="29" t="s">
        <x:v>101</x:v>
      </x:c>
      <x:c r="M475" s="28">
        <x:v>45379</x:v>
      </x:c>
      <x:c r="N475" s="28">
        <x:v>45421</x:v>
      </x:c>
      <x:c r="O475" s="14">
        <x:v>42</x:v>
      </x:c>
      <x:c r="P475" s="14" t="s">
        <x:v>110</x:v>
      </x:c>
      <x:c r="Q475" s="14" t="s">
        <x:v>103</x:v>
      </x:c>
      <x:c r="R475" s="14" t="s">
        <x:v>104</x:v>
      </x:c>
      <x:c r="S475" s="14" t="s">
        <x:v>105</x:v>
      </x:c>
      <x:c r="T475" s="14" t="str">
        <x:v>Region B</x:v>
      </x:c>
      <x:c r="U475" s="28">
        <x:v>45421</x:v>
      </x:c>
      <x:c r="V475" s="30">
        <x:v>35</x:v>
      </x:c>
      <x:c r="W475" s="14" t="s">
        <x:v>63</x:v>
      </x:c>
      <x:c r="X475" s="14" t="s">
        <x:v>117</x:v>
      </x:c>
      <x:c r="Y475" s="32" t="str">
        <x:v>TRN-0474|20240404</x:v>
      </x:c>
      <x:c r="Z475" s="32" t="str" cm="1">
        <x:f t="array" ref="Z47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475" s="33" t="n">
        <x:f>--OR(WorkforceData[[#This Row],[Status]]="Active",WorkforceData[[#This Row],[Promoted]]="Yes",WorkforceData[[#This Row],[Total Days Worked]]&gt;=121)</x:f>
        <x:v>0</x:v>
      </x:c>
      <x:c r="AB475" s="33" t="n">
        <x:f>IF(AND(Q475="Terminated",R475="",O475=0),1,0)</x:f>
        <x:v>0</x:v>
      </x:c>
      <x:c r="AC475" s="33" t="n">
        <x:f>--OR(WorkforceData[[#This Row],[Status]]="Resigned",WorkforceData[[#This Row],[Status After Training]]="Withdrew")</x:f>
        <x:v>1</x:v>
      </x:c>
      <x:c r="AD475" s="34" t="n">
        <x:f>EOMONTH(WorkforceData[[#This Row],[Training Date]],0)</x:f>
        <x:v>45412</x:v>
      </x:c>
      <x:c r="AE475" s="32" t="str">
        <x:f>IF(M475&lt;H475,"Existing Employee",IF(U475="","No Assignment",IF(V475=0,"0 Days",IF(V475&lt;=7,"1-7 Days",IF(V475&lt;=14,"8-14 Days",IF(V475&lt;=21,"15-21 Days","21+ Days"))))))</x:f>
        <x:v>Existing Employee</x:v>
      </x:c>
      <x:c r="AF47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475" s="33" t="n">
        <x:f>--(WorkforceData[[#This Row],[Total Days Worked]]&gt;=121)</x:f>
        <x:v>0</x:v>
      </x:c>
    </x:row>
    <x:row r="476">
      <x:c r="A476" s="236" t="str">
        <x:v>TRN-0475</x:v>
      </x:c>
      <x:c r="B476" s="243"/>
      <x:c r="C476" s="243"/>
      <x:c r="D476" s="243"/>
      <x:c r="E476" s="243"/>
      <x:c r="F476" s="14" t="str">
        <x:v>Recruiter G</x:v>
      </x:c>
      <x:c r="G476" s="14" t="str">
        <x:v>Training Center A</x:v>
      </x:c>
      <x:c r="H476" s="28">
        <x:v>45386</x:v>
      </x:c>
      <x:c r="I476" s="14">
        <x:v>2024</x:v>
      </x:c>
      <x:c r="J476" s="14" t="s">
        <x:v>126</x:v>
      </x:c>
      <x:c r="K476" s="14">
        <x:v>21</x:v>
      </x:c>
      <x:c r="L476" s="29" t="s">
        <x:v>101</x:v>
      </x:c>
      <x:c r="M476" s="28">
        <x:v>45383</x:v>
      </x:c>
      <x:c r="N476" s="28">
        <x:v>45474</x:v>
      </x:c>
      <x:c r="O476" s="14">
        <x:v>91</x:v>
      </x:c>
      <x:c r="P476" s="14" t="s">
        <x:v>113</x:v>
      </x:c>
      <x:c r="Q476" s="14" t="s">
        <x:v>103</x:v>
      </x:c>
      <x:c r="R476" s="14" t="s">
        <x:v>123</x:v>
      </x:c>
      <x:c r="S476" s="14" t="s">
        <x:v>105</x:v>
      </x:c>
      <x:c r="T476" s="14" t="str">
        <x:v>Region B</x:v>
      </x:c>
      <x:c r="U476" s="28">
        <x:v>45386</x:v>
      </x:c>
      <x:c r="V476" s="30">
        <x:v>0</x:v>
      </x:c>
      <x:c r="W476" s="14" t="s">
        <x:v>109</x:v>
      </x:c>
      <x:c r="X476" s="14" t="s">
        <x:v>106</x:v>
      </x:c>
      <x:c r="Y476" s="32" t="str">
        <x:v>TRN-0475|20240404</x:v>
      </x:c>
      <x:c r="Z476" s="32" t="str" cm="1">
        <x:f t="array" ref="Z47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476" s="33" t="n">
        <x:f>--OR(WorkforceData[[#This Row],[Status]]="Active",WorkforceData[[#This Row],[Promoted]]="Yes",WorkforceData[[#This Row],[Total Days Worked]]&gt;=121)</x:f>
        <x:v>0</x:v>
      </x:c>
      <x:c r="AB476" s="33" t="n">
        <x:f>IF(AND(Q476="Terminated",R476="",O476=0),1,0)</x:f>
        <x:v>0</x:v>
      </x:c>
      <x:c r="AC476" s="33" t="n">
        <x:f>--OR(WorkforceData[[#This Row],[Status]]="Resigned",WorkforceData[[#This Row],[Status After Training]]="Withdrew")</x:f>
        <x:v>1</x:v>
      </x:c>
      <x:c r="AD476" s="34" t="n">
        <x:f>EOMONTH(WorkforceData[[#This Row],[Training Date]],0)</x:f>
        <x:v>45412</x:v>
      </x:c>
      <x:c r="AE476" s="32" t="str">
        <x:f>IF(M476&lt;H476,"Existing Employee",IF(U476="","No Assignment",IF(V476=0,"0 Days",IF(V476&lt;=7,"1-7 Days",IF(V476&lt;=14,"8-14 Days",IF(V476&lt;=21,"15-21 Days","21+ Days"))))))</x:f>
        <x:v>Existing Employee</x:v>
      </x:c>
      <x:c r="AF47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91-120 Days</x:v>
      </x:c>
      <x:c r="AG476" s="33" t="n">
        <x:f>--(WorkforceData[[#This Row],[Total Days Worked]]&gt;=121)</x:f>
        <x:v>0</x:v>
      </x:c>
    </x:row>
    <x:row r="477">
      <x:c r="A477" s="236" t="str">
        <x:v>TRN-0476</x:v>
      </x:c>
      <x:c r="B477" s="243"/>
      <x:c r="C477" s="243"/>
      <x:c r="D477" s="243"/>
      <x:c r="E477" s="243"/>
      <x:c r="F477" s="14" t="str">
        <x:v>Recruiter G</x:v>
      </x:c>
      <x:c r="G477" s="14" t="str">
        <x:v>Training Center A</x:v>
      </x:c>
      <x:c r="H477" s="28">
        <x:v>45386</x:v>
      </x:c>
      <x:c r="I477" s="14">
        <x:v>2024</x:v>
      </x:c>
      <x:c r="J477" s="14" t="s">
        <x:v>126</x:v>
      </x:c>
      <x:c r="K477" s="14">
        <x:v>21</x:v>
      </x:c>
      <x:c r="L477" s="29" t="s">
        <x:v>101</x:v>
      </x:c>
      <x:c r="M477" s="28">
        <x:v>45379</x:v>
      </x:c>
      <x:c r="N477" s="28">
        <x:v>45511</x:v>
      </x:c>
      <x:c r="O477" s="14">
        <x:v>132</x:v>
      </x:c>
      <x:c r="P477" s="14" t="s">
        <x:v>113</x:v>
      </x:c>
      <x:c r="Q477" s="14" t="s">
        <x:v>33</x:v>
      </x:c>
      <x:c r="R477" s="14" t="s">
        <x:v>121</x:v>
      </x:c>
      <x:c r="S477" s="14" t="s">
        <x:v>105</x:v>
      </x:c>
      <x:c r="T477" s="14" t="str">
        <x:v>Region C</x:v>
      </x:c>
      <x:c r="U477" s="28">
        <x:v>45389</x:v>
      </x:c>
      <x:c r="V477" s="30">
        <x:v>3</x:v>
      </x:c>
      <x:c r="W477" s="14" t="s">
        <x:v>109</x:v>
      </x:c>
      <x:c r="X477" s="14" t="s">
        <x:v>106</x:v>
      </x:c>
      <x:c r="Y477" s="32" t="str">
        <x:v>TRN-0476|20240404</x:v>
      </x:c>
      <x:c r="Z477" s="32" t="str" cm="1">
        <x:f t="array" ref="Z47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Complete</x:v>
      </x:c>
      <x:c r="AA477" s="33" t="n">
        <x:f>--OR(WorkforceData[[#This Row],[Status]]="Active",WorkforceData[[#This Row],[Promoted]]="Yes",WorkforceData[[#This Row],[Total Days Worked]]&gt;=121)</x:f>
        <x:v>1</x:v>
      </x:c>
      <x:c r="AB477" s="33" t="n">
        <x:f>IF(AND(Q477="Terminated",R477="",O477=0),1,0)</x:f>
        <x:v>0</x:v>
      </x:c>
      <x:c r="AC477" s="33" t="n">
        <x:f>--OR(WorkforceData[[#This Row],[Status]]="Resigned",WorkforceData[[#This Row],[Status After Training]]="Withdrew")</x:f>
        <x:v>0</x:v>
      </x:c>
      <x:c r="AD477" s="34" t="n">
        <x:f>EOMONTH(WorkforceData[[#This Row],[Training Date]],0)</x:f>
        <x:v>45412</x:v>
      </x:c>
      <x:c r="AE477" s="32" t="str">
        <x:f>IF(M477&lt;H477,"Existing Employee",IF(U477="","No Assignment",IF(V477=0,"0 Days",IF(V477&lt;=7,"1-7 Days",IF(V477&lt;=14,"8-14 Days",IF(V477&lt;=21,"15-21 Days","21+ Days"))))))</x:f>
        <x:v>Existing Employee</x:v>
      </x:c>
      <x:c r="AF47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77" s="33" t="n">
        <x:f>--(WorkforceData[[#This Row],[Total Days Worked]]&gt;=121)</x:f>
        <x:v>1</x:v>
      </x:c>
    </x:row>
    <x:row r="478">
      <x:c r="A478" s="236" t="str">
        <x:v>TRN-0477</x:v>
      </x:c>
      <x:c r="B478" s="243"/>
      <x:c r="C478" s="243"/>
      <x:c r="D478" s="243"/>
      <x:c r="E478" s="243"/>
      <x:c r="F478" s="14" t="str">
        <x:v>Recruiter A</x:v>
      </x:c>
      <x:c r="G478" s="14" t="str">
        <x:v>Training Center A</x:v>
      </x:c>
      <x:c r="H478" s="28">
        <x:v>45386</x:v>
      </x:c>
      <x:c r="I478" s="14">
        <x:v>2024</x:v>
      </x:c>
      <x:c r="J478" s="14" t="s">
        <x:v>126</x:v>
      </x:c>
      <x:c r="K478" s="14">
        <x:v>21</x:v>
      </x:c>
      <x:c r="L478" s="29" t="s">
        <x:v>101</x:v>
      </x:c>
      <x:c r="M478" s="28">
        <x:v>45381</x:v>
      </x:c>
      <x:c r="N478" s="28">
        <x:v>45412</x:v>
      </x:c>
      <x:c r="O478" s="14">
        <x:v>31</x:v>
      </x:c>
      <x:c r="P478" s="14" t="s">
        <x:v>110</x:v>
      </x:c>
      <x:c r="Q478" s="14" t="s">
        <x:v>103</x:v>
      </x:c>
      <x:c r="R478" s="14" t="s">
        <x:v>104</x:v>
      </x:c>
      <x:c r="S478" s="14" t="s">
        <x:v>105</x:v>
      </x:c>
      <x:c r="T478" s="14" t="str">
        <x:v>Region A</x:v>
      </x:c>
      <x:c r="U478" s="28">
        <x:v>45412</x:v>
      </x:c>
      <x:c r="V478" s="30">
        <x:v>26</x:v>
      </x:c>
      <x:c r="W478" s="14" t="s">
        <x:v>112</x:v>
      </x:c>
      <x:c r="X478" s="14" t="s">
        <x:v>117</x:v>
      </x:c>
      <x:c r="Y478" s="32" t="str">
        <x:v>TRN-0477|20240404</x:v>
      </x:c>
      <x:c r="Z478" s="32" t="str" cm="1">
        <x:f t="array" ref="Z47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478" s="33" t="n">
        <x:f>--OR(WorkforceData[[#This Row],[Status]]="Active",WorkforceData[[#This Row],[Promoted]]="Yes",WorkforceData[[#This Row],[Total Days Worked]]&gt;=121)</x:f>
        <x:v>0</x:v>
      </x:c>
      <x:c r="AB478" s="33" t="n">
        <x:f>IF(AND(Q478="Terminated",R478="",O478=0),1,0)</x:f>
        <x:v>0</x:v>
      </x:c>
      <x:c r="AC478" s="33" t="n">
        <x:f>--OR(WorkforceData[[#This Row],[Status]]="Resigned",WorkforceData[[#This Row],[Status After Training]]="Withdrew")</x:f>
        <x:v>1</x:v>
      </x:c>
      <x:c r="AD478" s="34" t="n">
        <x:f>EOMONTH(WorkforceData[[#This Row],[Training Date]],0)</x:f>
        <x:v>45412</x:v>
      </x:c>
      <x:c r="AE478" s="32" t="str">
        <x:f>IF(M478&lt;H478,"Existing Employee",IF(U478="","No Assignment",IF(V478=0,"0 Days",IF(V478&lt;=7,"1-7 Days",IF(V478&lt;=14,"8-14 Days",IF(V478&lt;=21,"15-21 Days","21+ Days"))))))</x:f>
        <x:v>Existing Employee</x:v>
      </x:c>
      <x:c r="AF47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478" s="33" t="n">
        <x:f>--(WorkforceData[[#This Row],[Total Days Worked]]&gt;=121)</x:f>
        <x:v>0</x:v>
      </x:c>
    </x:row>
    <x:row r="479">
      <x:c r="A479" s="236" t="str">
        <x:v>TRN-0478</x:v>
      </x:c>
      <x:c r="B479" s="243"/>
      <x:c r="C479" s="243"/>
      <x:c r="D479" s="243"/>
      <x:c r="E479" s="243"/>
      <x:c r="F479" s="14" t="str">
        <x:v>Recruiter B</x:v>
      </x:c>
      <x:c r="G479" s="14" t="str">
        <x:v>Training Center A</x:v>
      </x:c>
      <x:c r="H479" s="28">
        <x:v>45386</x:v>
      </x:c>
      <x:c r="I479" s="14">
        <x:v>2024</x:v>
      </x:c>
      <x:c r="J479" s="14" t="s">
        <x:v>126</x:v>
      </x:c>
      <x:c r="K479" s="14">
        <x:v>21</x:v>
      </x:c>
      <x:c r="L479" s="29" t="s">
        <x:v>101</x:v>
      </x:c>
      <x:c r="M479" s="28">
        <x:v>45386</x:v>
      </x:c>
      <x:c r="N479" s="28">
        <x:v>45953</x:v>
      </x:c>
      <x:c r="O479" s="14">
        <x:v>567</x:v>
      </x:c>
      <x:c r="P479" s="14" t="s">
        <x:v>120</x:v>
      </x:c>
      <x:c r="Q479" s="14" t="s">
        <x:v>103</x:v>
      </x:c>
      <x:c r="R479" s="14" t="s">
        <x:v>111</x:v>
      </x:c>
      <x:c r="S479" s="14" t="s">
        <x:v>108</x:v>
      </x:c>
      <x:c r="T479" s="14" t="str">
        <x:v>Region B</x:v>
      </x:c>
      <x:c r="U479" s="28">
        <x:v>45388</x:v>
      </x:c>
      <x:c r="V479" s="30">
        <x:v>2</x:v>
      </x:c>
      <x:c r="W479" s="14" t="s">
        <x:v>109</x:v>
      </x:c>
      <x:c r="X479" s="14" t="s">
        <x:v>106</x:v>
      </x:c>
      <x:c r="Y479" s="32" t="str">
        <x:v>TRN-0478|20240404</x:v>
      </x:c>
      <x:c r="Z479" s="32" t="str" cm="1">
        <x:f t="array" ref="Z47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479" s="33" t="n">
        <x:f>--OR(WorkforceData[[#This Row],[Status]]="Active",WorkforceData[[#This Row],[Promoted]]="Yes",WorkforceData[[#This Row],[Total Days Worked]]&gt;=121)</x:f>
        <x:v>1</x:v>
      </x:c>
      <x:c r="AB479" s="33" t="n">
        <x:f>IF(AND(Q479="Terminated",R479="",O479=0),1,0)</x:f>
        <x:v>0</x:v>
      </x:c>
      <x:c r="AC479" s="33" t="n">
        <x:f>--OR(WorkforceData[[#This Row],[Status]]="Resigned",WorkforceData[[#This Row],[Status After Training]]="Withdrew")</x:f>
        <x:v>1</x:v>
      </x:c>
      <x:c r="AD479" s="34" t="n">
        <x:f>EOMONTH(WorkforceData[[#This Row],[Training Date]],0)</x:f>
        <x:v>45412</x:v>
      </x:c>
      <x:c r="AE479" s="32" t="str">
        <x:f>IF(M479&lt;H479,"Existing Employee",IF(U479="","No Assignment",IF(V479=0,"0 Days",IF(V479&lt;=7,"1-7 Days",IF(V479&lt;=14,"8-14 Days",IF(V479&lt;=21,"15-21 Days","21+ Days"))))))</x:f>
        <x:v>1-7 Days</x:v>
      </x:c>
      <x:c r="AF47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79" s="33" t="n">
        <x:f>--(WorkforceData[[#This Row],[Total Days Worked]]&gt;=121)</x:f>
        <x:v>1</x:v>
      </x:c>
    </x:row>
    <x:row r="480">
      <x:c r="A480" s="236" t="str">
        <x:v>TRN-0479</x:v>
      </x:c>
      <x:c r="B480" s="243"/>
      <x:c r="C480" s="243"/>
      <x:c r="D480" s="243"/>
      <x:c r="E480" s="243"/>
      <x:c r="F480" s="14" t="str">
        <x:v>Recruiter G</x:v>
      </x:c>
      <x:c r="G480" s="14" t="str">
        <x:v>Training Center A</x:v>
      </x:c>
      <x:c r="H480" s="28">
        <x:v>45386</x:v>
      </x:c>
      <x:c r="I480" s="14">
        <x:v>2024</x:v>
      </x:c>
      <x:c r="J480" s="14" t="s">
        <x:v>126</x:v>
      </x:c>
      <x:c r="K480" s="14">
        <x:v>21</x:v>
      </x:c>
      <x:c r="L480" s="29" t="s">
        <x:v>101</x:v>
      </x:c>
      <x:c r="M480" s="28">
        <x:v>45383</x:v>
      </x:c>
      <x:c r="N480" s="14"/>
      <x:c r="O480" s="14">
        <x:v>868</x:v>
      </x:c>
      <x:c r="P480" s="14" t="s">
        <x:v>122</x:v>
      </x:c>
      <x:c r="Q480" s="14" t="s">
        <x:v>38</x:v>
      </x:c>
      <x:c r="R480" s="14"/>
      <x:c r="S480" s="14" t="s">
        <x:v>108</x:v>
      </x:c>
      <x:c r="T480" s="14" t="str">
        <x:v>Region B</x:v>
      </x:c>
      <x:c r="U480" s="28">
        <x:v>45396</x:v>
      </x:c>
      <x:c r="V480" s="30">
        <x:v>10</x:v>
      </x:c>
      <x:c r="W480" s="14" t="s">
        <x:v>45</x:v>
      </x:c>
      <x:c r="X480" s="14" t="s">
        <x:v>106</x:v>
      </x:c>
      <x:c r="Y480" s="32" t="str">
        <x:v>TRN-0479|20240404</x:v>
      </x:c>
      <x:c r="Z480" s="32" t="str" cm="1">
        <x:f t="array" ref="Z48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480" s="33" t="n">
        <x:f>--OR(WorkforceData[[#This Row],[Status]]="Active",WorkforceData[[#This Row],[Promoted]]="Yes",WorkforceData[[#This Row],[Total Days Worked]]&gt;=121)</x:f>
        <x:v>1</x:v>
      </x:c>
      <x:c r="AB480" s="33" t="n">
        <x:f>IF(AND(Q480="Terminated",R480="",O480=0),1,0)</x:f>
        <x:v>0</x:v>
      </x:c>
      <x:c r="AC480" s="33" t="n">
        <x:f>--OR(WorkforceData[[#This Row],[Status]]="Resigned",WorkforceData[[#This Row],[Status After Training]]="Withdrew")</x:f>
        <x:v>0</x:v>
      </x:c>
      <x:c r="AD480" s="34" t="n">
        <x:f>EOMONTH(WorkforceData[[#This Row],[Training Date]],0)</x:f>
        <x:v>45412</x:v>
      </x:c>
      <x:c r="AE480" s="32" t="str">
        <x:f>IF(M480&lt;H480,"Existing Employee",IF(U480="","No Assignment",IF(V480=0,"0 Days",IF(V480&lt;=7,"1-7 Days",IF(V480&lt;=14,"8-14 Days",IF(V480&lt;=21,"15-21 Days","21+ Days"))))))</x:f>
        <x:v>Existing Employee</x:v>
      </x:c>
      <x:c r="AF48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80" s="33" t="n">
        <x:f>--(WorkforceData[[#This Row],[Total Days Worked]]&gt;=121)</x:f>
        <x:v>1</x:v>
      </x:c>
    </x:row>
    <x:row r="481">
      <x:c r="A481" s="236" t="str">
        <x:v>TRN-0480</x:v>
      </x:c>
      <x:c r="B481" s="243"/>
      <x:c r="C481" s="243"/>
      <x:c r="D481" s="243"/>
      <x:c r="E481" s="243"/>
      <x:c r="F481" s="14" t="str">
        <x:v>Recruiter C</x:v>
      </x:c>
      <x:c r="G481" s="14" t="str">
        <x:v>Training Center A</x:v>
      </x:c>
      <x:c r="H481" s="28">
        <x:v>45386</x:v>
      </x:c>
      <x:c r="I481" s="14">
        <x:v>2024</x:v>
      </x:c>
      <x:c r="J481" s="14" t="s">
        <x:v>126</x:v>
      </x:c>
      <x:c r="K481" s="14">
        <x:v>21</x:v>
      </x:c>
      <x:c r="L481" s="29" t="s">
        <x:v>101</x:v>
      </x:c>
      <x:c r="M481" s="28">
        <x:v>45379</x:v>
      </x:c>
      <x:c r="N481" s="14"/>
      <x:c r="O481" s="14">
        <x:v>872</x:v>
      </x:c>
      <x:c r="P481" s="14" t="s">
        <x:v>122</x:v>
      </x:c>
      <x:c r="Q481" s="14" t="s">
        <x:v>25</x:v>
      </x:c>
      <x:c r="R481" s="14"/>
      <x:c r="S481" s="14" t="s">
        <x:v>108</x:v>
      </x:c>
      <x:c r="T481" s="14" t="str">
        <x:v>Region C</x:v>
      </x:c>
      <x:c r="U481" s="28">
        <x:v>45398</x:v>
      </x:c>
      <x:c r="V481" s="30">
        <x:v>12</x:v>
      </x:c>
      <x:c r="W481" s="14" t="s">
        <x:v>45</x:v>
      </x:c>
      <x:c r="X481" s="14" t="s">
        <x:v>106</x:v>
      </x:c>
      <x:c r="Y481" s="32" t="str">
        <x:v>TRN-0480|20240404</x:v>
      </x:c>
      <x:c r="Z481" s="32" t="str" cm="1">
        <x:f t="array" ref="Z48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481" s="33" t="n">
        <x:f>--OR(WorkforceData[[#This Row],[Status]]="Active",WorkforceData[[#This Row],[Promoted]]="Yes",WorkforceData[[#This Row],[Total Days Worked]]&gt;=121)</x:f>
        <x:v>1</x:v>
      </x:c>
      <x:c r="AB481" s="33" t="n">
        <x:f>IF(AND(Q481="Terminated",R481="",O481=0),1,0)</x:f>
        <x:v>0</x:v>
      </x:c>
      <x:c r="AC481" s="33" t="n">
        <x:f>--OR(WorkforceData[[#This Row],[Status]]="Resigned",WorkforceData[[#This Row],[Status After Training]]="Withdrew")</x:f>
        <x:v>0</x:v>
      </x:c>
      <x:c r="AD481" s="34" t="n">
        <x:f>EOMONTH(WorkforceData[[#This Row],[Training Date]],0)</x:f>
        <x:v>45412</x:v>
      </x:c>
      <x:c r="AE481" s="32" t="str">
        <x:f>IF(M481&lt;H481,"Existing Employee",IF(U481="","No Assignment",IF(V481=0,"0 Days",IF(V481&lt;=7,"1-7 Days",IF(V481&lt;=14,"8-14 Days",IF(V481&lt;=21,"15-21 Days","21+ Days"))))))</x:f>
        <x:v>Existing Employee</x:v>
      </x:c>
      <x:c r="AF48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81" s="33" t="n">
        <x:f>--(WorkforceData[[#This Row],[Total Days Worked]]&gt;=121)</x:f>
        <x:v>1</x:v>
      </x:c>
    </x:row>
    <x:row r="482">
      <x:c r="A482" s="236" t="str">
        <x:v>TRN-0481</x:v>
      </x:c>
      <x:c r="B482" s="243"/>
      <x:c r="C482" s="243"/>
      <x:c r="D482" s="243"/>
      <x:c r="E482" s="243"/>
      <x:c r="F482" s="14" t="str">
        <x:v>Recruiter B</x:v>
      </x:c>
      <x:c r="G482" s="14" t="str">
        <x:v>Training Center A</x:v>
      </x:c>
      <x:c r="H482" s="28">
        <x:v>45386</x:v>
      </x:c>
      <x:c r="I482" s="14">
        <x:v>2024</x:v>
      </x:c>
      <x:c r="J482" s="14" t="s">
        <x:v>126</x:v>
      </x:c>
      <x:c r="K482" s="14">
        <x:v>21</x:v>
      </x:c>
      <x:c r="L482" s="29" t="s">
        <x:v>101</x:v>
      </x:c>
      <x:c r="M482" s="28">
        <x:v>45379</x:v>
      </x:c>
      <x:c r="N482" s="28">
        <x:v>45392</x:v>
      </x:c>
      <x:c r="O482" s="14">
        <x:v>13</x:v>
      </x:c>
      <x:c r="P482" s="14" t="s">
        <x:v>102</x:v>
      </x:c>
      <x:c r="Q482" s="14" t="s">
        <x:v>103</x:v>
      </x:c>
      <x:c r="R482" s="14" t="s">
        <x:v>111</x:v>
      </x:c>
      <x:c r="S482" s="14" t="s">
        <x:v>105</x:v>
      </x:c>
      <x:c r="T482" s="14" t="str">
        <x:v>Region D</x:v>
      </x:c>
      <x:c r="U482" s="28">
        <x:v>45392</x:v>
      </x:c>
      <x:c r="V482" s="30">
        <x:v>6</x:v>
      </x:c>
      <x:c r="W482" s="14" t="s">
        <x:v>109</x:v>
      </x:c>
      <x:c r="X482" s="14" t="s">
        <x:v>106</x:v>
      </x:c>
      <x:c r="Y482" s="32" t="str">
        <x:v>TRN-0481|20240404</x:v>
      </x:c>
      <x:c r="Z482" s="32" t="str" cm="1">
        <x:f t="array" ref="Z48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482" s="33" t="n">
        <x:f>--OR(WorkforceData[[#This Row],[Status]]="Active",WorkforceData[[#This Row],[Promoted]]="Yes",WorkforceData[[#This Row],[Total Days Worked]]&gt;=121)</x:f>
        <x:v>0</x:v>
      </x:c>
      <x:c r="AB482" s="33" t="n">
        <x:f>IF(AND(Q482="Terminated",R482="",O482=0),1,0)</x:f>
        <x:v>0</x:v>
      </x:c>
      <x:c r="AC482" s="33" t="n">
        <x:f>--OR(WorkforceData[[#This Row],[Status]]="Resigned",WorkforceData[[#This Row],[Status After Training]]="Withdrew")</x:f>
        <x:v>1</x:v>
      </x:c>
      <x:c r="AD482" s="34" t="n">
        <x:f>EOMONTH(WorkforceData[[#This Row],[Training Date]],0)</x:f>
        <x:v>45412</x:v>
      </x:c>
      <x:c r="AE482" s="32" t="str">
        <x:f>IF(M482&lt;H482,"Existing Employee",IF(U482="","No Assignment",IF(V482=0,"0 Days",IF(V482&lt;=7,"1-7 Days",IF(V482&lt;=14,"8-14 Days",IF(V482&lt;=21,"15-21 Days","21+ Days"))))))</x:f>
        <x:v>Existing Employee</x:v>
      </x:c>
      <x:c r="AF48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482" s="33" t="n">
        <x:f>--(WorkforceData[[#This Row],[Total Days Worked]]&gt;=121)</x:f>
        <x:v>0</x:v>
      </x:c>
    </x:row>
    <x:row r="483">
      <x:c r="A483" s="236" t="str">
        <x:v>TRN-0482</x:v>
      </x:c>
      <x:c r="B483" s="243"/>
      <x:c r="C483" s="243"/>
      <x:c r="D483" s="243"/>
      <x:c r="E483" s="243"/>
      <x:c r="F483" s="14" t="str">
        <x:v>Recruiter A</x:v>
      </x:c>
      <x:c r="G483" s="14" t="str">
        <x:v>Training Center A</x:v>
      </x:c>
      <x:c r="H483" s="28">
        <x:v>45386</x:v>
      </x:c>
      <x:c r="I483" s="14">
        <x:v>2024</x:v>
      </x:c>
      <x:c r="J483" s="14" t="s">
        <x:v>126</x:v>
      </x:c>
      <x:c r="K483" s="14">
        <x:v>21</x:v>
      </x:c>
      <x:c r="L483" s="29" t="s">
        <x:v>101</x:v>
      </x:c>
      <x:c r="M483" s="28">
        <x:v>45381</x:v>
      </x:c>
      <x:c r="N483" s="28">
        <x:v>46221</x:v>
      </x:c>
      <x:c r="O483" s="14">
        <x:v>840</x:v>
      </x:c>
      <x:c r="P483" s="14" t="s">
        <x:v>122</x:v>
      </x:c>
      <x:c r="Q483" s="14" t="s">
        <x:v>103</x:v>
      </x:c>
      <x:c r="R483" s="14" t="s">
        <x:v>111</x:v>
      </x:c>
      <x:c r="S483" s="14" t="s">
        <x:v>108</x:v>
      </x:c>
      <x:c r="T483" s="14" t="str">
        <x:v>Region C</x:v>
      </x:c>
      <x:c r="U483" s="28">
        <x:v>45397</x:v>
      </x:c>
      <x:c r="V483" s="30">
        <x:v>11</x:v>
      </x:c>
      <x:c r="W483" s="14" t="s">
        <x:v>45</x:v>
      </x:c>
      <x:c r="X483" s="14" t="s">
        <x:v>106</x:v>
      </x:c>
      <x:c r="Y483" s="32" t="str">
        <x:v>TRN-0482|20240404</x:v>
      </x:c>
      <x:c r="Z483" s="32" t="str" cm="1">
        <x:f t="array" ref="Z48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483" s="33" t="n">
        <x:f>--OR(WorkforceData[[#This Row],[Status]]="Active",WorkforceData[[#This Row],[Promoted]]="Yes",WorkforceData[[#This Row],[Total Days Worked]]&gt;=121)</x:f>
        <x:v>1</x:v>
      </x:c>
      <x:c r="AB483" s="33" t="n">
        <x:f>IF(AND(Q483="Terminated",R483="",O483=0),1,0)</x:f>
        <x:v>0</x:v>
      </x:c>
      <x:c r="AC483" s="33" t="n">
        <x:f>--OR(WorkforceData[[#This Row],[Status]]="Resigned",WorkforceData[[#This Row],[Status After Training]]="Withdrew")</x:f>
        <x:v>1</x:v>
      </x:c>
      <x:c r="AD483" s="34" t="n">
        <x:f>EOMONTH(WorkforceData[[#This Row],[Training Date]],0)</x:f>
        <x:v>45412</x:v>
      </x:c>
      <x:c r="AE483" s="32" t="str">
        <x:f>IF(M483&lt;H483,"Existing Employee",IF(U483="","No Assignment",IF(V483=0,"0 Days",IF(V483&lt;=7,"1-7 Days",IF(V483&lt;=14,"8-14 Days",IF(V483&lt;=21,"15-21 Days","21+ Days"))))))</x:f>
        <x:v>Existing Employee</x:v>
      </x:c>
      <x:c r="AF48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83" s="33" t="n">
        <x:f>--(WorkforceData[[#This Row],[Total Days Worked]]&gt;=121)</x:f>
        <x:v>1</x:v>
      </x:c>
    </x:row>
    <x:row r="484">
      <x:c r="A484" s="236" t="str">
        <x:v>TRN-0483</x:v>
      </x:c>
      <x:c r="B484" s="243"/>
      <x:c r="C484" s="243"/>
      <x:c r="D484" s="243"/>
      <x:c r="E484" s="243"/>
      <x:c r="F484" s="14" t="str">
        <x:v>Recruiter D</x:v>
      </x:c>
      <x:c r="G484" s="14" t="str">
        <x:v>Training Center A</x:v>
      </x:c>
      <x:c r="H484" s="28">
        <x:v>45386</x:v>
      </x:c>
      <x:c r="I484" s="14">
        <x:v>2024</x:v>
      </x:c>
      <x:c r="J484" s="14" t="s">
        <x:v>126</x:v>
      </x:c>
      <x:c r="K484" s="14">
        <x:v>21</x:v>
      </x:c>
      <x:c r="L484" s="29" t="s">
        <x:v>101</x:v>
      </x:c>
      <x:c r="M484" s="28">
        <x:v>45386</x:v>
      </x:c>
      <x:c r="N484" s="14"/>
      <x:c r="O484" s="14">
        <x:v>865</x:v>
      </x:c>
      <x:c r="P484" s="14" t="s">
        <x:v>122</x:v>
      </x:c>
      <x:c r="Q484" s="14" t="s">
        <x:v>38</x:v>
      </x:c>
      <x:c r="R484" s="14"/>
      <x:c r="S484" s="14" t="s">
        <x:v>108</x:v>
      </x:c>
      <x:c r="T484" s="14" t="str">
        <x:v>Region A</x:v>
      </x:c>
      <x:c r="U484" s="28">
        <x:v>45394</x:v>
      </x:c>
      <x:c r="V484" s="30">
        <x:v>8</x:v>
      </x:c>
      <x:c r="W484" s="14" t="s">
        <x:v>45</x:v>
      </x:c>
      <x:c r="X484" s="14" t="s">
        <x:v>106</x:v>
      </x:c>
      <x:c r="Y484" s="32" t="str">
        <x:v>TRN-0483|20240404</x:v>
      </x:c>
      <x:c r="Z484" s="32" t="str" cm="1">
        <x:f t="array" ref="Z48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484" s="33" t="n">
        <x:f>--OR(WorkforceData[[#This Row],[Status]]="Active",WorkforceData[[#This Row],[Promoted]]="Yes",WorkforceData[[#This Row],[Total Days Worked]]&gt;=121)</x:f>
        <x:v>1</x:v>
      </x:c>
      <x:c r="AB484" s="33" t="n">
        <x:f>IF(AND(Q484="Terminated",R484="",O484=0),1,0)</x:f>
        <x:v>0</x:v>
      </x:c>
      <x:c r="AC484" s="33" t="n">
        <x:f>--OR(WorkforceData[[#This Row],[Status]]="Resigned",WorkforceData[[#This Row],[Status After Training]]="Withdrew")</x:f>
        <x:v>0</x:v>
      </x:c>
      <x:c r="AD484" s="34" t="n">
        <x:f>EOMONTH(WorkforceData[[#This Row],[Training Date]],0)</x:f>
        <x:v>45412</x:v>
      </x:c>
      <x:c r="AE484" s="32" t="str">
        <x:f>IF(M484&lt;H484,"Existing Employee",IF(U484="","No Assignment",IF(V484=0,"0 Days",IF(V484&lt;=7,"1-7 Days",IF(V484&lt;=14,"8-14 Days",IF(V484&lt;=21,"15-21 Days","21+ Days"))))))</x:f>
        <x:v>8-14 Days</x:v>
      </x:c>
      <x:c r="AF48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84" s="33" t="n">
        <x:f>--(WorkforceData[[#This Row],[Total Days Worked]]&gt;=121)</x:f>
        <x:v>1</x:v>
      </x:c>
    </x:row>
    <x:row r="485">
      <x:c r="A485" s="236" t="str">
        <x:v>TRN-0484</x:v>
      </x:c>
      <x:c r="B485" s="243"/>
      <x:c r="C485" s="243"/>
      <x:c r="D485" s="243"/>
      <x:c r="E485" s="243"/>
      <x:c r="F485" s="14" t="str">
        <x:v>Recruiter F</x:v>
      </x:c>
      <x:c r="G485" s="14" t="str">
        <x:v>Training Center A</x:v>
      </x:c>
      <x:c r="H485" s="28">
        <x:v>45386</x:v>
      </x:c>
      <x:c r="I485" s="14">
        <x:v>2024</x:v>
      </x:c>
      <x:c r="J485" s="14" t="s">
        <x:v>126</x:v>
      </x:c>
      <x:c r="K485" s="14">
        <x:v>21</x:v>
      </x:c>
      <x:c r="L485" s="29" t="s">
        <x:v>101</x:v>
      </x:c>
      <x:c r="M485" s="28">
        <x:v>45376</x:v>
      </x:c>
      <x:c r="N485" s="14"/>
      <x:c r="O485" s="14">
        <x:v>875</x:v>
      </x:c>
      <x:c r="P485" s="14" t="s">
        <x:v>122</x:v>
      </x:c>
      <x:c r="Q485" s="14" t="s">
        <x:v>25</x:v>
      </x:c>
      <x:c r="R485" s="14"/>
      <x:c r="S485" s="14" t="s">
        <x:v>108</x:v>
      </x:c>
      <x:c r="T485" s="14" t="str">
        <x:v>Region B</x:v>
      </x:c>
      <x:c r="U485" s="28">
        <x:v>45394</x:v>
      </x:c>
      <x:c r="V485" s="30">
        <x:v>8</x:v>
      </x:c>
      <x:c r="W485" s="14" t="s">
        <x:v>45</x:v>
      </x:c>
      <x:c r="X485" s="14" t="s">
        <x:v>106</x:v>
      </x:c>
      <x:c r="Y485" s="32" t="str">
        <x:v>TRN-0484|20240404</x:v>
      </x:c>
      <x:c r="Z485" s="32" t="str" cm="1">
        <x:f t="array" ref="Z48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485" s="33" t="n">
        <x:f>--OR(WorkforceData[[#This Row],[Status]]="Active",WorkforceData[[#This Row],[Promoted]]="Yes",WorkforceData[[#This Row],[Total Days Worked]]&gt;=121)</x:f>
        <x:v>1</x:v>
      </x:c>
      <x:c r="AB485" s="33" t="n">
        <x:f>IF(AND(Q485="Terminated",R485="",O485=0),1,0)</x:f>
        <x:v>0</x:v>
      </x:c>
      <x:c r="AC485" s="33" t="n">
        <x:f>--OR(WorkforceData[[#This Row],[Status]]="Resigned",WorkforceData[[#This Row],[Status After Training]]="Withdrew")</x:f>
        <x:v>0</x:v>
      </x:c>
      <x:c r="AD485" s="34" t="n">
        <x:f>EOMONTH(WorkforceData[[#This Row],[Training Date]],0)</x:f>
        <x:v>45412</x:v>
      </x:c>
      <x:c r="AE485" s="32" t="str">
        <x:f>IF(M485&lt;H485,"Existing Employee",IF(U485="","No Assignment",IF(V485=0,"0 Days",IF(V485&lt;=7,"1-7 Days",IF(V485&lt;=14,"8-14 Days",IF(V485&lt;=21,"15-21 Days","21+ Days"))))))</x:f>
        <x:v>Existing Employee</x:v>
      </x:c>
      <x:c r="AF48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85" s="33" t="n">
        <x:f>--(WorkforceData[[#This Row],[Total Days Worked]]&gt;=121)</x:f>
        <x:v>1</x:v>
      </x:c>
    </x:row>
    <x:row r="486">
      <x:c r="A486" s="236" t="str">
        <x:v>TRN-0485</x:v>
      </x:c>
      <x:c r="B486" s="243"/>
      <x:c r="C486" s="243"/>
      <x:c r="D486" s="243"/>
      <x:c r="E486" s="243"/>
      <x:c r="F486" s="14" t="str">
        <x:v>Recruiter D</x:v>
      </x:c>
      <x:c r="G486" s="14" t="str">
        <x:v>Training Center A</x:v>
      </x:c>
      <x:c r="H486" s="28">
        <x:v>45386</x:v>
      </x:c>
      <x:c r="I486" s="14">
        <x:v>2024</x:v>
      </x:c>
      <x:c r="J486" s="14" t="s">
        <x:v>126</x:v>
      </x:c>
      <x:c r="K486" s="14">
        <x:v>21</x:v>
      </x:c>
      <x:c r="L486" s="29" t="s">
        <x:v>101</x:v>
      </x:c>
      <x:c r="M486" s="28">
        <x:v>45384</x:v>
      </x:c>
      <x:c r="N486" s="28">
        <x:v>45416</x:v>
      </x:c>
      <x:c r="O486" s="14">
        <x:v>32</x:v>
      </x:c>
      <x:c r="P486" s="14" t="s">
        <x:v>110</x:v>
      </x:c>
      <x:c r="Q486" s="14" t="s">
        <x:v>33</x:v>
      </x:c>
      <x:c r="R486" s="14" t="s">
        <x:v>121</x:v>
      </x:c>
      <x:c r="S486" s="14" t="s">
        <x:v>105</x:v>
      </x:c>
      <x:c r="T486" s="14" t="str">
        <x:v>Region E</x:v>
      </x:c>
      <x:c r="U486" s="28">
        <x:v>45399</x:v>
      </x:c>
      <x:c r="V486" s="30">
        <x:v>13</x:v>
      </x:c>
      <x:c r="W486" s="14" t="s">
        <x:v>45</x:v>
      </x:c>
      <x:c r="X486" s="14" t="s">
        <x:v>106</x:v>
      </x:c>
      <x:c r="Y486" s="32" t="str">
        <x:v>TRN-0485|20240404</x:v>
      </x:c>
      <x:c r="Z486" s="32" t="str" cm="1">
        <x:f t="array" ref="Z48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486" s="33" t="n">
        <x:f>--OR(WorkforceData[[#This Row],[Status]]="Active",WorkforceData[[#This Row],[Promoted]]="Yes",WorkforceData[[#This Row],[Total Days Worked]]&gt;=121)</x:f>
        <x:v>0</x:v>
      </x:c>
      <x:c r="AB486" s="33" t="n">
        <x:f>IF(AND(Q486="Terminated",R486="",O486=0),1,0)</x:f>
        <x:v>0</x:v>
      </x:c>
      <x:c r="AC486" s="33" t="n">
        <x:f>--OR(WorkforceData[[#This Row],[Status]]="Resigned",WorkforceData[[#This Row],[Status After Training]]="Withdrew")</x:f>
        <x:v>0</x:v>
      </x:c>
      <x:c r="AD486" s="34" t="n">
        <x:f>EOMONTH(WorkforceData[[#This Row],[Training Date]],0)</x:f>
        <x:v>45412</x:v>
      </x:c>
      <x:c r="AE486" s="32" t="str">
        <x:f>IF(M486&lt;H486,"Existing Employee",IF(U486="","No Assignment",IF(V486=0,"0 Days",IF(V486&lt;=7,"1-7 Days",IF(V486&lt;=14,"8-14 Days",IF(V486&lt;=21,"15-21 Days","21+ Days"))))))</x:f>
        <x:v>Existing Employee</x:v>
      </x:c>
      <x:c r="AF48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486" s="33" t="n">
        <x:f>--(WorkforceData[[#This Row],[Total Days Worked]]&gt;=121)</x:f>
        <x:v>0</x:v>
      </x:c>
    </x:row>
    <x:row r="487">
      <x:c r="A487" s="236" t="str">
        <x:v>TRN-0486</x:v>
      </x:c>
      <x:c r="B487" s="243"/>
      <x:c r="C487" s="243"/>
      <x:c r="D487" s="243"/>
      <x:c r="E487" s="243"/>
      <x:c r="F487" s="14" t="str">
        <x:v>Recruiter H</x:v>
      </x:c>
      <x:c r="G487" s="14" t="str">
        <x:v>Training Center A</x:v>
      </x:c>
      <x:c r="H487" s="28">
        <x:v>45386</x:v>
      </x:c>
      <x:c r="I487" s="14">
        <x:v>2024</x:v>
      </x:c>
      <x:c r="J487" s="14" t="s">
        <x:v>126</x:v>
      </x:c>
      <x:c r="K487" s="14">
        <x:v>21</x:v>
      </x:c>
      <x:c r="L487" s="29" t="s">
        <x:v>101</x:v>
      </x:c>
      <x:c r="M487" s="28">
        <x:v>45381</x:v>
      </x:c>
      <x:c r="N487" s="14"/>
      <x:c r="O487" s="14">
        <x:v>870</x:v>
      </x:c>
      <x:c r="P487" s="14" t="s">
        <x:v>122</x:v>
      </x:c>
      <x:c r="Q487" s="14" t="s">
        <x:v>25</x:v>
      </x:c>
      <x:c r="R487" s="14"/>
      <x:c r="S487" s="14" t="s">
        <x:v>108</x:v>
      </x:c>
      <x:c r="T487" s="14" t="str">
        <x:v>Region B</x:v>
      </x:c>
      <x:c r="U487" s="28">
        <x:v>45397</x:v>
      </x:c>
      <x:c r="V487" s="30">
        <x:v>11</x:v>
      </x:c>
      <x:c r="W487" s="14" t="s">
        <x:v>45</x:v>
      </x:c>
      <x:c r="X487" s="14" t="s">
        <x:v>106</x:v>
      </x:c>
      <x:c r="Y487" s="32" t="str">
        <x:v>TRN-0486|20240404</x:v>
      </x:c>
      <x:c r="Z487" s="32" t="str" cm="1">
        <x:f t="array" ref="Z48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487" s="33" t="n">
        <x:f>--OR(WorkforceData[[#This Row],[Status]]="Active",WorkforceData[[#This Row],[Promoted]]="Yes",WorkforceData[[#This Row],[Total Days Worked]]&gt;=121)</x:f>
        <x:v>1</x:v>
      </x:c>
      <x:c r="AB487" s="33" t="n">
        <x:f>IF(AND(Q487="Terminated",R487="",O487=0),1,0)</x:f>
        <x:v>0</x:v>
      </x:c>
      <x:c r="AC487" s="33" t="n">
        <x:f>--OR(WorkforceData[[#This Row],[Status]]="Resigned",WorkforceData[[#This Row],[Status After Training]]="Withdrew")</x:f>
        <x:v>0</x:v>
      </x:c>
      <x:c r="AD487" s="34" t="n">
        <x:f>EOMONTH(WorkforceData[[#This Row],[Training Date]],0)</x:f>
        <x:v>45412</x:v>
      </x:c>
      <x:c r="AE487" s="32" t="str">
        <x:f>IF(M487&lt;H487,"Existing Employee",IF(U487="","No Assignment",IF(V487=0,"0 Days",IF(V487&lt;=7,"1-7 Days",IF(V487&lt;=14,"8-14 Days",IF(V487&lt;=21,"15-21 Days","21+ Days"))))))</x:f>
        <x:v>Existing Employee</x:v>
      </x:c>
      <x:c r="AF48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87" s="33" t="n">
        <x:f>--(WorkforceData[[#This Row],[Total Days Worked]]&gt;=121)</x:f>
        <x:v>1</x:v>
      </x:c>
    </x:row>
    <x:row r="488">
      <x:c r="A488" s="236" t="str">
        <x:v>TRN-0487</x:v>
      </x:c>
      <x:c r="B488" s="243"/>
      <x:c r="C488" s="243"/>
      <x:c r="D488" s="243"/>
      <x:c r="E488" s="243"/>
      <x:c r="F488" s="14" t="str">
        <x:v>Recruiter B</x:v>
      </x:c>
      <x:c r="G488" s="14" t="str">
        <x:v>Training Center A</x:v>
      </x:c>
      <x:c r="H488" s="28">
        <x:v>45386</x:v>
      </x:c>
      <x:c r="I488" s="14">
        <x:v>2024</x:v>
      </x:c>
      <x:c r="J488" s="14" t="s">
        <x:v>126</x:v>
      </x:c>
      <x:c r="K488" s="14">
        <x:v>21</x:v>
      </x:c>
      <x:c r="L488" s="29" t="s">
        <x:v>101</x:v>
      </x:c>
      <x:c r="M488" s="28">
        <x:v>45385</x:v>
      </x:c>
      <x:c r="N488" s="14"/>
      <x:c r="O488" s="14">
        <x:v>866</x:v>
      </x:c>
      <x:c r="P488" s="14" t="s">
        <x:v>122</x:v>
      </x:c>
      <x:c r="Q488" s="14" t="s">
        <x:v>25</x:v>
      </x:c>
      <x:c r="R488" s="14"/>
      <x:c r="S488" s="14" t="s">
        <x:v>108</x:v>
      </x:c>
      <x:c r="T488" s="14" t="str">
        <x:v>Region B</x:v>
      </x:c>
      <x:c r="U488" s="28">
        <x:v>45399</x:v>
      </x:c>
      <x:c r="V488" s="30">
        <x:v>13</x:v>
      </x:c>
      <x:c r="W488" s="14" t="s">
        <x:v>45</x:v>
      </x:c>
      <x:c r="X488" s="14" t="s">
        <x:v>106</x:v>
      </x:c>
      <x:c r="Y488" s="32" t="str">
        <x:v>TRN-0487|20240404</x:v>
      </x:c>
      <x:c r="Z488" s="32" t="str" cm="1">
        <x:f t="array" ref="Z48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488" s="33" t="n">
        <x:f>--OR(WorkforceData[[#This Row],[Status]]="Active",WorkforceData[[#This Row],[Promoted]]="Yes",WorkforceData[[#This Row],[Total Days Worked]]&gt;=121)</x:f>
        <x:v>1</x:v>
      </x:c>
      <x:c r="AB488" s="33" t="n">
        <x:f>IF(AND(Q488="Terminated",R488="",O488=0),1,0)</x:f>
        <x:v>0</x:v>
      </x:c>
      <x:c r="AC488" s="33" t="n">
        <x:f>--OR(WorkforceData[[#This Row],[Status]]="Resigned",WorkforceData[[#This Row],[Status After Training]]="Withdrew")</x:f>
        <x:v>0</x:v>
      </x:c>
      <x:c r="AD488" s="34" t="n">
        <x:f>EOMONTH(WorkforceData[[#This Row],[Training Date]],0)</x:f>
        <x:v>45412</x:v>
      </x:c>
      <x:c r="AE488" s="32" t="str">
        <x:f>IF(M488&lt;H488,"Existing Employee",IF(U488="","No Assignment",IF(V488=0,"0 Days",IF(V488&lt;=7,"1-7 Days",IF(V488&lt;=14,"8-14 Days",IF(V488&lt;=21,"15-21 Days","21+ Days"))))))</x:f>
        <x:v>Existing Employee</x:v>
      </x:c>
      <x:c r="AF48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88" s="33" t="n">
        <x:f>--(WorkforceData[[#This Row],[Total Days Worked]]&gt;=121)</x:f>
        <x:v>1</x:v>
      </x:c>
    </x:row>
    <x:row r="489">
      <x:c r="A489" s="236" t="str">
        <x:v>TRN-0488</x:v>
      </x:c>
      <x:c r="B489" s="243"/>
      <x:c r="C489" s="243"/>
      <x:c r="D489" s="243"/>
      <x:c r="E489" s="243"/>
      <x:c r="F489" s="14" t="str">
        <x:v>Recruiter A</x:v>
      </x:c>
      <x:c r="G489" s="14" t="str">
        <x:v>Training Center A</x:v>
      </x:c>
      <x:c r="H489" s="28">
        <x:v>45386</x:v>
      </x:c>
      <x:c r="I489" s="14">
        <x:v>2024</x:v>
      </x:c>
      <x:c r="J489" s="14" t="s">
        <x:v>126</x:v>
      </x:c>
      <x:c r="K489" s="14">
        <x:v>21</x:v>
      </x:c>
      <x:c r="L489" s="29" t="s">
        <x:v>101</x:v>
      </x:c>
      <x:c r="M489" s="28">
        <x:v>45379</x:v>
      </x:c>
      <x:c r="N489" s="28">
        <x:v>45402</x:v>
      </x:c>
      <x:c r="O489" s="14">
        <x:v>23</x:v>
      </x:c>
      <x:c r="P489" s="14" t="s">
        <x:v>102</x:v>
      </x:c>
      <x:c r="Q489" s="14" t="s">
        <x:v>103</x:v>
      </x:c>
      <x:c r="R489" s="14" t="s">
        <x:v>111</x:v>
      </x:c>
      <x:c r="S489" s="14" t="s">
        <x:v>105</x:v>
      </x:c>
      <x:c r="T489" s="14" t="str">
        <x:v>Region D</x:v>
      </x:c>
      <x:c r="U489" s="28">
        <x:v>45402</x:v>
      </x:c>
      <x:c r="V489" s="30">
        <x:v>16</x:v>
      </x:c>
      <x:c r="W489" s="14" t="s">
        <x:v>112</x:v>
      </x:c>
      <x:c r="X489" s="14" t="s">
        <x:v>115</x:v>
      </x:c>
      <x:c r="Y489" s="32" t="str">
        <x:v>TRN-0488|20240404</x:v>
      </x:c>
      <x:c r="Z489" s="32" t="str" cm="1">
        <x:f t="array" ref="Z48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489" s="33" t="n">
        <x:f>--OR(WorkforceData[[#This Row],[Status]]="Active",WorkforceData[[#This Row],[Promoted]]="Yes",WorkforceData[[#This Row],[Total Days Worked]]&gt;=121)</x:f>
        <x:v>0</x:v>
      </x:c>
      <x:c r="AB489" s="33" t="n">
        <x:f>IF(AND(Q489="Terminated",R489="",O489=0),1,0)</x:f>
        <x:v>0</x:v>
      </x:c>
      <x:c r="AC489" s="33" t="n">
        <x:f>--OR(WorkforceData[[#This Row],[Status]]="Resigned",WorkforceData[[#This Row],[Status After Training]]="Withdrew")</x:f>
        <x:v>1</x:v>
      </x:c>
      <x:c r="AD489" s="34" t="n">
        <x:f>EOMONTH(WorkforceData[[#This Row],[Training Date]],0)</x:f>
        <x:v>45412</x:v>
      </x:c>
      <x:c r="AE489" s="32" t="str">
        <x:f>IF(M489&lt;H489,"Existing Employee",IF(U489="","No Assignment",IF(V489=0,"0 Days",IF(V489&lt;=7,"1-7 Days",IF(V489&lt;=14,"8-14 Days",IF(V489&lt;=21,"15-21 Days","21+ Days"))))))</x:f>
        <x:v>Existing Employee</x:v>
      </x:c>
      <x:c r="AF48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489" s="33" t="n">
        <x:f>--(WorkforceData[[#This Row],[Total Days Worked]]&gt;=121)</x:f>
        <x:v>0</x:v>
      </x:c>
    </x:row>
    <x:row r="490">
      <x:c r="A490" s="236" t="str">
        <x:v>TRN-0489</x:v>
      </x:c>
      <x:c r="B490" s="243"/>
      <x:c r="C490" s="243"/>
      <x:c r="D490" s="243"/>
      <x:c r="E490" s="243"/>
      <x:c r="F490" s="14" t="str">
        <x:v>Recruiter B</x:v>
      </x:c>
      <x:c r="G490" s="14" t="str">
        <x:v>Training Center A</x:v>
      </x:c>
      <x:c r="H490" s="28">
        <x:v>45386</x:v>
      </x:c>
      <x:c r="I490" s="14">
        <x:v>2024</x:v>
      </x:c>
      <x:c r="J490" s="14" t="s">
        <x:v>126</x:v>
      </x:c>
      <x:c r="K490" s="14">
        <x:v>21</x:v>
      </x:c>
      <x:c r="L490" s="29" t="s">
        <x:v>101</x:v>
      </x:c>
      <x:c r="M490" s="28">
        <x:v>45386</x:v>
      </x:c>
      <x:c r="N490" s="14"/>
      <x:c r="O490" s="14">
        <x:v>865</x:v>
      </x:c>
      <x:c r="P490" s="14" t="s">
        <x:v>122</x:v>
      </x:c>
      <x:c r="Q490" s="14" t="s">
        <x:v>25</x:v>
      </x:c>
      <x:c r="R490" s="14"/>
      <x:c r="S490" s="14" t="s">
        <x:v>108</x:v>
      </x:c>
      <x:c r="T490" s="14" t="str">
        <x:v>Region B</x:v>
      </x:c>
      <x:c r="U490" s="28">
        <x:v>45389</x:v>
      </x:c>
      <x:c r="V490" s="30">
        <x:v>3</x:v>
      </x:c>
      <x:c r="W490" s="14" t="s">
        <x:v>109</x:v>
      </x:c>
      <x:c r="X490" s="14" t="s">
        <x:v>106</x:v>
      </x:c>
      <x:c r="Y490" s="32" t="str">
        <x:v>TRN-0489|20240404</x:v>
      </x:c>
      <x:c r="Z490" s="32" t="str" cm="1">
        <x:f t="array" ref="Z49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490" s="33" t="n">
        <x:f>--OR(WorkforceData[[#This Row],[Status]]="Active",WorkforceData[[#This Row],[Promoted]]="Yes",WorkforceData[[#This Row],[Total Days Worked]]&gt;=121)</x:f>
        <x:v>1</x:v>
      </x:c>
      <x:c r="AB490" s="33" t="n">
        <x:f>IF(AND(Q490="Terminated",R490="",O490=0),1,0)</x:f>
        <x:v>0</x:v>
      </x:c>
      <x:c r="AC490" s="33" t="n">
        <x:f>--OR(WorkforceData[[#This Row],[Status]]="Resigned",WorkforceData[[#This Row],[Status After Training]]="Withdrew")</x:f>
        <x:v>0</x:v>
      </x:c>
      <x:c r="AD490" s="34" t="n">
        <x:f>EOMONTH(WorkforceData[[#This Row],[Training Date]],0)</x:f>
        <x:v>45412</x:v>
      </x:c>
      <x:c r="AE490" s="32" t="str">
        <x:f>IF(M490&lt;H490,"Existing Employee",IF(U490="","No Assignment",IF(V490=0,"0 Days",IF(V490&lt;=7,"1-7 Days",IF(V490&lt;=14,"8-14 Days",IF(V490&lt;=21,"15-21 Days","21+ Days"))))))</x:f>
        <x:v>1-7 Days</x:v>
      </x:c>
      <x:c r="AF49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90" s="33" t="n">
        <x:f>--(WorkforceData[[#This Row],[Total Days Worked]]&gt;=121)</x:f>
        <x:v>1</x:v>
      </x:c>
    </x:row>
    <x:row r="491">
      <x:c r="A491" s="236" t="str">
        <x:v>TRN-0490</x:v>
      </x:c>
      <x:c r="B491" s="243"/>
      <x:c r="C491" s="243"/>
      <x:c r="D491" s="243"/>
      <x:c r="E491" s="243"/>
      <x:c r="F491" s="14" t="str">
        <x:v>Recruiter B</x:v>
      </x:c>
      <x:c r="G491" s="14" t="str">
        <x:v>Training Center A</x:v>
      </x:c>
      <x:c r="H491" s="28">
        <x:v>45386</x:v>
      </x:c>
      <x:c r="I491" s="14">
        <x:v>2024</x:v>
      </x:c>
      <x:c r="J491" s="14" t="s">
        <x:v>126</x:v>
      </x:c>
      <x:c r="K491" s="14">
        <x:v>21</x:v>
      </x:c>
      <x:c r="L491" s="29" t="s">
        <x:v>101</x:v>
      </x:c>
      <x:c r="M491" s="28">
        <x:v>45376</x:v>
      </x:c>
      <x:c r="N491" s="28">
        <x:v>45377</x:v>
      </x:c>
      <x:c r="O491" s="14">
        <x:v>1</x:v>
      </x:c>
      <x:c r="P491" s="14" t="s">
        <x:v>102</x:v>
      </x:c>
      <x:c r="Q491" s="14" t="s">
        <x:v>103</x:v>
      </x:c>
      <x:c r="R491" s="14" t="s">
        <x:v>111</x:v>
      </x:c>
      <x:c r="S491" s="14" t="s">
        <x:v>105</x:v>
      </x:c>
      <x:c r="T491" s="14"/>
      <x:c r="U491" s="28"/>
      <x:c r="V491" s="30"/>
      <x:c r="W491" s="14"/>
      <x:c r="X491" s="14" t="s">
        <x:v>71</x:v>
      </x:c>
      <x:c r="Y491" s="32" t="str">
        <x:v>TRN-0490|20240404</x:v>
      </x:c>
      <x:c r="Z491" s="32" t="str" cm="1">
        <x:f t="array" ref="Z49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491" s="33" t="n">
        <x:f>--OR(WorkforceData[[#This Row],[Status]]="Active",WorkforceData[[#This Row],[Promoted]]="Yes",WorkforceData[[#This Row],[Total Days Worked]]&gt;=121)</x:f>
        <x:v>0</x:v>
      </x:c>
      <x:c r="AB491" s="33" t="n">
        <x:f>IF(AND(Q491="Terminated",R491="",O491=0),1,0)</x:f>
        <x:v>0</x:v>
      </x:c>
      <x:c r="AC491" s="33" t="n">
        <x:f>--OR(WorkforceData[[#This Row],[Status]]="Resigned",WorkforceData[[#This Row],[Status After Training]]="Withdrew")</x:f>
        <x:v>1</x:v>
      </x:c>
      <x:c r="AD491" s="34" t="n">
        <x:f>EOMONTH(WorkforceData[[#This Row],[Training Date]],0)</x:f>
        <x:v>45412</x:v>
      </x:c>
      <x:c r="AE491" s="32" t="str">
        <x:f>IF(M491&lt;H491,"Existing Employee",IF(U491="","No Assignment",IF(V491=0,"0 Days",IF(V491&lt;=7,"1-7 Days",IF(V491&lt;=14,"8-14 Days",IF(V491&lt;=21,"15-21 Days","21+ Days"))))))</x:f>
        <x:v>Existing Employee</x:v>
      </x:c>
      <x:c r="AF49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1-7 Days</x:v>
      </x:c>
      <x:c r="AG491" s="33" t="n">
        <x:f>--(WorkforceData[[#This Row],[Total Days Worked]]&gt;=121)</x:f>
        <x:v>0</x:v>
      </x:c>
    </x:row>
    <x:row r="492">
      <x:c r="A492" s="236" t="str">
        <x:v>TRN-0491</x:v>
      </x:c>
      <x:c r="B492" s="243"/>
      <x:c r="C492" s="243"/>
      <x:c r="D492" s="243"/>
      <x:c r="E492" s="243"/>
      <x:c r="F492" s="14" t="str">
        <x:v>Recruiter H</x:v>
      </x:c>
      <x:c r="G492" s="14" t="str">
        <x:v>Training Center A</x:v>
      </x:c>
      <x:c r="H492" s="28">
        <x:v>45386</x:v>
      </x:c>
      <x:c r="I492" s="14">
        <x:v>2024</x:v>
      </x:c>
      <x:c r="J492" s="14" t="s">
        <x:v>126</x:v>
      </x:c>
      <x:c r="K492" s="14">
        <x:v>21</x:v>
      </x:c>
      <x:c r="L492" s="29" t="s">
        <x:v>101</x:v>
      </x:c>
      <x:c r="M492" s="28">
        <x:v>45385</x:v>
      </x:c>
      <x:c r="N492" s="28">
        <x:v>45410</x:v>
      </x:c>
      <x:c r="O492" s="14">
        <x:v>25</x:v>
      </x:c>
      <x:c r="P492" s="14" t="s">
        <x:v>102</x:v>
      </x:c>
      <x:c r="Q492" s="14" t="s">
        <x:v>103</x:v>
      </x:c>
      <x:c r="R492" s="14" t="s">
        <x:v>104</x:v>
      </x:c>
      <x:c r="S492" s="14" t="s">
        <x:v>105</x:v>
      </x:c>
      <x:c r="T492" s="14" t="str">
        <x:v>Region A</x:v>
      </x:c>
      <x:c r="U492" s="28">
        <x:v>45404</x:v>
      </x:c>
      <x:c r="V492" s="30">
        <x:v>18</x:v>
      </x:c>
      <x:c r="W492" s="14" t="s">
        <x:v>112</x:v>
      </x:c>
      <x:c r="X492" s="14" t="s">
        <x:v>106</x:v>
      </x:c>
      <x:c r="Y492" s="32" t="str">
        <x:v>TRN-0491|20240404</x:v>
      </x:c>
      <x:c r="Z492" s="32" t="str" cm="1">
        <x:f t="array" ref="Z49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492" s="33" t="n">
        <x:f>--OR(WorkforceData[[#This Row],[Status]]="Active",WorkforceData[[#This Row],[Promoted]]="Yes",WorkforceData[[#This Row],[Total Days Worked]]&gt;=121)</x:f>
        <x:v>0</x:v>
      </x:c>
      <x:c r="AB492" s="33" t="n">
        <x:f>IF(AND(Q492="Terminated",R492="",O492=0),1,0)</x:f>
        <x:v>0</x:v>
      </x:c>
      <x:c r="AC492" s="33" t="n">
        <x:f>--OR(WorkforceData[[#This Row],[Status]]="Resigned",WorkforceData[[#This Row],[Status After Training]]="Withdrew")</x:f>
        <x:v>1</x:v>
      </x:c>
      <x:c r="AD492" s="34" t="n">
        <x:f>EOMONTH(WorkforceData[[#This Row],[Training Date]],0)</x:f>
        <x:v>45412</x:v>
      </x:c>
      <x:c r="AE492" s="32" t="str">
        <x:f>IF(M492&lt;H492,"Existing Employee",IF(U492="","No Assignment",IF(V492=0,"0 Days",IF(V492&lt;=7,"1-7 Days",IF(V492&lt;=14,"8-14 Days",IF(V492&lt;=21,"15-21 Days","21+ Days"))))))</x:f>
        <x:v>Existing Employee</x:v>
      </x:c>
      <x:c r="AF49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492" s="33" t="n">
        <x:f>--(WorkforceData[[#This Row],[Total Days Worked]]&gt;=121)</x:f>
        <x:v>0</x:v>
      </x:c>
    </x:row>
    <x:row r="493">
      <x:c r="A493" s="236" t="str">
        <x:v>TRN-0492</x:v>
      </x:c>
      <x:c r="B493" s="243"/>
      <x:c r="C493" s="243"/>
      <x:c r="D493" s="243"/>
      <x:c r="E493" s="243"/>
      <x:c r="F493" s="14" t="str">
        <x:v>Recruiter C</x:v>
      </x:c>
      <x:c r="G493" s="14" t="str">
        <x:v>Training Center A</x:v>
      </x:c>
      <x:c r="H493" s="28">
        <x:v>45386</x:v>
      </x:c>
      <x:c r="I493" s="14">
        <x:v>2024</x:v>
      </x:c>
      <x:c r="J493" s="14" t="s">
        <x:v>126</x:v>
      </x:c>
      <x:c r="K493" s="14">
        <x:v>21</x:v>
      </x:c>
      <x:c r="L493" s="29" t="s">
        <x:v>101</x:v>
      </x:c>
      <x:c r="M493" s="28">
        <x:v>45386</x:v>
      </x:c>
      <x:c r="N493" s="14"/>
      <x:c r="O493" s="14">
        <x:v>865</x:v>
      </x:c>
      <x:c r="P493" s="14" t="s">
        <x:v>122</x:v>
      </x:c>
      <x:c r="Q493" s="14" t="s">
        <x:v>25</x:v>
      </x:c>
      <x:c r="R493" s="14"/>
      <x:c r="S493" s="14" t="s">
        <x:v>108</x:v>
      </x:c>
      <x:c r="T493" s="14" t="str">
        <x:v>Region B</x:v>
      </x:c>
      <x:c r="U493" s="28">
        <x:v>45390</x:v>
      </x:c>
      <x:c r="V493" s="30">
        <x:v>4</x:v>
      </x:c>
      <x:c r="W493" s="14" t="s">
        <x:v>109</x:v>
      </x:c>
      <x:c r="X493" s="14" t="s">
        <x:v>106</x:v>
      </x:c>
      <x:c r="Y493" s="32" t="str">
        <x:v>TRN-0492|20240404</x:v>
      </x:c>
      <x:c r="Z493" s="32" t="str" cm="1">
        <x:f t="array" ref="Z49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493" s="33" t="n">
        <x:f>--OR(WorkforceData[[#This Row],[Status]]="Active",WorkforceData[[#This Row],[Promoted]]="Yes",WorkforceData[[#This Row],[Total Days Worked]]&gt;=121)</x:f>
        <x:v>1</x:v>
      </x:c>
      <x:c r="AB493" s="33" t="n">
        <x:f>IF(AND(Q493="Terminated",R493="",O493=0),1,0)</x:f>
        <x:v>0</x:v>
      </x:c>
      <x:c r="AC493" s="33" t="n">
        <x:f>--OR(WorkforceData[[#This Row],[Status]]="Resigned",WorkforceData[[#This Row],[Status After Training]]="Withdrew")</x:f>
        <x:v>0</x:v>
      </x:c>
      <x:c r="AD493" s="34" t="n">
        <x:f>EOMONTH(WorkforceData[[#This Row],[Training Date]],0)</x:f>
        <x:v>45412</x:v>
      </x:c>
      <x:c r="AE493" s="32" t="str">
        <x:f>IF(M493&lt;H493,"Existing Employee",IF(U493="","No Assignment",IF(V493=0,"0 Days",IF(V493&lt;=7,"1-7 Days",IF(V493&lt;=14,"8-14 Days",IF(V493&lt;=21,"15-21 Days","21+ Days"))))))</x:f>
        <x:v>1-7 Days</x:v>
      </x:c>
      <x:c r="AF49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93" s="33" t="n">
        <x:f>--(WorkforceData[[#This Row],[Total Days Worked]]&gt;=121)</x:f>
        <x:v>1</x:v>
      </x:c>
    </x:row>
    <x:row r="494">
      <x:c r="A494" s="236" t="str">
        <x:v>TRN-0493</x:v>
      </x:c>
      <x:c r="B494" s="243"/>
      <x:c r="C494" s="243"/>
      <x:c r="D494" s="243"/>
      <x:c r="E494" s="243"/>
      <x:c r="F494" s="14" t="str">
        <x:v>Recruiter D</x:v>
      </x:c>
      <x:c r="G494" s="14" t="str">
        <x:v>Training Center A</x:v>
      </x:c>
      <x:c r="H494" s="28">
        <x:v>45577</x:v>
      </x:c>
      <x:c r="I494" s="14">
        <x:v>2024</x:v>
      </x:c>
      <x:c r="J494" s="14" t="s">
        <x:v>100</x:v>
      </x:c>
      <x:c r="K494" s="14">
        <x:v>19</x:v>
      </x:c>
      <x:c r="L494" s="29" t="s">
        <x:v>119</x:v>
      </x:c>
      <x:c r="M494" s="28">
        <x:v>45577</x:v>
      </x:c>
      <x:c r="N494" s="14"/>
      <x:c r="O494" s="14">
        <x:v>674</x:v>
      </x:c>
      <x:c r="P494" s="14" t="s">
        <x:v>120</x:v>
      </x:c>
      <x:c r="Q494" s="14" t="s">
        <x:v>25</x:v>
      </x:c>
      <x:c r="R494" s="14"/>
      <x:c r="S494" s="14" t="s">
        <x:v>108</x:v>
      </x:c>
      <x:c r="T494" s="14" t="str">
        <x:v>Region D</x:v>
      </x:c>
      <x:c r="U494" s="28">
        <x:v>45577</x:v>
      </x:c>
      <x:c r="V494" s="30">
        <x:v>0</x:v>
      </x:c>
      <x:c r="W494" s="14" t="s">
        <x:v>109</x:v>
      </x:c>
      <x:c r="X494" s="14" t="s">
        <x:v>106</x:v>
      </x:c>
      <x:c r="Y494" s="32" t="str">
        <x:v>TRN-0493|20241012</x:v>
      </x:c>
      <x:c r="Z494" s="32" t="str" cm="1">
        <x:f t="array" ref="Z49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494" s="33" t="n">
        <x:f>--OR(WorkforceData[[#This Row],[Status]]="Active",WorkforceData[[#This Row],[Promoted]]="Yes",WorkforceData[[#This Row],[Total Days Worked]]&gt;=121)</x:f>
        <x:v>1</x:v>
      </x:c>
      <x:c r="AB494" s="33" t="n">
        <x:f>IF(AND(Q494="Terminated",R494="",O494=0),1,0)</x:f>
        <x:v>0</x:v>
      </x:c>
      <x:c r="AC494" s="33" t="n">
        <x:f>--OR(WorkforceData[[#This Row],[Status]]="Resigned",WorkforceData[[#This Row],[Status After Training]]="Withdrew")</x:f>
        <x:v>0</x:v>
      </x:c>
      <x:c r="AD494" s="34" t="n">
        <x:f>EOMONTH(WorkforceData[[#This Row],[Training Date]],0)</x:f>
        <x:v>45596</x:v>
      </x:c>
      <x:c r="AE494" s="32" t="str">
        <x:f>IF(M494&lt;H494,"Existing Employee",IF(U494="","No Assignment",IF(V494=0,"0 Days",IF(V494&lt;=7,"1-7 Days",IF(V494&lt;=14,"8-14 Days",IF(V494&lt;=21,"15-21 Days","21+ Days"))))))</x:f>
        <x:v>0 Days</x:v>
      </x:c>
      <x:c r="AF49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94" s="33" t="n">
        <x:f>--(WorkforceData[[#This Row],[Total Days Worked]]&gt;=121)</x:f>
        <x:v>1</x:v>
      </x:c>
    </x:row>
    <x:row r="495">
      <x:c r="A495" s="236" t="str">
        <x:v>TRN-0494</x:v>
      </x:c>
      <x:c r="B495" s="243"/>
      <x:c r="C495" s="243"/>
      <x:c r="D495" s="243"/>
      <x:c r="E495" s="243"/>
      <x:c r="F495" s="14" t="str">
        <x:v>Recruiter F</x:v>
      </x:c>
      <x:c r="G495" s="14" t="str">
        <x:v>Training Center A</x:v>
      </x:c>
      <x:c r="H495" s="28">
        <x:v>45577</x:v>
      </x:c>
      <x:c r="I495" s="14">
        <x:v>2024</x:v>
      </x:c>
      <x:c r="J495" s="14" t="s">
        <x:v>100</x:v>
      </x:c>
      <x:c r="K495" s="14">
        <x:v>19</x:v>
      </x:c>
      <x:c r="L495" s="29" t="s">
        <x:v>119</x:v>
      </x:c>
      <x:c r="M495" s="28">
        <x:v>45572</x:v>
      </x:c>
      <x:c r="N495" s="28">
        <x:v>45614</x:v>
      </x:c>
      <x:c r="O495" s="14">
        <x:v>42</x:v>
      </x:c>
      <x:c r="P495" s="14" t="s">
        <x:v>110</x:v>
      </x:c>
      <x:c r="Q495" s="14" t="s">
        <x:v>103</x:v>
      </x:c>
      <x:c r="R495" s="14" t="s">
        <x:v>104</x:v>
      </x:c>
      <x:c r="S495" s="14" t="s">
        <x:v>105</x:v>
      </x:c>
      <x:c r="T495" s="14"/>
      <x:c r="U495" s="28"/>
      <x:c r="V495" s="30"/>
      <x:c r="W495" s="14"/>
      <x:c r="X495" s="14" t="s">
        <x:v>71</x:v>
      </x:c>
      <x:c r="Y495" s="32" t="str">
        <x:v>TRN-0494|20241012</x:v>
      </x:c>
      <x:c r="Z495" s="32" t="str" cm="1">
        <x:f t="array" ref="Z49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495" s="33" t="n">
        <x:f>--OR(WorkforceData[[#This Row],[Status]]="Active",WorkforceData[[#This Row],[Promoted]]="Yes",WorkforceData[[#This Row],[Total Days Worked]]&gt;=121)</x:f>
        <x:v>0</x:v>
      </x:c>
      <x:c r="AB495" s="33" t="n">
        <x:f>IF(AND(Q495="Terminated",R495="",O495=0),1,0)</x:f>
        <x:v>0</x:v>
      </x:c>
      <x:c r="AC495" s="33" t="n">
        <x:f>--OR(WorkforceData[[#This Row],[Status]]="Resigned",WorkforceData[[#This Row],[Status After Training]]="Withdrew")</x:f>
        <x:v>1</x:v>
      </x:c>
      <x:c r="AD495" s="34" t="n">
        <x:f>EOMONTH(WorkforceData[[#This Row],[Training Date]],0)</x:f>
        <x:v>45596</x:v>
      </x:c>
      <x:c r="AE495" s="32" t="str">
        <x:f>IF(M495&lt;H495,"Existing Employee",IF(U495="","No Assignment",IF(V495=0,"0 Days",IF(V495&lt;=7,"1-7 Days",IF(V495&lt;=14,"8-14 Days",IF(V495&lt;=21,"15-21 Days","21+ Days"))))))</x:f>
        <x:v>Existing Employee</x:v>
      </x:c>
      <x:c r="AF49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495" s="33" t="n">
        <x:f>--(WorkforceData[[#This Row],[Total Days Worked]]&gt;=121)</x:f>
        <x:v>0</x:v>
      </x:c>
    </x:row>
    <x:row r="496">
      <x:c r="A496" s="236" t="str">
        <x:v>TRN-0495</x:v>
      </x:c>
      <x:c r="B496" s="243"/>
      <x:c r="C496" s="243"/>
      <x:c r="D496" s="243"/>
      <x:c r="E496" s="243"/>
      <x:c r="F496" s="14" t="str">
        <x:v>Recruiter D</x:v>
      </x:c>
      <x:c r="G496" s="14" t="str">
        <x:v>Training Center A</x:v>
      </x:c>
      <x:c r="H496" s="28">
        <x:v>45577</x:v>
      </x:c>
      <x:c r="I496" s="14">
        <x:v>2024</x:v>
      </x:c>
      <x:c r="J496" s="14" t="s">
        <x:v>100</x:v>
      </x:c>
      <x:c r="K496" s="14">
        <x:v>19</x:v>
      </x:c>
      <x:c r="L496" s="29" t="s">
        <x:v>119</x:v>
      </x:c>
      <x:c r="M496" s="28">
        <x:v>45570</x:v>
      </x:c>
      <x:c r="N496" s="14"/>
      <x:c r="O496" s="14">
        <x:v>681</x:v>
      </x:c>
      <x:c r="P496" s="14" t="s">
        <x:v>120</x:v>
      </x:c>
      <x:c r="Q496" s="14" t="s">
        <x:v>38</x:v>
      </x:c>
      <x:c r="R496" s="14"/>
      <x:c r="S496" s="14" t="s">
        <x:v>108</x:v>
      </x:c>
      <x:c r="T496" s="14" t="str">
        <x:v>Region D</x:v>
      </x:c>
      <x:c r="U496" s="28">
        <x:v>45580</x:v>
      </x:c>
      <x:c r="V496" s="30">
        <x:v>3</x:v>
      </x:c>
      <x:c r="W496" s="14" t="s">
        <x:v>109</x:v>
      </x:c>
      <x:c r="X496" s="14" t="s">
        <x:v>106</x:v>
      </x:c>
      <x:c r="Y496" s="32" t="str">
        <x:v>TRN-0495|20241012</x:v>
      </x:c>
      <x:c r="Z496" s="32" t="str" cm="1">
        <x:f t="array" ref="Z49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496" s="33" t="n">
        <x:f>--OR(WorkforceData[[#This Row],[Status]]="Active",WorkforceData[[#This Row],[Promoted]]="Yes",WorkforceData[[#This Row],[Total Days Worked]]&gt;=121)</x:f>
        <x:v>1</x:v>
      </x:c>
      <x:c r="AB496" s="33" t="n">
        <x:f>IF(AND(Q496="Terminated",R496="",O496=0),1,0)</x:f>
        <x:v>0</x:v>
      </x:c>
      <x:c r="AC496" s="33" t="n">
        <x:f>--OR(WorkforceData[[#This Row],[Status]]="Resigned",WorkforceData[[#This Row],[Status After Training]]="Withdrew")</x:f>
        <x:v>0</x:v>
      </x:c>
      <x:c r="AD496" s="34" t="n">
        <x:f>EOMONTH(WorkforceData[[#This Row],[Training Date]],0)</x:f>
        <x:v>45596</x:v>
      </x:c>
      <x:c r="AE496" s="32" t="str">
        <x:f>IF(M496&lt;H496,"Existing Employee",IF(U496="","No Assignment",IF(V496=0,"0 Days",IF(V496&lt;=7,"1-7 Days",IF(V496&lt;=14,"8-14 Days",IF(V496&lt;=21,"15-21 Days","21+ Days"))))))</x:f>
        <x:v>Existing Employee</x:v>
      </x:c>
      <x:c r="AF49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96" s="33" t="n">
        <x:f>--(WorkforceData[[#This Row],[Total Days Worked]]&gt;=121)</x:f>
        <x:v>1</x:v>
      </x:c>
    </x:row>
    <x:row r="497">
      <x:c r="A497" s="236" t="str">
        <x:v>TRN-0496</x:v>
      </x:c>
      <x:c r="B497" s="243"/>
      <x:c r="C497" s="243"/>
      <x:c r="D497" s="243"/>
      <x:c r="E497" s="243"/>
      <x:c r="F497" s="14" t="str">
        <x:v>Recruiter H</x:v>
      </x:c>
      <x:c r="G497" s="14" t="str">
        <x:v>Training Center A</x:v>
      </x:c>
      <x:c r="H497" s="28">
        <x:v>45577</x:v>
      </x:c>
      <x:c r="I497" s="14">
        <x:v>2024</x:v>
      </x:c>
      <x:c r="J497" s="14" t="s">
        <x:v>100</x:v>
      </x:c>
      <x:c r="K497" s="14">
        <x:v>19</x:v>
      </x:c>
      <x:c r="L497" s="29" t="s">
        <x:v>119</x:v>
      </x:c>
      <x:c r="M497" s="28">
        <x:v>45577</x:v>
      </x:c>
      <x:c r="N497" s="14"/>
      <x:c r="O497" s="14">
        <x:v>674</x:v>
      </x:c>
      <x:c r="P497" s="14" t="s">
        <x:v>120</x:v>
      </x:c>
      <x:c r="Q497" s="14" t="s">
        <x:v>25</x:v>
      </x:c>
      <x:c r="R497" s="14"/>
      <x:c r="S497" s="14" t="s">
        <x:v>108</x:v>
      </x:c>
      <x:c r="T497" s="14" t="str">
        <x:v>Region A</x:v>
      </x:c>
      <x:c r="U497" s="28">
        <x:v>45617</x:v>
      </x:c>
      <x:c r="V497" s="30">
        <x:v>40</x:v>
      </x:c>
      <x:c r="W497" s="14" t="s">
        <x:v>63</x:v>
      </x:c>
      <x:c r="X497" s="14" t="s">
        <x:v>117</x:v>
      </x:c>
      <x:c r="Y497" s="32" t="str">
        <x:v>TRN-0496|20241012</x:v>
      </x:c>
      <x:c r="Z497" s="32" t="str" cm="1">
        <x:f t="array" ref="Z49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497" s="33" t="n">
        <x:f>--OR(WorkforceData[[#This Row],[Status]]="Active",WorkforceData[[#This Row],[Promoted]]="Yes",WorkforceData[[#This Row],[Total Days Worked]]&gt;=121)</x:f>
        <x:v>1</x:v>
      </x:c>
      <x:c r="AB497" s="33" t="n">
        <x:f>IF(AND(Q497="Terminated",R497="",O497=0),1,0)</x:f>
        <x:v>0</x:v>
      </x:c>
      <x:c r="AC497" s="33" t="n">
        <x:f>--OR(WorkforceData[[#This Row],[Status]]="Resigned",WorkforceData[[#This Row],[Status After Training]]="Withdrew")</x:f>
        <x:v>0</x:v>
      </x:c>
      <x:c r="AD497" s="34" t="n">
        <x:f>EOMONTH(WorkforceData[[#This Row],[Training Date]],0)</x:f>
        <x:v>45596</x:v>
      </x:c>
      <x:c r="AE497" s="32" t="str">
        <x:f>IF(M497&lt;H497,"Existing Employee",IF(U497="","No Assignment",IF(V497=0,"0 Days",IF(V497&lt;=7,"1-7 Days",IF(V497&lt;=14,"8-14 Days",IF(V497&lt;=21,"15-21 Days","21+ Days"))))))</x:f>
        <x:v>21+ Days</x:v>
      </x:c>
      <x:c r="AF49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97" s="33" t="n">
        <x:f>--(WorkforceData[[#This Row],[Total Days Worked]]&gt;=121)</x:f>
        <x:v>1</x:v>
      </x:c>
    </x:row>
    <x:row r="498">
      <x:c r="A498" s="236" t="str">
        <x:v>TRN-0497</x:v>
      </x:c>
      <x:c r="B498" s="243"/>
      <x:c r="C498" s="243"/>
      <x:c r="D498" s="243"/>
      <x:c r="E498" s="243"/>
      <x:c r="F498" s="14" t="str">
        <x:v>Recruiter A</x:v>
      </x:c>
      <x:c r="G498" s="14" t="str">
        <x:v>Training Center A</x:v>
      </x:c>
      <x:c r="H498" s="28">
        <x:v>45577</x:v>
      </x:c>
      <x:c r="I498" s="14">
        <x:v>2024</x:v>
      </x:c>
      <x:c r="J498" s="14" t="s">
        <x:v>100</x:v>
      </x:c>
      <x:c r="K498" s="14">
        <x:v>19</x:v>
      </x:c>
      <x:c r="L498" s="29" t="s">
        <x:v>119</x:v>
      </x:c>
      <x:c r="M498" s="28">
        <x:v>45577</x:v>
      </x:c>
      <x:c r="N498" s="14"/>
      <x:c r="O498" s="14">
        <x:v>674</x:v>
      </x:c>
      <x:c r="P498" s="14" t="s">
        <x:v>120</x:v>
      </x:c>
      <x:c r="Q498" s="14" t="s">
        <x:v>25</x:v>
      </x:c>
      <x:c r="R498" s="14"/>
      <x:c r="S498" s="14" t="s">
        <x:v>108</x:v>
      </x:c>
      <x:c r="T498" s="14" t="str">
        <x:v>Region E</x:v>
      </x:c>
      <x:c r="U498" s="28">
        <x:v>45592</x:v>
      </x:c>
      <x:c r="V498" s="30">
        <x:v>15</x:v>
      </x:c>
      <x:c r="W498" s="14" t="s">
        <x:v>112</x:v>
      </x:c>
      <x:c r="X498" s="14" t="s">
        <x:v>106</x:v>
      </x:c>
      <x:c r="Y498" s="32" t="str">
        <x:v>TRN-0497|20241012</x:v>
      </x:c>
      <x:c r="Z498" s="32" t="str" cm="1">
        <x:f t="array" ref="Z49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498" s="33" t="n">
        <x:f>--OR(WorkforceData[[#This Row],[Status]]="Active",WorkforceData[[#This Row],[Promoted]]="Yes",WorkforceData[[#This Row],[Total Days Worked]]&gt;=121)</x:f>
        <x:v>1</x:v>
      </x:c>
      <x:c r="AB498" s="33" t="n">
        <x:f>IF(AND(Q498="Terminated",R498="",O498=0),1,0)</x:f>
        <x:v>0</x:v>
      </x:c>
      <x:c r="AC498" s="33" t="n">
        <x:f>--OR(WorkforceData[[#This Row],[Status]]="Resigned",WorkforceData[[#This Row],[Status After Training]]="Withdrew")</x:f>
        <x:v>0</x:v>
      </x:c>
      <x:c r="AD498" s="34" t="n">
        <x:f>EOMONTH(WorkforceData[[#This Row],[Training Date]],0)</x:f>
        <x:v>45596</x:v>
      </x:c>
      <x:c r="AE498" s="32" t="str">
        <x:f>IF(M498&lt;H498,"Existing Employee",IF(U498="","No Assignment",IF(V498=0,"0 Days",IF(V498&lt;=7,"1-7 Days",IF(V498&lt;=14,"8-14 Days",IF(V498&lt;=21,"15-21 Days","21+ Days"))))))</x:f>
        <x:v>15-21 Days</x:v>
      </x:c>
      <x:c r="AF49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98" s="33" t="n">
        <x:f>--(WorkforceData[[#This Row],[Total Days Worked]]&gt;=121)</x:f>
        <x:v>1</x:v>
      </x:c>
    </x:row>
    <x:row r="499">
      <x:c r="A499" s="236" t="str">
        <x:v>TRN-0498</x:v>
      </x:c>
      <x:c r="B499" s="243"/>
      <x:c r="C499" s="243"/>
      <x:c r="D499" s="243"/>
      <x:c r="E499" s="243"/>
      <x:c r="F499" s="14" t="str">
        <x:v>Recruiter G</x:v>
      </x:c>
      <x:c r="G499" s="14" t="str">
        <x:v>Training Center A</x:v>
      </x:c>
      <x:c r="H499" s="28">
        <x:v>45577</x:v>
      </x:c>
      <x:c r="I499" s="14">
        <x:v>2024</x:v>
      </x:c>
      <x:c r="J499" s="14" t="s">
        <x:v>100</x:v>
      </x:c>
      <x:c r="K499" s="14">
        <x:v>19</x:v>
      </x:c>
      <x:c r="L499" s="29" t="s">
        <x:v>119</x:v>
      </x:c>
      <x:c r="M499" s="28">
        <x:v>45576</x:v>
      </x:c>
      <x:c r="N499" s="14"/>
      <x:c r="O499" s="14">
        <x:v>675</x:v>
      </x:c>
      <x:c r="P499" s="14" t="s">
        <x:v>120</x:v>
      </x:c>
      <x:c r="Q499" s="14" t="s">
        <x:v>25</x:v>
      </x:c>
      <x:c r="R499" s="14"/>
      <x:c r="S499" s="14" t="s">
        <x:v>108</x:v>
      </x:c>
      <x:c r="T499" s="14" t="str">
        <x:v>Region B</x:v>
      </x:c>
      <x:c r="U499" s="28">
        <x:v>45586</x:v>
      </x:c>
      <x:c r="V499" s="30">
        <x:v>9</x:v>
      </x:c>
      <x:c r="W499" s="14" t="s">
        <x:v>45</x:v>
      </x:c>
      <x:c r="X499" s="14" t="s">
        <x:v>106</x:v>
      </x:c>
      <x:c r="Y499" s="32" t="str">
        <x:v>TRN-0498|20241012</x:v>
      </x:c>
      <x:c r="Z499" s="32" t="str" cm="1">
        <x:f t="array" ref="Z49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499" s="33" t="n">
        <x:f>--OR(WorkforceData[[#This Row],[Status]]="Active",WorkforceData[[#This Row],[Promoted]]="Yes",WorkforceData[[#This Row],[Total Days Worked]]&gt;=121)</x:f>
        <x:v>1</x:v>
      </x:c>
      <x:c r="AB499" s="33" t="n">
        <x:f>IF(AND(Q499="Terminated",R499="",O499=0),1,0)</x:f>
        <x:v>0</x:v>
      </x:c>
      <x:c r="AC499" s="33" t="n">
        <x:f>--OR(WorkforceData[[#This Row],[Status]]="Resigned",WorkforceData[[#This Row],[Status After Training]]="Withdrew")</x:f>
        <x:v>0</x:v>
      </x:c>
      <x:c r="AD499" s="34" t="n">
        <x:f>EOMONTH(WorkforceData[[#This Row],[Training Date]],0)</x:f>
        <x:v>45596</x:v>
      </x:c>
      <x:c r="AE499" s="32" t="str">
        <x:f>IF(M499&lt;H499,"Existing Employee",IF(U499="","No Assignment",IF(V499=0,"0 Days",IF(V499&lt;=7,"1-7 Days",IF(V499&lt;=14,"8-14 Days",IF(V499&lt;=21,"15-21 Days","21+ Days"))))))</x:f>
        <x:v>Existing Employee</x:v>
      </x:c>
      <x:c r="AF49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499" s="33" t="n">
        <x:f>--(WorkforceData[[#This Row],[Total Days Worked]]&gt;=121)</x:f>
        <x:v>1</x:v>
      </x:c>
    </x:row>
    <x:row r="500">
      <x:c r="A500" s="236" t="str">
        <x:v>TRN-0499</x:v>
      </x:c>
      <x:c r="B500" s="243"/>
      <x:c r="C500" s="243"/>
      <x:c r="D500" s="243"/>
      <x:c r="E500" s="243"/>
      <x:c r="F500" s="14" t="str">
        <x:v>Recruiter D</x:v>
      </x:c>
      <x:c r="G500" s="14" t="str">
        <x:v>Training Center A</x:v>
      </x:c>
      <x:c r="H500" s="28">
        <x:v>45577</x:v>
      </x:c>
      <x:c r="I500" s="14">
        <x:v>2024</x:v>
      </x:c>
      <x:c r="J500" s="14" t="s">
        <x:v>100</x:v>
      </x:c>
      <x:c r="K500" s="14">
        <x:v>19</x:v>
      </x:c>
      <x:c r="L500" s="29" t="s">
        <x:v>119</x:v>
      </x:c>
      <x:c r="M500" s="28">
        <x:v>45577</x:v>
      </x:c>
      <x:c r="N500" s="28">
        <x:v>46059</x:v>
      </x:c>
      <x:c r="O500" s="14">
        <x:v>482</x:v>
      </x:c>
      <x:c r="P500" s="14" t="s">
        <x:v>120</x:v>
      </x:c>
      <x:c r="Q500" s="14" t="s">
        <x:v>103</x:v>
      </x:c>
      <x:c r="R500" s="14" t="s">
        <x:v>111</x:v>
      </x:c>
      <x:c r="S500" s="14" t="s">
        <x:v>108</x:v>
      </x:c>
      <x:c r="T500" s="14" t="str">
        <x:v>Region A</x:v>
      </x:c>
      <x:c r="U500" s="28">
        <x:v>45585</x:v>
      </x:c>
      <x:c r="V500" s="30">
        <x:v>8</x:v>
      </x:c>
      <x:c r="W500" s="14" t="s">
        <x:v>45</x:v>
      </x:c>
      <x:c r="X500" s="14" t="s">
        <x:v>106</x:v>
      </x:c>
      <x:c r="Y500" s="32" t="str">
        <x:v>TRN-0499|20241012</x:v>
      </x:c>
      <x:c r="Z500" s="32" t="str" cm="1">
        <x:f t="array" ref="Z50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500" s="33" t="n">
        <x:f>--OR(WorkforceData[[#This Row],[Status]]="Active",WorkforceData[[#This Row],[Promoted]]="Yes",WorkforceData[[#This Row],[Total Days Worked]]&gt;=121)</x:f>
        <x:v>1</x:v>
      </x:c>
      <x:c r="AB500" s="33" t="n">
        <x:f>IF(AND(Q500="Terminated",R500="",O500=0),1,0)</x:f>
        <x:v>0</x:v>
      </x:c>
      <x:c r="AC500" s="33" t="n">
        <x:f>--OR(WorkforceData[[#This Row],[Status]]="Resigned",WorkforceData[[#This Row],[Status After Training]]="Withdrew")</x:f>
        <x:v>1</x:v>
      </x:c>
      <x:c r="AD500" s="34" t="n">
        <x:f>EOMONTH(WorkforceData[[#This Row],[Training Date]],0)</x:f>
        <x:v>45596</x:v>
      </x:c>
      <x:c r="AE500" s="32" t="str">
        <x:f>IF(M500&lt;H500,"Existing Employee",IF(U500="","No Assignment",IF(V500=0,"0 Days",IF(V500&lt;=7,"1-7 Days",IF(V500&lt;=14,"8-14 Days",IF(V500&lt;=21,"15-21 Days","21+ Days"))))))</x:f>
        <x:v>8-14 Days</x:v>
      </x:c>
      <x:c r="AF50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00" s="33" t="n">
        <x:f>--(WorkforceData[[#This Row],[Total Days Worked]]&gt;=121)</x:f>
        <x:v>1</x:v>
      </x:c>
    </x:row>
    <x:row r="501">
      <x:c r="A501" s="236" t="str">
        <x:v>TRN-0500</x:v>
      </x:c>
      <x:c r="B501" s="243"/>
      <x:c r="C501" s="243"/>
      <x:c r="D501" s="243"/>
      <x:c r="E501" s="243"/>
      <x:c r="F501" s="14" t="str">
        <x:v>Recruiter E</x:v>
      </x:c>
      <x:c r="G501" s="14" t="str">
        <x:v>Training Center A</x:v>
      </x:c>
      <x:c r="H501" s="28">
        <x:v>45577</x:v>
      </x:c>
      <x:c r="I501" s="14">
        <x:v>2024</x:v>
      </x:c>
      <x:c r="J501" s="14" t="s">
        <x:v>100</x:v>
      </x:c>
      <x:c r="K501" s="14">
        <x:v>19</x:v>
      </x:c>
      <x:c r="L501" s="29" t="s">
        <x:v>119</x:v>
      </x:c>
      <x:c r="M501" s="28">
        <x:v>45576</x:v>
      </x:c>
      <x:c r="N501" s="28">
        <x:v>45903</x:v>
      </x:c>
      <x:c r="O501" s="14">
        <x:v>327</x:v>
      </x:c>
      <x:c r="P501" s="14" t="s">
        <x:v>107</x:v>
      </x:c>
      <x:c r="Q501" s="14" t="s">
        <x:v>103</x:v>
      </x:c>
      <x:c r="R501" s="14" t="s">
        <x:v>104</x:v>
      </x:c>
      <x:c r="S501" s="14" t="s">
        <x:v>108</x:v>
      </x:c>
      <x:c r="T501" s="14" t="str">
        <x:v>Region D</x:v>
      </x:c>
      <x:c r="U501" s="28">
        <x:v>45577</x:v>
      </x:c>
      <x:c r="V501" s="30">
        <x:v>0</x:v>
      </x:c>
      <x:c r="W501" s="14" t="s">
        <x:v>109</x:v>
      </x:c>
      <x:c r="X501" s="14" t="s">
        <x:v>106</x:v>
      </x:c>
      <x:c r="Y501" s="32" t="str">
        <x:v>TRN-0500|20241012</x:v>
      </x:c>
      <x:c r="Z501" s="32" t="str" cm="1">
        <x:f t="array" ref="Z50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501" s="33" t="n">
        <x:f>--OR(WorkforceData[[#This Row],[Status]]="Active",WorkforceData[[#This Row],[Promoted]]="Yes",WorkforceData[[#This Row],[Total Days Worked]]&gt;=121)</x:f>
        <x:v>1</x:v>
      </x:c>
      <x:c r="AB501" s="33" t="n">
        <x:f>IF(AND(Q501="Terminated",R501="",O501=0),1,0)</x:f>
        <x:v>0</x:v>
      </x:c>
      <x:c r="AC501" s="33" t="n">
        <x:f>--OR(WorkforceData[[#This Row],[Status]]="Resigned",WorkforceData[[#This Row],[Status After Training]]="Withdrew")</x:f>
        <x:v>1</x:v>
      </x:c>
      <x:c r="AD501" s="34" t="n">
        <x:f>EOMONTH(WorkforceData[[#This Row],[Training Date]],0)</x:f>
        <x:v>45596</x:v>
      </x:c>
      <x:c r="AE501" s="32" t="str">
        <x:f>IF(M501&lt;H501,"Existing Employee",IF(U501="","No Assignment",IF(V501=0,"0 Days",IF(V501&lt;=7,"1-7 Days",IF(V501&lt;=14,"8-14 Days",IF(V501&lt;=21,"15-21 Days","21+ Days"))))))</x:f>
        <x:v>Existing Employee</x:v>
      </x:c>
      <x:c r="AF50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01" s="33" t="n">
        <x:f>--(WorkforceData[[#This Row],[Total Days Worked]]&gt;=121)</x:f>
        <x:v>1</x:v>
      </x:c>
    </x:row>
    <x:row r="502">
      <x:c r="A502" s="236" t="str">
        <x:v>TRN-0501</x:v>
      </x:c>
      <x:c r="B502" s="243"/>
      <x:c r="C502" s="243"/>
      <x:c r="D502" s="243"/>
      <x:c r="E502" s="243"/>
      <x:c r="F502" s="14" t="str">
        <x:v>Recruiter C</x:v>
      </x:c>
      <x:c r="G502" s="14" t="str">
        <x:v>Training Center A</x:v>
      </x:c>
      <x:c r="H502" s="28">
        <x:v>45577</x:v>
      </x:c>
      <x:c r="I502" s="14">
        <x:v>2024</x:v>
      </x:c>
      <x:c r="J502" s="14" t="s">
        <x:v>100</x:v>
      </x:c>
      <x:c r="K502" s="14">
        <x:v>19</x:v>
      </x:c>
      <x:c r="L502" s="29" t="s">
        <x:v>119</x:v>
      </x:c>
      <x:c r="M502" s="28">
        <x:v>45577</x:v>
      </x:c>
      <x:c r="N502" s="14"/>
      <x:c r="O502" s="14">
        <x:v>674</x:v>
      </x:c>
      <x:c r="P502" s="14" t="s">
        <x:v>120</x:v>
      </x:c>
      <x:c r="Q502" s="14" t="s">
        <x:v>25</x:v>
      </x:c>
      <x:c r="R502" s="14"/>
      <x:c r="S502" s="14" t="s">
        <x:v>108</x:v>
      </x:c>
      <x:c r="T502" s="14" t="str">
        <x:v>Region D</x:v>
      </x:c>
      <x:c r="U502" s="28">
        <x:v>45580</x:v>
      </x:c>
      <x:c r="V502" s="30">
        <x:v>3</x:v>
      </x:c>
      <x:c r="W502" s="14" t="s">
        <x:v>109</x:v>
      </x:c>
      <x:c r="X502" s="14" t="s">
        <x:v>106</x:v>
      </x:c>
      <x:c r="Y502" s="32" t="str">
        <x:v>TRN-0501|20241012</x:v>
      </x:c>
      <x:c r="Z502" s="32" t="str" cm="1">
        <x:f t="array" ref="Z50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502" s="33" t="n">
        <x:f>--OR(WorkforceData[[#This Row],[Status]]="Active",WorkforceData[[#This Row],[Promoted]]="Yes",WorkforceData[[#This Row],[Total Days Worked]]&gt;=121)</x:f>
        <x:v>1</x:v>
      </x:c>
      <x:c r="AB502" s="33" t="n">
        <x:f>IF(AND(Q502="Terminated",R502="",O502=0),1,0)</x:f>
        <x:v>0</x:v>
      </x:c>
      <x:c r="AC502" s="33" t="n">
        <x:f>--OR(WorkforceData[[#This Row],[Status]]="Resigned",WorkforceData[[#This Row],[Status After Training]]="Withdrew")</x:f>
        <x:v>0</x:v>
      </x:c>
      <x:c r="AD502" s="34" t="n">
        <x:f>EOMONTH(WorkforceData[[#This Row],[Training Date]],0)</x:f>
        <x:v>45596</x:v>
      </x:c>
      <x:c r="AE502" s="32" t="str">
        <x:f>IF(M502&lt;H502,"Existing Employee",IF(U502="","No Assignment",IF(V502=0,"0 Days",IF(V502&lt;=7,"1-7 Days",IF(V502&lt;=14,"8-14 Days",IF(V502&lt;=21,"15-21 Days","21+ Days"))))))</x:f>
        <x:v>1-7 Days</x:v>
      </x:c>
      <x:c r="AF50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02" s="33" t="n">
        <x:f>--(WorkforceData[[#This Row],[Total Days Worked]]&gt;=121)</x:f>
        <x:v>1</x:v>
      </x:c>
    </x:row>
    <x:row r="503">
      <x:c r="A503" s="236" t="str">
        <x:v>TRN-0502</x:v>
      </x:c>
      <x:c r="B503" s="243"/>
      <x:c r="C503" s="243"/>
      <x:c r="D503" s="243"/>
      <x:c r="E503" s="243"/>
      <x:c r="F503" s="14" t="str">
        <x:v>Recruiter E</x:v>
      </x:c>
      <x:c r="G503" s="14" t="str">
        <x:v>Training Center A</x:v>
      </x:c>
      <x:c r="H503" s="28">
        <x:v>45577</x:v>
      </x:c>
      <x:c r="I503" s="14">
        <x:v>2024</x:v>
      </x:c>
      <x:c r="J503" s="14" t="s">
        <x:v>100</x:v>
      </x:c>
      <x:c r="K503" s="14">
        <x:v>19</x:v>
      </x:c>
      <x:c r="L503" s="29" t="s">
        <x:v>119</x:v>
      </x:c>
      <x:c r="M503" s="28">
        <x:v>45577</x:v>
      </x:c>
      <x:c r="N503" s="14"/>
      <x:c r="O503" s="14">
        <x:v>674</x:v>
      </x:c>
      <x:c r="P503" s="14" t="s">
        <x:v>120</x:v>
      </x:c>
      <x:c r="Q503" s="14" t="s">
        <x:v>38</x:v>
      </x:c>
      <x:c r="R503" s="14"/>
      <x:c r="S503" s="14" t="s">
        <x:v>108</x:v>
      </x:c>
      <x:c r="T503" s="14" t="str">
        <x:v>Region D</x:v>
      </x:c>
      <x:c r="U503" s="28">
        <x:v>45602</x:v>
      </x:c>
      <x:c r="V503" s="30">
        <x:v>25</x:v>
      </x:c>
      <x:c r="W503" s="14" t="s">
        <x:v>112</x:v>
      </x:c>
      <x:c r="X503" s="14" t="s">
        <x:v>106</x:v>
      </x:c>
      <x:c r="Y503" s="32" t="str">
        <x:v>TRN-0502|20241012</x:v>
      </x:c>
      <x:c r="Z503" s="32" t="str" cm="1">
        <x:f t="array" ref="Z50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503" s="33" t="n">
        <x:f>--OR(WorkforceData[[#This Row],[Status]]="Active",WorkforceData[[#This Row],[Promoted]]="Yes",WorkforceData[[#This Row],[Total Days Worked]]&gt;=121)</x:f>
        <x:v>1</x:v>
      </x:c>
      <x:c r="AB503" s="33" t="n">
        <x:f>IF(AND(Q503="Terminated",R503="",O503=0),1,0)</x:f>
        <x:v>0</x:v>
      </x:c>
      <x:c r="AC503" s="33" t="n">
        <x:f>--OR(WorkforceData[[#This Row],[Status]]="Resigned",WorkforceData[[#This Row],[Status After Training]]="Withdrew")</x:f>
        <x:v>0</x:v>
      </x:c>
      <x:c r="AD503" s="34" t="n">
        <x:f>EOMONTH(WorkforceData[[#This Row],[Training Date]],0)</x:f>
        <x:v>45596</x:v>
      </x:c>
      <x:c r="AE503" s="32" t="str">
        <x:f>IF(M503&lt;H503,"Existing Employee",IF(U503="","No Assignment",IF(V503=0,"0 Days",IF(V503&lt;=7,"1-7 Days",IF(V503&lt;=14,"8-14 Days",IF(V503&lt;=21,"15-21 Days","21+ Days"))))))</x:f>
        <x:v>21+ Days</x:v>
      </x:c>
      <x:c r="AF50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03" s="33" t="n">
        <x:f>--(WorkforceData[[#This Row],[Total Days Worked]]&gt;=121)</x:f>
        <x:v>1</x:v>
      </x:c>
    </x:row>
    <x:row r="504">
      <x:c r="A504" s="236" t="str">
        <x:v>TRN-0503</x:v>
      </x:c>
      <x:c r="B504" s="243"/>
      <x:c r="C504" s="243"/>
      <x:c r="D504" s="243"/>
      <x:c r="E504" s="243"/>
      <x:c r="F504" s="14" t="str">
        <x:v>Recruiter G</x:v>
      </x:c>
      <x:c r="G504" s="14" t="str">
        <x:v>Training Center A</x:v>
      </x:c>
      <x:c r="H504" s="28">
        <x:v>45577</x:v>
      </x:c>
      <x:c r="I504" s="14">
        <x:v>2024</x:v>
      </x:c>
      <x:c r="J504" s="14" t="s">
        <x:v>100</x:v>
      </x:c>
      <x:c r="K504" s="14">
        <x:v>19</x:v>
      </x:c>
      <x:c r="L504" s="29" t="s">
        <x:v>119</x:v>
      </x:c>
      <x:c r="M504" s="28">
        <x:v>45577</x:v>
      </x:c>
      <x:c r="N504" s="14"/>
      <x:c r="O504" s="14">
        <x:v>674</x:v>
      </x:c>
      <x:c r="P504" s="14" t="s">
        <x:v>120</x:v>
      </x:c>
      <x:c r="Q504" s="14" t="s">
        <x:v>25</x:v>
      </x:c>
      <x:c r="R504" s="14"/>
      <x:c r="S504" s="14" t="s">
        <x:v>105</x:v>
      </x:c>
      <x:c r="T504" s="14"/>
      <x:c r="U504" s="28"/>
      <x:c r="V504" s="30"/>
      <x:c r="W504" s="14"/>
      <x:c r="X504" s="14" t="s">
        <x:v>71</x:v>
      </x:c>
      <x:c r="Y504" s="32" t="str">
        <x:v>TRN-0503|20241012</x:v>
      </x:c>
      <x:c r="Z504" s="32" t="str" cm="1">
        <x:f t="array" ref="Z50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504" s="33" t="n">
        <x:f>--OR(WorkforceData[[#This Row],[Status]]="Active",WorkforceData[[#This Row],[Promoted]]="Yes",WorkforceData[[#This Row],[Total Days Worked]]&gt;=121)</x:f>
        <x:v>1</x:v>
      </x:c>
      <x:c r="AB504" s="33" t="n">
        <x:f>IF(AND(Q504="Terminated",R504="",O504=0),1,0)</x:f>
        <x:v>0</x:v>
      </x:c>
      <x:c r="AC504" s="33" t="n">
        <x:f>--OR(WorkforceData[[#This Row],[Status]]="Resigned",WorkforceData[[#This Row],[Status After Training]]="Withdrew")</x:f>
        <x:v>0</x:v>
      </x:c>
      <x:c r="AD504" s="34" t="n">
        <x:f>EOMONTH(WorkforceData[[#This Row],[Training Date]],0)</x:f>
        <x:v>45596</x:v>
      </x:c>
      <x:c r="AE504" s="32" t="str">
        <x:f>IF(M504&lt;H504,"Existing Employee",IF(U504="","No Assignment",IF(V504=0,"0 Days",IF(V504&lt;=7,"1-7 Days",IF(V504&lt;=14,"8-14 Days",IF(V504&lt;=21,"15-21 Days","21+ Days"))))))</x:f>
        <x:v>No Assignment</x:v>
      </x:c>
      <x:c r="AF50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04" s="33" t="n">
        <x:f>--(WorkforceData[[#This Row],[Total Days Worked]]&gt;=121)</x:f>
        <x:v>1</x:v>
      </x:c>
    </x:row>
    <x:row r="505">
      <x:c r="A505" s="236" t="str">
        <x:v>TRN-0504</x:v>
      </x:c>
      <x:c r="B505" s="243"/>
      <x:c r="C505" s="243"/>
      <x:c r="D505" s="243"/>
      <x:c r="E505" s="243"/>
      <x:c r="F505" s="14" t="str">
        <x:v>Recruiter G</x:v>
      </x:c>
      <x:c r="G505" s="14" t="str">
        <x:v>Training Center A</x:v>
      </x:c>
      <x:c r="H505" s="28">
        <x:v>45577</x:v>
      </x:c>
      <x:c r="I505" s="14">
        <x:v>2024</x:v>
      </x:c>
      <x:c r="J505" s="14" t="s">
        <x:v>100</x:v>
      </x:c>
      <x:c r="K505" s="14">
        <x:v>19</x:v>
      </x:c>
      <x:c r="L505" s="29" t="s">
        <x:v>119</x:v>
      </x:c>
      <x:c r="M505" s="28">
        <x:v>45567</x:v>
      </x:c>
      <x:c r="N505" s="14"/>
      <x:c r="O505" s="14">
        <x:v>684</x:v>
      </x:c>
      <x:c r="P505" s="14" t="s">
        <x:v>120</x:v>
      </x:c>
      <x:c r="Q505" s="14" t="s">
        <x:v>25</x:v>
      </x:c>
      <x:c r="R505" s="14"/>
      <x:c r="S505" s="14" t="s">
        <x:v>108</x:v>
      </x:c>
      <x:c r="T505" s="14" t="str">
        <x:v>Region C</x:v>
      </x:c>
      <x:c r="U505" s="28">
        <x:v>45588</x:v>
      </x:c>
      <x:c r="V505" s="30">
        <x:v>11</x:v>
      </x:c>
      <x:c r="W505" s="14" t="s">
        <x:v>45</x:v>
      </x:c>
      <x:c r="X505" s="14" t="s">
        <x:v>106</x:v>
      </x:c>
      <x:c r="Y505" s="32" t="str">
        <x:v>TRN-0504|20241012</x:v>
      </x:c>
      <x:c r="Z505" s="32" t="str" cm="1">
        <x:f t="array" ref="Z50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505" s="33" t="n">
        <x:f>--OR(WorkforceData[[#This Row],[Status]]="Active",WorkforceData[[#This Row],[Promoted]]="Yes",WorkforceData[[#This Row],[Total Days Worked]]&gt;=121)</x:f>
        <x:v>1</x:v>
      </x:c>
      <x:c r="AB505" s="33" t="n">
        <x:f>IF(AND(Q505="Terminated",R505="",O505=0),1,0)</x:f>
        <x:v>0</x:v>
      </x:c>
      <x:c r="AC505" s="33" t="n">
        <x:f>--OR(WorkforceData[[#This Row],[Status]]="Resigned",WorkforceData[[#This Row],[Status After Training]]="Withdrew")</x:f>
        <x:v>0</x:v>
      </x:c>
      <x:c r="AD505" s="34" t="n">
        <x:f>EOMONTH(WorkforceData[[#This Row],[Training Date]],0)</x:f>
        <x:v>45596</x:v>
      </x:c>
      <x:c r="AE505" s="32" t="str">
        <x:f>IF(M505&lt;H505,"Existing Employee",IF(U505="","No Assignment",IF(V505=0,"0 Days",IF(V505&lt;=7,"1-7 Days",IF(V505&lt;=14,"8-14 Days",IF(V505&lt;=21,"15-21 Days","21+ Days"))))))</x:f>
        <x:v>Existing Employee</x:v>
      </x:c>
      <x:c r="AF50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05" s="33" t="n">
        <x:f>--(WorkforceData[[#This Row],[Total Days Worked]]&gt;=121)</x:f>
        <x:v>1</x:v>
      </x:c>
    </x:row>
    <x:row r="506">
      <x:c r="A506" s="236" t="str">
        <x:v>TRN-0505</x:v>
      </x:c>
      <x:c r="B506" s="243"/>
      <x:c r="C506" s="243"/>
      <x:c r="D506" s="243"/>
      <x:c r="E506" s="243"/>
      <x:c r="F506" s="14" t="str">
        <x:v>Recruiter C</x:v>
      </x:c>
      <x:c r="G506" s="14" t="str">
        <x:v>Training Center A</x:v>
      </x:c>
      <x:c r="H506" s="28">
        <x:v>45577</x:v>
      </x:c>
      <x:c r="I506" s="14">
        <x:v>2024</x:v>
      </x:c>
      <x:c r="J506" s="14" t="s">
        <x:v>100</x:v>
      </x:c>
      <x:c r="K506" s="14">
        <x:v>19</x:v>
      </x:c>
      <x:c r="L506" s="29" t="s">
        <x:v>119</x:v>
      </x:c>
      <x:c r="M506" s="28">
        <x:v>45574</x:v>
      </x:c>
      <x:c r="N506" s="14"/>
      <x:c r="O506" s="14">
        <x:v>677</x:v>
      </x:c>
      <x:c r="P506" s="14" t="s">
        <x:v>120</x:v>
      </x:c>
      <x:c r="Q506" s="14" t="s">
        <x:v>25</x:v>
      </x:c>
      <x:c r="R506" s="14"/>
      <x:c r="S506" s="14" t="s">
        <x:v>108</x:v>
      </x:c>
      <x:c r="T506" s="14" t="str">
        <x:v>Region B</x:v>
      </x:c>
      <x:c r="U506" s="28">
        <x:v>45629</x:v>
      </x:c>
      <x:c r="V506" s="30">
        <x:v>52</x:v>
      </x:c>
      <x:c r="W506" s="14" t="s">
        <x:v>63</x:v>
      </x:c>
      <x:c r="X506" s="14" t="s">
        <x:v>117</x:v>
      </x:c>
      <x:c r="Y506" s="32" t="str">
        <x:v>TRN-0505|20241012</x:v>
      </x:c>
      <x:c r="Z506" s="32" t="str" cm="1">
        <x:f t="array" ref="Z50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506" s="33" t="n">
        <x:f>--OR(WorkforceData[[#This Row],[Status]]="Active",WorkforceData[[#This Row],[Promoted]]="Yes",WorkforceData[[#This Row],[Total Days Worked]]&gt;=121)</x:f>
        <x:v>1</x:v>
      </x:c>
      <x:c r="AB506" s="33" t="n">
        <x:f>IF(AND(Q506="Terminated",R506="",O506=0),1,0)</x:f>
        <x:v>0</x:v>
      </x:c>
      <x:c r="AC506" s="33" t="n">
        <x:f>--OR(WorkforceData[[#This Row],[Status]]="Resigned",WorkforceData[[#This Row],[Status After Training]]="Withdrew")</x:f>
        <x:v>0</x:v>
      </x:c>
      <x:c r="AD506" s="34" t="n">
        <x:f>EOMONTH(WorkforceData[[#This Row],[Training Date]],0)</x:f>
        <x:v>45596</x:v>
      </x:c>
      <x:c r="AE506" s="32" t="str">
        <x:f>IF(M506&lt;H506,"Existing Employee",IF(U506="","No Assignment",IF(V506=0,"0 Days",IF(V506&lt;=7,"1-7 Days",IF(V506&lt;=14,"8-14 Days",IF(V506&lt;=21,"15-21 Days","21+ Days"))))))</x:f>
        <x:v>Existing Employee</x:v>
      </x:c>
      <x:c r="AF50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06" s="33" t="n">
        <x:f>--(WorkforceData[[#This Row],[Total Days Worked]]&gt;=121)</x:f>
        <x:v>1</x:v>
      </x:c>
    </x:row>
    <x:row r="507">
      <x:c r="A507" s="236" t="str">
        <x:v>TRN-0506</x:v>
      </x:c>
      <x:c r="B507" s="243"/>
      <x:c r="C507" s="243"/>
      <x:c r="D507" s="243"/>
      <x:c r="E507" s="243"/>
      <x:c r="F507" s="14" t="str">
        <x:v>Recruiter H</x:v>
      </x:c>
      <x:c r="G507" s="14" t="str">
        <x:v>Training Center A</x:v>
      </x:c>
      <x:c r="H507" s="28">
        <x:v>45577</x:v>
      </x:c>
      <x:c r="I507" s="14">
        <x:v>2024</x:v>
      </x:c>
      <x:c r="J507" s="14" t="s">
        <x:v>100</x:v>
      </x:c>
      <x:c r="K507" s="14">
        <x:v>19</x:v>
      </x:c>
      <x:c r="L507" s="29" t="s">
        <x:v>119</x:v>
      </x:c>
      <x:c r="M507" s="28">
        <x:v>45570</x:v>
      </x:c>
      <x:c r="N507" s="14"/>
      <x:c r="O507" s="14">
        <x:v>681</x:v>
      </x:c>
      <x:c r="P507" s="14" t="s">
        <x:v>120</x:v>
      </x:c>
      <x:c r="Q507" s="14" t="s">
        <x:v>25</x:v>
      </x:c>
      <x:c r="R507" s="14"/>
      <x:c r="S507" s="14" t="s">
        <x:v>108</x:v>
      </x:c>
      <x:c r="T507" s="14" t="str">
        <x:v>Region D</x:v>
      </x:c>
      <x:c r="U507" s="28">
        <x:v>45583</x:v>
      </x:c>
      <x:c r="V507" s="30">
        <x:v>6</x:v>
      </x:c>
      <x:c r="W507" s="14" t="s">
        <x:v>109</x:v>
      </x:c>
      <x:c r="X507" s="14" t="s">
        <x:v>106</x:v>
      </x:c>
      <x:c r="Y507" s="32" t="str">
        <x:v>TRN-0506|20241012</x:v>
      </x:c>
      <x:c r="Z507" s="32" t="str" cm="1">
        <x:f t="array" ref="Z50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507" s="33" t="n">
        <x:f>--OR(WorkforceData[[#This Row],[Status]]="Active",WorkforceData[[#This Row],[Promoted]]="Yes",WorkforceData[[#This Row],[Total Days Worked]]&gt;=121)</x:f>
        <x:v>1</x:v>
      </x:c>
      <x:c r="AB507" s="33" t="n">
        <x:f>IF(AND(Q507="Terminated",R507="",O507=0),1,0)</x:f>
        <x:v>0</x:v>
      </x:c>
      <x:c r="AC507" s="33" t="n">
        <x:f>--OR(WorkforceData[[#This Row],[Status]]="Resigned",WorkforceData[[#This Row],[Status After Training]]="Withdrew")</x:f>
        <x:v>0</x:v>
      </x:c>
      <x:c r="AD507" s="34" t="n">
        <x:f>EOMONTH(WorkforceData[[#This Row],[Training Date]],0)</x:f>
        <x:v>45596</x:v>
      </x:c>
      <x:c r="AE507" s="32" t="str">
        <x:f>IF(M507&lt;H507,"Existing Employee",IF(U507="","No Assignment",IF(V507=0,"0 Days",IF(V507&lt;=7,"1-7 Days",IF(V507&lt;=14,"8-14 Days",IF(V507&lt;=21,"15-21 Days","21+ Days"))))))</x:f>
        <x:v>Existing Employee</x:v>
      </x:c>
      <x:c r="AF50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07" s="33" t="n">
        <x:f>--(WorkforceData[[#This Row],[Total Days Worked]]&gt;=121)</x:f>
        <x:v>1</x:v>
      </x:c>
    </x:row>
    <x:row r="508">
      <x:c r="A508" s="236" t="str">
        <x:v>TRN-0507</x:v>
      </x:c>
      <x:c r="B508" s="243"/>
      <x:c r="C508" s="243"/>
      <x:c r="D508" s="243"/>
      <x:c r="E508" s="243"/>
      <x:c r="F508" s="14" t="str">
        <x:v>Recruiter F</x:v>
      </x:c>
      <x:c r="G508" s="14" t="str">
        <x:v>Training Center A</x:v>
      </x:c>
      <x:c r="H508" s="28">
        <x:v>45577</x:v>
      </x:c>
      <x:c r="I508" s="14">
        <x:v>2024</x:v>
      </x:c>
      <x:c r="J508" s="14" t="s">
        <x:v>100</x:v>
      </x:c>
      <x:c r="K508" s="14">
        <x:v>19</x:v>
      </x:c>
      <x:c r="L508" s="29" t="s">
        <x:v>119</x:v>
      </x:c>
      <x:c r="M508" s="28">
        <x:v>45567</x:v>
      </x:c>
      <x:c r="N508" s="28">
        <x:v>45684</x:v>
      </x:c>
      <x:c r="O508" s="14">
        <x:v>117</x:v>
      </x:c>
      <x:c r="P508" s="14" t="s">
        <x:v>113</x:v>
      </x:c>
      <x:c r="Q508" s="14" t="s">
        <x:v>103</x:v>
      </x:c>
      <x:c r="R508" s="14" t="s">
        <x:v>104</x:v>
      </x:c>
      <x:c r="S508" s="14" t="s">
        <x:v>105</x:v>
      </x:c>
      <x:c r="T508" s="14"/>
      <x:c r="U508" s="28"/>
      <x:c r="V508" s="30"/>
      <x:c r="W508" s="14"/>
      <x:c r="X508" s="14" t="s">
        <x:v>71</x:v>
      </x:c>
      <x:c r="Y508" s="32" t="str">
        <x:v>TRN-0507|20241012</x:v>
      </x:c>
      <x:c r="Z508" s="32" t="str" cm="1">
        <x:f t="array" ref="Z50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508" s="33" t="n">
        <x:f>--OR(WorkforceData[[#This Row],[Status]]="Active",WorkforceData[[#This Row],[Promoted]]="Yes",WorkforceData[[#This Row],[Total Days Worked]]&gt;=121)</x:f>
        <x:v>0</x:v>
      </x:c>
      <x:c r="AB508" s="33" t="n">
        <x:f>IF(AND(Q508="Terminated",R508="",O508=0),1,0)</x:f>
        <x:v>0</x:v>
      </x:c>
      <x:c r="AC508" s="33" t="n">
        <x:f>--OR(WorkforceData[[#This Row],[Status]]="Resigned",WorkforceData[[#This Row],[Status After Training]]="Withdrew")</x:f>
        <x:v>1</x:v>
      </x:c>
      <x:c r="AD508" s="34" t="n">
        <x:f>EOMONTH(WorkforceData[[#This Row],[Training Date]],0)</x:f>
        <x:v>45596</x:v>
      </x:c>
      <x:c r="AE508" s="32" t="str">
        <x:f>IF(M508&lt;H508,"Existing Employee",IF(U508="","No Assignment",IF(V508=0,"0 Days",IF(V508&lt;=7,"1-7 Days",IF(V508&lt;=14,"8-14 Days",IF(V508&lt;=21,"15-21 Days","21+ Days"))))))</x:f>
        <x:v>Existing Employee</x:v>
      </x:c>
      <x:c r="AF50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91-120 Days</x:v>
      </x:c>
      <x:c r="AG508" s="33" t="n">
        <x:f>--(WorkforceData[[#This Row],[Total Days Worked]]&gt;=121)</x:f>
        <x:v>0</x:v>
      </x:c>
    </x:row>
    <x:row r="509">
      <x:c r="A509" s="236" t="str">
        <x:v>TRN-0508</x:v>
      </x:c>
      <x:c r="B509" s="243"/>
      <x:c r="C509" s="243"/>
      <x:c r="D509" s="243"/>
      <x:c r="E509" s="243"/>
      <x:c r="F509" s="14" t="str">
        <x:v>Recruiter B</x:v>
      </x:c>
      <x:c r="G509" s="14" t="str">
        <x:v>Training Center A</x:v>
      </x:c>
      <x:c r="H509" s="28">
        <x:v>45577</x:v>
      </x:c>
      <x:c r="I509" s="14">
        <x:v>2024</x:v>
      </x:c>
      <x:c r="J509" s="14" t="s">
        <x:v>100</x:v>
      </x:c>
      <x:c r="K509" s="14">
        <x:v>19</x:v>
      </x:c>
      <x:c r="L509" s="29" t="s">
        <x:v>119</x:v>
      </x:c>
      <x:c r="M509" s="28">
        <x:v>45574</x:v>
      </x:c>
      <x:c r="N509" s="14"/>
      <x:c r="O509" s="14">
        <x:v>677</x:v>
      </x:c>
      <x:c r="P509" s="14" t="s">
        <x:v>120</x:v>
      </x:c>
      <x:c r="Q509" s="14" t="s">
        <x:v>25</x:v>
      </x:c>
      <x:c r="R509" s="14"/>
      <x:c r="S509" s="14" t="s">
        <x:v>108</x:v>
      </x:c>
      <x:c r="T509" s="14" t="str">
        <x:v>Region A</x:v>
      </x:c>
      <x:c r="U509" s="28">
        <x:v>45577</x:v>
      </x:c>
      <x:c r="V509" s="30">
        <x:v>0</x:v>
      </x:c>
      <x:c r="W509" s="14" t="s">
        <x:v>109</x:v>
      </x:c>
      <x:c r="X509" s="14" t="s">
        <x:v>106</x:v>
      </x:c>
      <x:c r="Y509" s="32" t="str">
        <x:v>TRN-0508|20241012</x:v>
      </x:c>
      <x:c r="Z509" s="32" t="str" cm="1">
        <x:f t="array" ref="Z50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509" s="33" t="n">
        <x:f>--OR(WorkforceData[[#This Row],[Status]]="Active",WorkforceData[[#This Row],[Promoted]]="Yes",WorkforceData[[#This Row],[Total Days Worked]]&gt;=121)</x:f>
        <x:v>1</x:v>
      </x:c>
      <x:c r="AB509" s="33" t="n">
        <x:f>IF(AND(Q509="Terminated",R509="",O509=0),1,0)</x:f>
        <x:v>0</x:v>
      </x:c>
      <x:c r="AC509" s="33" t="n">
        <x:f>--OR(WorkforceData[[#This Row],[Status]]="Resigned",WorkforceData[[#This Row],[Status After Training]]="Withdrew")</x:f>
        <x:v>0</x:v>
      </x:c>
      <x:c r="AD509" s="34" t="n">
        <x:f>EOMONTH(WorkforceData[[#This Row],[Training Date]],0)</x:f>
        <x:v>45596</x:v>
      </x:c>
      <x:c r="AE509" s="32" t="str">
        <x:f>IF(M509&lt;H509,"Existing Employee",IF(U509="","No Assignment",IF(V509=0,"0 Days",IF(V509&lt;=7,"1-7 Days",IF(V509&lt;=14,"8-14 Days",IF(V509&lt;=21,"15-21 Days","21+ Days"))))))</x:f>
        <x:v>Existing Employee</x:v>
      </x:c>
      <x:c r="AF50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09" s="33" t="n">
        <x:f>--(WorkforceData[[#This Row],[Total Days Worked]]&gt;=121)</x:f>
        <x:v>1</x:v>
      </x:c>
    </x:row>
    <x:row r="510">
      <x:c r="A510" s="236" t="str">
        <x:v>TRN-0509</x:v>
      </x:c>
      <x:c r="B510" s="243"/>
      <x:c r="C510" s="243"/>
      <x:c r="D510" s="243"/>
      <x:c r="E510" s="243"/>
      <x:c r="F510" s="14" t="str">
        <x:v>Recruiter F</x:v>
      </x:c>
      <x:c r="G510" s="14" t="str">
        <x:v>Training Center A</x:v>
      </x:c>
      <x:c r="H510" s="28">
        <x:v>45577</x:v>
      </x:c>
      <x:c r="I510" s="14">
        <x:v>2024</x:v>
      </x:c>
      <x:c r="J510" s="14" t="s">
        <x:v>100</x:v>
      </x:c>
      <x:c r="K510" s="14">
        <x:v>19</x:v>
      </x:c>
      <x:c r="L510" s="29" t="s">
        <x:v>119</x:v>
      </x:c>
      <x:c r="M510" s="28">
        <x:v>45577</x:v>
      </x:c>
      <x:c r="N510" s="28">
        <x:v>46150</x:v>
      </x:c>
      <x:c r="O510" s="14">
        <x:v>573</x:v>
      </x:c>
      <x:c r="P510" s="14" t="s">
        <x:v>120</x:v>
      </x:c>
      <x:c r="Q510" s="14" t="s">
        <x:v>103</x:v>
      </x:c>
      <x:c r="R510" s="14" t="s">
        <x:v>104</x:v>
      </x:c>
      <x:c r="S510" s="14" t="s">
        <x:v>108</x:v>
      </x:c>
      <x:c r="T510" s="14" t="str">
        <x:v>Region D</x:v>
      </x:c>
      <x:c r="U510" s="28">
        <x:v>45598</x:v>
      </x:c>
      <x:c r="V510" s="30">
        <x:v>21</x:v>
      </x:c>
      <x:c r="W510" s="14" t="s">
        <x:v>112</x:v>
      </x:c>
      <x:c r="X510" s="14" t="s">
        <x:v>106</x:v>
      </x:c>
      <x:c r="Y510" s="32" t="str">
        <x:v>TRN-0509|20241012</x:v>
      </x:c>
      <x:c r="Z510" s="32" t="str" cm="1">
        <x:f t="array" ref="Z51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510" s="33" t="n">
        <x:f>--OR(WorkforceData[[#This Row],[Status]]="Active",WorkforceData[[#This Row],[Promoted]]="Yes",WorkforceData[[#This Row],[Total Days Worked]]&gt;=121)</x:f>
        <x:v>1</x:v>
      </x:c>
      <x:c r="AB510" s="33" t="n">
        <x:f>IF(AND(Q510="Terminated",R510="",O510=0),1,0)</x:f>
        <x:v>0</x:v>
      </x:c>
      <x:c r="AC510" s="33" t="n">
        <x:f>--OR(WorkforceData[[#This Row],[Status]]="Resigned",WorkforceData[[#This Row],[Status After Training]]="Withdrew")</x:f>
        <x:v>1</x:v>
      </x:c>
      <x:c r="AD510" s="34" t="n">
        <x:f>EOMONTH(WorkforceData[[#This Row],[Training Date]],0)</x:f>
        <x:v>45596</x:v>
      </x:c>
      <x:c r="AE510" s="32" t="str">
        <x:f>IF(M510&lt;H510,"Existing Employee",IF(U510="","No Assignment",IF(V510=0,"0 Days",IF(V510&lt;=7,"1-7 Days",IF(V510&lt;=14,"8-14 Days",IF(V510&lt;=21,"15-21 Days","21+ Days"))))))</x:f>
        <x:v>15-21 Days</x:v>
      </x:c>
      <x:c r="AF51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10" s="33" t="n">
        <x:f>--(WorkforceData[[#This Row],[Total Days Worked]]&gt;=121)</x:f>
        <x:v>1</x:v>
      </x:c>
    </x:row>
    <x:row r="511">
      <x:c r="A511" s="236" t="str">
        <x:v>TRN-0510</x:v>
      </x:c>
      <x:c r="B511" s="243"/>
      <x:c r="C511" s="243"/>
      <x:c r="D511" s="243"/>
      <x:c r="E511" s="243"/>
      <x:c r="F511" s="14" t="str">
        <x:v>Recruiter D</x:v>
      </x:c>
      <x:c r="G511" s="14" t="str">
        <x:v>Training Center A</x:v>
      </x:c>
      <x:c r="H511" s="28">
        <x:v>45577</x:v>
      </x:c>
      <x:c r="I511" s="14">
        <x:v>2024</x:v>
      </x:c>
      <x:c r="J511" s="14" t="s">
        <x:v>100</x:v>
      </x:c>
      <x:c r="K511" s="14">
        <x:v>19</x:v>
      </x:c>
      <x:c r="L511" s="29" t="s">
        <x:v>119</x:v>
      </x:c>
      <x:c r="M511" s="28">
        <x:v>45574</x:v>
      </x:c>
      <x:c r="N511" s="14"/>
      <x:c r="O511" s="14">
        <x:v>677</x:v>
      </x:c>
      <x:c r="P511" s="14" t="s">
        <x:v>120</x:v>
      </x:c>
      <x:c r="Q511" s="14" t="s">
        <x:v>25</x:v>
      </x:c>
      <x:c r="R511" s="14"/>
      <x:c r="S511" s="14" t="s">
        <x:v>108</x:v>
      </x:c>
      <x:c r="T511" s="14" t="str">
        <x:v>Region C</x:v>
      </x:c>
      <x:c r="U511" s="28">
        <x:v>45581</x:v>
      </x:c>
      <x:c r="V511" s="30">
        <x:v>4</x:v>
      </x:c>
      <x:c r="W511" s="14" t="s">
        <x:v>109</x:v>
      </x:c>
      <x:c r="X511" s="14" t="s">
        <x:v>106</x:v>
      </x:c>
      <x:c r="Y511" s="32" t="str">
        <x:v>TRN-0510|20241012</x:v>
      </x:c>
      <x:c r="Z511" s="32" t="str" cm="1">
        <x:f t="array" ref="Z51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511" s="33" t="n">
        <x:f>--OR(WorkforceData[[#This Row],[Status]]="Active",WorkforceData[[#This Row],[Promoted]]="Yes",WorkforceData[[#This Row],[Total Days Worked]]&gt;=121)</x:f>
        <x:v>1</x:v>
      </x:c>
      <x:c r="AB511" s="33" t="n">
        <x:f>IF(AND(Q511="Terminated",R511="",O511=0),1,0)</x:f>
        <x:v>0</x:v>
      </x:c>
      <x:c r="AC511" s="33" t="n">
        <x:f>--OR(WorkforceData[[#This Row],[Status]]="Resigned",WorkforceData[[#This Row],[Status After Training]]="Withdrew")</x:f>
        <x:v>0</x:v>
      </x:c>
      <x:c r="AD511" s="34" t="n">
        <x:f>EOMONTH(WorkforceData[[#This Row],[Training Date]],0)</x:f>
        <x:v>45596</x:v>
      </x:c>
      <x:c r="AE511" s="32" t="str">
        <x:f>IF(M511&lt;H511,"Existing Employee",IF(U511="","No Assignment",IF(V511=0,"0 Days",IF(V511&lt;=7,"1-7 Days",IF(V511&lt;=14,"8-14 Days",IF(V511&lt;=21,"15-21 Days","21+ Days"))))))</x:f>
        <x:v>Existing Employee</x:v>
      </x:c>
      <x:c r="AF51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11" s="33" t="n">
        <x:f>--(WorkforceData[[#This Row],[Total Days Worked]]&gt;=121)</x:f>
        <x:v>1</x:v>
      </x:c>
    </x:row>
    <x:row r="512">
      <x:c r="A512" s="236" t="str">
        <x:v>TRN-0511</x:v>
      </x:c>
      <x:c r="B512" s="243"/>
      <x:c r="C512" s="243"/>
      <x:c r="D512" s="243"/>
      <x:c r="E512" s="243"/>
      <x:c r="F512" s="14" t="str">
        <x:v>Recruiter H</x:v>
      </x:c>
      <x:c r="G512" s="14" t="str">
        <x:v>Training Center A</x:v>
      </x:c>
      <x:c r="H512" s="28">
        <x:v>45577</x:v>
      </x:c>
      <x:c r="I512" s="14">
        <x:v>2024</x:v>
      </x:c>
      <x:c r="J512" s="14" t="s">
        <x:v>100</x:v>
      </x:c>
      <x:c r="K512" s="14">
        <x:v>19</x:v>
      </x:c>
      <x:c r="L512" s="29" t="s">
        <x:v>119</x:v>
      </x:c>
      <x:c r="M512" s="28">
        <x:v>45567</x:v>
      </x:c>
      <x:c r="N512" s="14"/>
      <x:c r="O512" s="14">
        <x:v>684</x:v>
      </x:c>
      <x:c r="P512" s="14" t="s">
        <x:v>120</x:v>
      </x:c>
      <x:c r="Q512" s="14" t="s">
        <x:v>38</x:v>
      </x:c>
      <x:c r="R512" s="14"/>
      <x:c r="S512" s="14" t="s">
        <x:v>108</x:v>
      </x:c>
      <x:c r="T512" s="14" t="str">
        <x:v>Region C</x:v>
      </x:c>
      <x:c r="U512" s="28">
        <x:v>45603</x:v>
      </x:c>
      <x:c r="V512" s="30">
        <x:v>26</x:v>
      </x:c>
      <x:c r="W512" s="14" t="s">
        <x:v>112</x:v>
      </x:c>
      <x:c r="X512" s="14" t="s">
        <x:v>106</x:v>
      </x:c>
      <x:c r="Y512" s="32" t="str">
        <x:v>TRN-0511|20241012</x:v>
      </x:c>
      <x:c r="Z512" s="32" t="str" cm="1">
        <x:f t="array" ref="Z51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512" s="33" t="n">
        <x:f>--OR(WorkforceData[[#This Row],[Status]]="Active",WorkforceData[[#This Row],[Promoted]]="Yes",WorkforceData[[#This Row],[Total Days Worked]]&gt;=121)</x:f>
        <x:v>1</x:v>
      </x:c>
      <x:c r="AB512" s="33" t="n">
        <x:f>IF(AND(Q512="Terminated",R512="",O512=0),1,0)</x:f>
        <x:v>0</x:v>
      </x:c>
      <x:c r="AC512" s="33" t="n">
        <x:f>--OR(WorkforceData[[#This Row],[Status]]="Resigned",WorkforceData[[#This Row],[Status After Training]]="Withdrew")</x:f>
        <x:v>0</x:v>
      </x:c>
      <x:c r="AD512" s="34" t="n">
        <x:f>EOMONTH(WorkforceData[[#This Row],[Training Date]],0)</x:f>
        <x:v>45596</x:v>
      </x:c>
      <x:c r="AE512" s="32" t="str">
        <x:f>IF(M512&lt;H512,"Existing Employee",IF(U512="","No Assignment",IF(V512=0,"0 Days",IF(V512&lt;=7,"1-7 Days",IF(V512&lt;=14,"8-14 Days",IF(V512&lt;=21,"15-21 Days","21+ Days"))))))</x:f>
        <x:v>Existing Employee</x:v>
      </x:c>
      <x:c r="AF51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12" s="33" t="n">
        <x:f>--(WorkforceData[[#This Row],[Total Days Worked]]&gt;=121)</x:f>
        <x:v>1</x:v>
      </x:c>
    </x:row>
    <x:row r="513">
      <x:c r="A513" s="236" t="str">
        <x:v>TRN-0512</x:v>
      </x:c>
      <x:c r="B513" s="243"/>
      <x:c r="C513" s="243"/>
      <x:c r="D513" s="243"/>
      <x:c r="E513" s="243"/>
      <x:c r="F513" s="14" t="str">
        <x:v>Recruiter D</x:v>
      </x:c>
      <x:c r="G513" s="14" t="str">
        <x:v>Training Center B</x:v>
      </x:c>
      <x:c r="H513" s="28">
        <x:v>45441</x:v>
      </x:c>
      <x:c r="I513" s="14">
        <x:v>2024</x:v>
      </x:c>
      <x:c r="J513" s="14" t="s">
        <x:v>118</x:v>
      </x:c>
      <x:c r="K513" s="14">
        <x:v>17</x:v>
      </x:c>
      <x:c r="L513" s="29" t="s">
        <x:v>119</x:v>
      </x:c>
      <x:c r="M513" s="28">
        <x:v>45434</x:v>
      </x:c>
      <x:c r="N513" s="28">
        <x:v>45450</x:v>
      </x:c>
      <x:c r="O513" s="14">
        <x:v>16</x:v>
      </x:c>
      <x:c r="P513" s="14" t="s">
        <x:v>102</x:v>
      </x:c>
      <x:c r="Q513" s="14" t="s">
        <x:v>33</x:v>
      </x:c>
      <x:c r="R513" s="14" t="s">
        <x:v>121</x:v>
      </x:c>
      <x:c r="S513" s="14" t="s">
        <x:v>105</x:v>
      </x:c>
      <x:c r="T513" s="14" t="str">
        <x:v>Region A</x:v>
      </x:c>
      <x:c r="U513" s="28">
        <x:v>45447</x:v>
      </x:c>
      <x:c r="V513" s="30">
        <x:v>6</x:v>
      </x:c>
      <x:c r="W513" s="14" t="s">
        <x:v>109</x:v>
      </x:c>
      <x:c r="X513" s="14" t="s">
        <x:v>106</x:v>
      </x:c>
      <x:c r="Y513" s="32" t="str">
        <x:v>TRN-0512|20240529</x:v>
      </x:c>
      <x:c r="Z513" s="32" t="str" cm="1">
        <x:f t="array" ref="Z51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513" s="33" t="n">
        <x:f>--OR(WorkforceData[[#This Row],[Status]]="Active",WorkforceData[[#This Row],[Promoted]]="Yes",WorkforceData[[#This Row],[Total Days Worked]]&gt;=121)</x:f>
        <x:v>0</x:v>
      </x:c>
      <x:c r="AB513" s="33" t="n">
        <x:f>IF(AND(Q513="Terminated",R513="",O513=0),1,0)</x:f>
        <x:v>0</x:v>
      </x:c>
      <x:c r="AC513" s="33" t="n">
        <x:f>--OR(WorkforceData[[#This Row],[Status]]="Resigned",WorkforceData[[#This Row],[Status After Training]]="Withdrew")</x:f>
        <x:v>0</x:v>
      </x:c>
      <x:c r="AD513" s="34" t="n">
        <x:f>EOMONTH(WorkforceData[[#This Row],[Training Date]],0)</x:f>
        <x:v>45443</x:v>
      </x:c>
      <x:c r="AE513" s="32" t="str">
        <x:f>IF(M513&lt;H513,"Existing Employee",IF(U513="","No Assignment",IF(V513=0,"0 Days",IF(V513&lt;=7,"1-7 Days",IF(V513&lt;=14,"8-14 Days",IF(V513&lt;=21,"15-21 Days","21+ Days"))))))</x:f>
        <x:v>Existing Employee</x:v>
      </x:c>
      <x:c r="AF51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513" s="33" t="n">
        <x:f>--(WorkforceData[[#This Row],[Total Days Worked]]&gt;=121)</x:f>
        <x:v>0</x:v>
      </x:c>
    </x:row>
    <x:row r="514">
      <x:c r="A514" s="236" t="str">
        <x:v>TRN-0513</x:v>
      </x:c>
      <x:c r="B514" s="243"/>
      <x:c r="C514" s="243"/>
      <x:c r="D514" s="243"/>
      <x:c r="E514" s="243"/>
      <x:c r="F514" s="14" t="str">
        <x:v>Recruiter E</x:v>
      </x:c>
      <x:c r="G514" s="14" t="str">
        <x:v>Training Center B</x:v>
      </x:c>
      <x:c r="H514" s="28">
        <x:v>45441</x:v>
      </x:c>
      <x:c r="I514" s="14">
        <x:v>2024</x:v>
      </x:c>
      <x:c r="J514" s="14" t="s">
        <x:v>118</x:v>
      </x:c>
      <x:c r="K514" s="14">
        <x:v>17</x:v>
      </x:c>
      <x:c r="L514" s="29" t="s">
        <x:v>119</x:v>
      </x:c>
      <x:c r="M514" s="28">
        <x:v>45436</x:v>
      </x:c>
      <x:c r="N514" s="28">
        <x:v>45442</x:v>
      </x:c>
      <x:c r="O514" s="14">
        <x:v>6</x:v>
      </x:c>
      <x:c r="P514" s="14" t="s">
        <x:v>102</x:v>
      </x:c>
      <x:c r="Q514" s="14" t="s">
        <x:v>103</x:v>
      </x:c>
      <x:c r="R514" s="14" t="s">
        <x:v>123</x:v>
      </x:c>
      <x:c r="S514" s="14" t="s">
        <x:v>105</x:v>
      </x:c>
      <x:c r="T514" s="14" t="str">
        <x:v>Region D</x:v>
      </x:c>
      <x:c r="U514" s="28">
        <x:v>45442</x:v>
      </x:c>
      <x:c r="V514" s="30">
        <x:v>1</x:v>
      </x:c>
      <x:c r="W514" s="14" t="s">
        <x:v>109</x:v>
      </x:c>
      <x:c r="X514" s="14" t="s">
        <x:v>106</x:v>
      </x:c>
      <x:c r="Y514" s="32" t="str">
        <x:v>TRN-0513|20240529</x:v>
      </x:c>
      <x:c r="Z514" s="32" t="str" cm="1">
        <x:f t="array" ref="Z51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514" s="33" t="n">
        <x:f>--OR(WorkforceData[[#This Row],[Status]]="Active",WorkforceData[[#This Row],[Promoted]]="Yes",WorkforceData[[#This Row],[Total Days Worked]]&gt;=121)</x:f>
        <x:v>0</x:v>
      </x:c>
      <x:c r="AB514" s="33" t="n">
        <x:f>IF(AND(Q514="Terminated",R514="",O514=0),1,0)</x:f>
        <x:v>0</x:v>
      </x:c>
      <x:c r="AC514" s="33" t="n">
        <x:f>--OR(WorkforceData[[#This Row],[Status]]="Resigned",WorkforceData[[#This Row],[Status After Training]]="Withdrew")</x:f>
        <x:v>1</x:v>
      </x:c>
      <x:c r="AD514" s="34" t="n">
        <x:f>EOMONTH(WorkforceData[[#This Row],[Training Date]],0)</x:f>
        <x:v>45443</x:v>
      </x:c>
      <x:c r="AE514" s="32" t="str">
        <x:f>IF(M514&lt;H514,"Existing Employee",IF(U514="","No Assignment",IF(V514=0,"0 Days",IF(V514&lt;=7,"1-7 Days",IF(V514&lt;=14,"8-14 Days",IF(V514&lt;=21,"15-21 Days","21+ Days"))))))</x:f>
        <x:v>Existing Employee</x:v>
      </x:c>
      <x:c r="AF51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1-7 Days</x:v>
      </x:c>
      <x:c r="AG514" s="33" t="n">
        <x:f>--(WorkforceData[[#This Row],[Total Days Worked]]&gt;=121)</x:f>
        <x:v>0</x:v>
      </x:c>
    </x:row>
    <x:row r="515">
      <x:c r="A515" s="236" t="str">
        <x:v>TRN-0514</x:v>
      </x:c>
      <x:c r="B515" s="243"/>
      <x:c r="C515" s="243"/>
      <x:c r="D515" s="243"/>
      <x:c r="E515" s="243"/>
      <x:c r="F515" s="14" t="str">
        <x:v>Recruiter G</x:v>
      </x:c>
      <x:c r="G515" s="14" t="str">
        <x:v>Training Center B</x:v>
      </x:c>
      <x:c r="H515" s="28">
        <x:v>45441</x:v>
      </x:c>
      <x:c r="I515" s="14">
        <x:v>2024</x:v>
      </x:c>
      <x:c r="J515" s="14" t="s">
        <x:v>118</x:v>
      </x:c>
      <x:c r="K515" s="14">
        <x:v>17</x:v>
      </x:c>
      <x:c r="L515" s="29" t="s">
        <x:v>119</x:v>
      </x:c>
      <x:c r="M515" s="28">
        <x:v>45438</x:v>
      </x:c>
      <x:c r="N515" s="28">
        <x:v>45666</x:v>
      </x:c>
      <x:c r="O515" s="14">
        <x:v>228</x:v>
      </x:c>
      <x:c r="P515" s="14" t="s">
        <x:v>107</x:v>
      </x:c>
      <x:c r="Q515" s="14" t="s">
        <x:v>103</x:v>
      </x:c>
      <x:c r="R515" s="14" t="s">
        <x:v>104</x:v>
      </x:c>
      <x:c r="S515" s="14" t="s">
        <x:v>108</x:v>
      </x:c>
      <x:c r="T515" s="14" t="str">
        <x:v>Region D</x:v>
      </x:c>
      <x:c r="U515" s="28">
        <x:v>45486</x:v>
      </x:c>
      <x:c r="V515" s="30">
        <x:v>45</x:v>
      </x:c>
      <x:c r="W515" s="14" t="s">
        <x:v>63</x:v>
      </x:c>
      <x:c r="X515" s="14" t="s">
        <x:v>117</x:v>
      </x:c>
      <x:c r="Y515" s="32" t="str">
        <x:v>TRN-0514|20240529</x:v>
      </x:c>
      <x:c r="Z515" s="32" t="str" cm="1">
        <x:f t="array" ref="Z51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515" s="33" t="n">
        <x:f>--OR(WorkforceData[[#This Row],[Status]]="Active",WorkforceData[[#This Row],[Promoted]]="Yes",WorkforceData[[#This Row],[Total Days Worked]]&gt;=121)</x:f>
        <x:v>1</x:v>
      </x:c>
      <x:c r="AB515" s="33" t="n">
        <x:f>IF(AND(Q515="Terminated",R515="",O515=0),1,0)</x:f>
        <x:v>0</x:v>
      </x:c>
      <x:c r="AC515" s="33" t="n">
        <x:f>--OR(WorkforceData[[#This Row],[Status]]="Resigned",WorkforceData[[#This Row],[Status After Training]]="Withdrew")</x:f>
        <x:v>1</x:v>
      </x:c>
      <x:c r="AD515" s="34" t="n">
        <x:f>EOMONTH(WorkforceData[[#This Row],[Training Date]],0)</x:f>
        <x:v>45443</x:v>
      </x:c>
      <x:c r="AE515" s="32" t="str">
        <x:f>IF(M515&lt;H515,"Existing Employee",IF(U515="","No Assignment",IF(V515=0,"0 Days",IF(V515&lt;=7,"1-7 Days",IF(V515&lt;=14,"8-14 Days",IF(V515&lt;=21,"15-21 Days","21+ Days"))))))</x:f>
        <x:v>Existing Employee</x:v>
      </x:c>
      <x:c r="AF51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15" s="33" t="n">
        <x:f>--(WorkforceData[[#This Row],[Total Days Worked]]&gt;=121)</x:f>
        <x:v>1</x:v>
      </x:c>
    </x:row>
    <x:row r="516">
      <x:c r="A516" s="236" t="str">
        <x:v>TRN-0515</x:v>
      </x:c>
      <x:c r="B516" s="243"/>
      <x:c r="C516" s="243"/>
      <x:c r="D516" s="243"/>
      <x:c r="E516" s="243"/>
      <x:c r="F516" s="14" t="str">
        <x:v>Recruiter E</x:v>
      </x:c>
      <x:c r="G516" s="14" t="str">
        <x:v>Training Center B</x:v>
      </x:c>
      <x:c r="H516" s="28">
        <x:v>45441</x:v>
      </x:c>
      <x:c r="I516" s="14">
        <x:v>2024</x:v>
      </x:c>
      <x:c r="J516" s="14" t="s">
        <x:v>118</x:v>
      </x:c>
      <x:c r="K516" s="14">
        <x:v>17</x:v>
      </x:c>
      <x:c r="L516" s="29" t="s">
        <x:v>119</x:v>
      </x:c>
      <x:c r="M516" s="28">
        <x:v>45441</x:v>
      </x:c>
      <x:c r="N516" s="28">
        <x:v>45480</x:v>
      </x:c>
      <x:c r="O516" s="14">
        <x:v>39</x:v>
      </x:c>
      <x:c r="P516" s="14" t="s">
        <x:v>110</x:v>
      </x:c>
      <x:c r="Q516" s="14" t="s">
        <x:v>103</x:v>
      </x:c>
      <x:c r="R516" s="14" t="s">
        <x:v>111</x:v>
      </x:c>
      <x:c r="S516" s="14" t="s">
        <x:v>105</x:v>
      </x:c>
      <x:c r="T516" s="14" t="str">
        <x:v>Region D</x:v>
      </x:c>
      <x:c r="U516" s="28">
        <x:v>45445</x:v>
      </x:c>
      <x:c r="V516" s="30">
        <x:v>4</x:v>
      </x:c>
      <x:c r="W516" s="14" t="s">
        <x:v>109</x:v>
      </x:c>
      <x:c r="X516" s="14" t="s">
        <x:v>106</x:v>
      </x:c>
      <x:c r="Y516" s="32" t="str">
        <x:v>TRN-0515|20240529</x:v>
      </x:c>
      <x:c r="Z516" s="32" t="str" cm="1">
        <x:f t="array" ref="Z51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516" s="33" t="n">
        <x:f>--OR(WorkforceData[[#This Row],[Status]]="Active",WorkforceData[[#This Row],[Promoted]]="Yes",WorkforceData[[#This Row],[Total Days Worked]]&gt;=121)</x:f>
        <x:v>0</x:v>
      </x:c>
      <x:c r="AB516" s="33" t="n">
        <x:f>IF(AND(Q516="Terminated",R516="",O516=0),1,0)</x:f>
        <x:v>0</x:v>
      </x:c>
      <x:c r="AC516" s="33" t="n">
        <x:f>--OR(WorkforceData[[#This Row],[Status]]="Resigned",WorkforceData[[#This Row],[Status After Training]]="Withdrew")</x:f>
        <x:v>1</x:v>
      </x:c>
      <x:c r="AD516" s="34" t="n">
        <x:f>EOMONTH(WorkforceData[[#This Row],[Training Date]],0)</x:f>
        <x:v>45443</x:v>
      </x:c>
      <x:c r="AE516" s="32" t="str">
        <x:f>IF(M516&lt;H516,"Existing Employee",IF(U516="","No Assignment",IF(V516=0,"0 Days",IF(V516&lt;=7,"1-7 Days",IF(V516&lt;=14,"8-14 Days",IF(V516&lt;=21,"15-21 Days","21+ Days"))))))</x:f>
        <x:v>1-7 Days</x:v>
      </x:c>
      <x:c r="AF51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516" s="33" t="n">
        <x:f>--(WorkforceData[[#This Row],[Total Days Worked]]&gt;=121)</x:f>
        <x:v>0</x:v>
      </x:c>
    </x:row>
    <x:row r="517">
      <x:c r="A517" s="236" t="str">
        <x:v>TRN-0516</x:v>
      </x:c>
      <x:c r="B517" s="243"/>
      <x:c r="C517" s="243"/>
      <x:c r="D517" s="243"/>
      <x:c r="E517" s="243"/>
      <x:c r="F517" s="14" t="str">
        <x:v>Recruiter C</x:v>
      </x:c>
      <x:c r="G517" s="14" t="str">
        <x:v>Training Center B</x:v>
      </x:c>
      <x:c r="H517" s="28">
        <x:v>45441</x:v>
      </x:c>
      <x:c r="I517" s="14">
        <x:v>2024</x:v>
      </x:c>
      <x:c r="J517" s="14" t="s">
        <x:v>118</x:v>
      </x:c>
      <x:c r="K517" s="14">
        <x:v>17</x:v>
      </x:c>
      <x:c r="L517" s="29" t="s">
        <x:v>119</x:v>
      </x:c>
      <x:c r="M517" s="28">
        <x:v>45440</x:v>
      </x:c>
      <x:c r="N517" s="14"/>
      <x:c r="O517" s="14">
        <x:v>811</x:v>
      </x:c>
      <x:c r="P517" s="14" t="s">
        <x:v>122</x:v>
      </x:c>
      <x:c r="Q517" s="14" t="s">
        <x:v>25</x:v>
      </x:c>
      <x:c r="R517" s="14"/>
      <x:c r="S517" s="14" t="s">
        <x:v>108</x:v>
      </x:c>
      <x:c r="T517" s="14" t="str">
        <x:v>Region E</x:v>
      </x:c>
      <x:c r="U517" s="28">
        <x:v>45446</x:v>
      </x:c>
      <x:c r="V517" s="30">
        <x:v>5</x:v>
      </x:c>
      <x:c r="W517" s="14" t="s">
        <x:v>109</x:v>
      </x:c>
      <x:c r="X517" s="14" t="s">
        <x:v>106</x:v>
      </x:c>
      <x:c r="Y517" s="32" t="str">
        <x:v>TRN-0516|20240529</x:v>
      </x:c>
      <x:c r="Z517" s="32" t="str" cm="1">
        <x:f t="array" ref="Z51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517" s="33" t="n">
        <x:f>--OR(WorkforceData[[#This Row],[Status]]="Active",WorkforceData[[#This Row],[Promoted]]="Yes",WorkforceData[[#This Row],[Total Days Worked]]&gt;=121)</x:f>
        <x:v>1</x:v>
      </x:c>
      <x:c r="AB517" s="33" t="n">
        <x:f>IF(AND(Q517="Terminated",R517="",O517=0),1,0)</x:f>
        <x:v>0</x:v>
      </x:c>
      <x:c r="AC517" s="33" t="n">
        <x:f>--OR(WorkforceData[[#This Row],[Status]]="Resigned",WorkforceData[[#This Row],[Status After Training]]="Withdrew")</x:f>
        <x:v>0</x:v>
      </x:c>
      <x:c r="AD517" s="34" t="n">
        <x:f>EOMONTH(WorkforceData[[#This Row],[Training Date]],0)</x:f>
        <x:v>45443</x:v>
      </x:c>
      <x:c r="AE517" s="32" t="str">
        <x:f>IF(M517&lt;H517,"Existing Employee",IF(U517="","No Assignment",IF(V517=0,"0 Days",IF(V517&lt;=7,"1-7 Days",IF(V517&lt;=14,"8-14 Days",IF(V517&lt;=21,"15-21 Days","21+ Days"))))))</x:f>
        <x:v>Existing Employee</x:v>
      </x:c>
      <x:c r="AF51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17" s="33" t="n">
        <x:f>--(WorkforceData[[#This Row],[Total Days Worked]]&gt;=121)</x:f>
        <x:v>1</x:v>
      </x:c>
    </x:row>
    <x:row r="518">
      <x:c r="A518" s="236" t="str">
        <x:v>TRN-0517</x:v>
      </x:c>
      <x:c r="B518" s="243"/>
      <x:c r="C518" s="243"/>
      <x:c r="D518" s="243"/>
      <x:c r="E518" s="243"/>
      <x:c r="F518" s="14" t="str">
        <x:v>Recruiter F</x:v>
      </x:c>
      <x:c r="G518" s="14" t="str">
        <x:v>Training Center B</x:v>
      </x:c>
      <x:c r="H518" s="28">
        <x:v>45441</x:v>
      </x:c>
      <x:c r="I518" s="14">
        <x:v>2024</x:v>
      </x:c>
      <x:c r="J518" s="14" t="s">
        <x:v>118</x:v>
      </x:c>
      <x:c r="K518" s="14">
        <x:v>17</x:v>
      </x:c>
      <x:c r="L518" s="29" t="s">
        <x:v>119</x:v>
      </x:c>
      <x:c r="M518" s="28">
        <x:v>45441</x:v>
      </x:c>
      <x:c r="N518" s="14"/>
      <x:c r="O518" s="14">
        <x:v>810</x:v>
      </x:c>
      <x:c r="P518" s="14" t="s">
        <x:v>122</x:v>
      </x:c>
      <x:c r="Q518" s="14" t="s">
        <x:v>25</x:v>
      </x:c>
      <x:c r="R518" s="14"/>
      <x:c r="S518" s="14" t="s">
        <x:v>108</x:v>
      </x:c>
      <x:c r="T518" s="14" t="str">
        <x:v>Region D</x:v>
      </x:c>
      <x:c r="U518" s="28">
        <x:v>45443</x:v>
      </x:c>
      <x:c r="V518" s="30">
        <x:v>2</x:v>
      </x:c>
      <x:c r="W518" s="14" t="s">
        <x:v>109</x:v>
      </x:c>
      <x:c r="X518" s="14" t="s">
        <x:v>125</x:v>
      </x:c>
      <x:c r="Y518" s="32" t="str">
        <x:v>TRN-0517|20240529</x:v>
      </x:c>
      <x:c r="Z518" s="32" t="str" cm="1">
        <x:f t="array" ref="Z51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518" s="33" t="n">
        <x:f>--OR(WorkforceData[[#This Row],[Status]]="Active",WorkforceData[[#This Row],[Promoted]]="Yes",WorkforceData[[#This Row],[Total Days Worked]]&gt;=121)</x:f>
        <x:v>1</x:v>
      </x:c>
      <x:c r="AB518" s="33" t="n">
        <x:f>IF(AND(Q518="Terminated",R518="",O518=0),1,0)</x:f>
        <x:v>0</x:v>
      </x:c>
      <x:c r="AC518" s="33" t="n">
        <x:f>--OR(WorkforceData[[#This Row],[Status]]="Resigned",WorkforceData[[#This Row],[Status After Training]]="Withdrew")</x:f>
        <x:v>0</x:v>
      </x:c>
      <x:c r="AD518" s="34" t="n">
        <x:f>EOMONTH(WorkforceData[[#This Row],[Training Date]],0)</x:f>
        <x:v>45443</x:v>
      </x:c>
      <x:c r="AE518" s="32" t="str">
        <x:f>IF(M518&lt;H518,"Existing Employee",IF(U518="","No Assignment",IF(V518=0,"0 Days",IF(V518&lt;=7,"1-7 Days",IF(V518&lt;=14,"8-14 Days",IF(V518&lt;=21,"15-21 Days","21+ Days"))))))</x:f>
        <x:v>1-7 Days</x:v>
      </x:c>
      <x:c r="AF51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18" s="33" t="n">
        <x:f>--(WorkforceData[[#This Row],[Total Days Worked]]&gt;=121)</x:f>
        <x:v>1</x:v>
      </x:c>
    </x:row>
    <x:row r="519">
      <x:c r="A519" s="236" t="str">
        <x:v>TRN-0518</x:v>
      </x:c>
      <x:c r="B519" s="243"/>
      <x:c r="C519" s="243"/>
      <x:c r="D519" s="243"/>
      <x:c r="E519" s="243"/>
      <x:c r="F519" s="14" t="str">
        <x:v>Recruiter F</x:v>
      </x:c>
      <x:c r="G519" s="14" t="str">
        <x:v>Training Center B</x:v>
      </x:c>
      <x:c r="H519" s="28">
        <x:v>45441</x:v>
      </x:c>
      <x:c r="I519" s="14">
        <x:v>2024</x:v>
      </x:c>
      <x:c r="J519" s="14" t="s">
        <x:v>118</x:v>
      </x:c>
      <x:c r="K519" s="14">
        <x:v>17</x:v>
      </x:c>
      <x:c r="L519" s="29" t="s">
        <x:v>119</x:v>
      </x:c>
      <x:c r="M519" s="28">
        <x:v>45441</x:v>
      </x:c>
      <x:c r="N519" s="14"/>
      <x:c r="O519" s="14">
        <x:v>810</x:v>
      </x:c>
      <x:c r="P519" s="14" t="s">
        <x:v>122</x:v>
      </x:c>
      <x:c r="Q519" s="14" t="s">
        <x:v>38</x:v>
      </x:c>
      <x:c r="R519" s="14"/>
      <x:c r="S519" s="14" t="s">
        <x:v>105</x:v>
      </x:c>
      <x:c r="T519" s="14"/>
      <x:c r="U519" s="28"/>
      <x:c r="V519" s="30"/>
      <x:c r="W519" s="14"/>
      <x:c r="X519" s="14" t="s">
        <x:v>71</x:v>
      </x:c>
      <x:c r="Y519" s="32" t="str">
        <x:v>TRN-0518|20240529</x:v>
      </x:c>
      <x:c r="Z519" s="32" t="str" cm="1">
        <x:f t="array" ref="Z51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519" s="33" t="n">
        <x:f>--OR(WorkforceData[[#This Row],[Status]]="Active",WorkforceData[[#This Row],[Promoted]]="Yes",WorkforceData[[#This Row],[Total Days Worked]]&gt;=121)</x:f>
        <x:v>1</x:v>
      </x:c>
      <x:c r="AB519" s="33" t="n">
        <x:f>IF(AND(Q519="Terminated",R519="",O519=0),1,0)</x:f>
        <x:v>0</x:v>
      </x:c>
      <x:c r="AC519" s="33" t="n">
        <x:f>--OR(WorkforceData[[#This Row],[Status]]="Resigned",WorkforceData[[#This Row],[Status After Training]]="Withdrew")</x:f>
        <x:v>0</x:v>
      </x:c>
      <x:c r="AD519" s="34" t="n">
        <x:f>EOMONTH(WorkforceData[[#This Row],[Training Date]],0)</x:f>
        <x:v>45443</x:v>
      </x:c>
      <x:c r="AE519" s="32" t="str">
        <x:f>IF(M519&lt;H519,"Existing Employee",IF(U519="","No Assignment",IF(V519=0,"0 Days",IF(V519&lt;=7,"1-7 Days",IF(V519&lt;=14,"8-14 Days",IF(V519&lt;=21,"15-21 Days","21+ Days"))))))</x:f>
        <x:v>No Assignment</x:v>
      </x:c>
      <x:c r="AF51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19" s="33" t="n">
        <x:f>--(WorkforceData[[#This Row],[Total Days Worked]]&gt;=121)</x:f>
        <x:v>1</x:v>
      </x:c>
    </x:row>
    <x:row r="520">
      <x:c r="A520" s="236" t="str">
        <x:v>TRN-0519</x:v>
      </x:c>
      <x:c r="B520" s="243"/>
      <x:c r="C520" s="243"/>
      <x:c r="D520" s="243"/>
      <x:c r="E520" s="243"/>
      <x:c r="F520" s="14" t="str">
        <x:v>Recruiter E</x:v>
      </x:c>
      <x:c r="G520" s="14" t="str">
        <x:v>Training Center B</x:v>
      </x:c>
      <x:c r="H520" s="28">
        <x:v>45441</x:v>
      </x:c>
      <x:c r="I520" s="14">
        <x:v>2024</x:v>
      </x:c>
      <x:c r="J520" s="14" t="s">
        <x:v>118</x:v>
      </x:c>
      <x:c r="K520" s="14">
        <x:v>17</x:v>
      </x:c>
      <x:c r="L520" s="29" t="s">
        <x:v>119</x:v>
      </x:c>
      <x:c r="M520" s="28">
        <x:v>45434</x:v>
      </x:c>
      <x:c r="N520" s="28">
        <x:v>45451</x:v>
      </x:c>
      <x:c r="O520" s="14">
        <x:v>17</x:v>
      </x:c>
      <x:c r="P520" s="14" t="s">
        <x:v>102</x:v>
      </x:c>
      <x:c r="Q520" s="14" t="s">
        <x:v>103</x:v>
      </x:c>
      <x:c r="R520" s="14" t="s">
        <x:v>104</x:v>
      </x:c>
      <x:c r="S520" s="14" t="s">
        <x:v>105</x:v>
      </x:c>
      <x:c r="T520" s="14" t="str">
        <x:v>Region B</x:v>
      </x:c>
      <x:c r="U520" s="28">
        <x:v>45443</x:v>
      </x:c>
      <x:c r="V520" s="30">
        <x:v>2</x:v>
      </x:c>
      <x:c r="W520" s="14" t="s">
        <x:v>109</x:v>
      </x:c>
      <x:c r="X520" s="14" t="s">
        <x:v>106</x:v>
      </x:c>
      <x:c r="Y520" s="32" t="str">
        <x:v>TRN-0519|20240529</x:v>
      </x:c>
      <x:c r="Z520" s="32" t="str" cm="1">
        <x:f t="array" ref="Z52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520" s="33" t="n">
        <x:f>--OR(WorkforceData[[#This Row],[Status]]="Active",WorkforceData[[#This Row],[Promoted]]="Yes",WorkforceData[[#This Row],[Total Days Worked]]&gt;=121)</x:f>
        <x:v>0</x:v>
      </x:c>
      <x:c r="AB520" s="33" t="n">
        <x:f>IF(AND(Q520="Terminated",R520="",O520=0),1,0)</x:f>
        <x:v>0</x:v>
      </x:c>
      <x:c r="AC520" s="33" t="n">
        <x:f>--OR(WorkforceData[[#This Row],[Status]]="Resigned",WorkforceData[[#This Row],[Status After Training]]="Withdrew")</x:f>
        <x:v>1</x:v>
      </x:c>
      <x:c r="AD520" s="34" t="n">
        <x:f>EOMONTH(WorkforceData[[#This Row],[Training Date]],0)</x:f>
        <x:v>45443</x:v>
      </x:c>
      <x:c r="AE520" s="32" t="str">
        <x:f>IF(M520&lt;H520,"Existing Employee",IF(U520="","No Assignment",IF(V520=0,"0 Days",IF(V520&lt;=7,"1-7 Days",IF(V520&lt;=14,"8-14 Days",IF(V520&lt;=21,"15-21 Days","21+ Days"))))))</x:f>
        <x:v>Existing Employee</x:v>
      </x:c>
      <x:c r="AF52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520" s="33" t="n">
        <x:f>--(WorkforceData[[#This Row],[Total Days Worked]]&gt;=121)</x:f>
        <x:v>0</x:v>
      </x:c>
    </x:row>
    <x:row r="521">
      <x:c r="A521" s="236" t="str">
        <x:v>TRN-0520</x:v>
      </x:c>
      <x:c r="B521" s="243"/>
      <x:c r="C521" s="243"/>
      <x:c r="D521" s="243"/>
      <x:c r="E521" s="243"/>
      <x:c r="F521" s="14" t="str">
        <x:v>Recruiter G</x:v>
      </x:c>
      <x:c r="G521" s="14" t="str">
        <x:v>Training Center B</x:v>
      </x:c>
      <x:c r="H521" s="28">
        <x:v>45441</x:v>
      </x:c>
      <x:c r="I521" s="14">
        <x:v>2024</x:v>
      </x:c>
      <x:c r="J521" s="14" t="s">
        <x:v>118</x:v>
      </x:c>
      <x:c r="K521" s="14">
        <x:v>17</x:v>
      </x:c>
      <x:c r="L521" s="29" t="s">
        <x:v>119</x:v>
      </x:c>
      <x:c r="M521" s="28">
        <x:v>45440</x:v>
      </x:c>
      <x:c r="N521" s="14"/>
      <x:c r="O521" s="14">
        <x:v>811</x:v>
      </x:c>
      <x:c r="P521" s="14" t="s">
        <x:v>122</x:v>
      </x:c>
      <x:c r="Q521" s="14" t="s">
        <x:v>25</x:v>
      </x:c>
      <x:c r="R521" s="14"/>
      <x:c r="S521" s="14" t="s">
        <x:v>108</x:v>
      </x:c>
      <x:c r="T521" s="14" t="str">
        <x:v>Region D</x:v>
      </x:c>
      <x:c r="U521" s="28">
        <x:v>45457</x:v>
      </x:c>
      <x:c r="V521" s="30">
        <x:v>16</x:v>
      </x:c>
      <x:c r="W521" s="14" t="s">
        <x:v>112</x:v>
      </x:c>
      <x:c r="X521" s="14" t="s">
        <x:v>106</x:v>
      </x:c>
      <x:c r="Y521" s="32" t="str">
        <x:v>TRN-0520|20240529</x:v>
      </x:c>
      <x:c r="Z521" s="32" t="str" cm="1">
        <x:f t="array" ref="Z52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521" s="33" t="n">
        <x:f>--OR(WorkforceData[[#This Row],[Status]]="Active",WorkforceData[[#This Row],[Promoted]]="Yes",WorkforceData[[#This Row],[Total Days Worked]]&gt;=121)</x:f>
        <x:v>1</x:v>
      </x:c>
      <x:c r="AB521" s="33" t="n">
        <x:f>IF(AND(Q521="Terminated",R521="",O521=0),1,0)</x:f>
        <x:v>0</x:v>
      </x:c>
      <x:c r="AC521" s="33" t="n">
        <x:f>--OR(WorkforceData[[#This Row],[Status]]="Resigned",WorkforceData[[#This Row],[Status After Training]]="Withdrew")</x:f>
        <x:v>0</x:v>
      </x:c>
      <x:c r="AD521" s="34" t="n">
        <x:f>EOMONTH(WorkforceData[[#This Row],[Training Date]],0)</x:f>
        <x:v>45443</x:v>
      </x:c>
      <x:c r="AE521" s="32" t="str">
        <x:f>IF(M521&lt;H521,"Existing Employee",IF(U521="","No Assignment",IF(V521=0,"0 Days",IF(V521&lt;=7,"1-7 Days",IF(V521&lt;=14,"8-14 Days",IF(V521&lt;=21,"15-21 Days","21+ Days"))))))</x:f>
        <x:v>Existing Employee</x:v>
      </x:c>
      <x:c r="AF52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21" s="33" t="n">
        <x:f>--(WorkforceData[[#This Row],[Total Days Worked]]&gt;=121)</x:f>
        <x:v>1</x:v>
      </x:c>
    </x:row>
    <x:row r="522">
      <x:c r="A522" s="236" t="str">
        <x:v>TRN-0521</x:v>
      </x:c>
      <x:c r="B522" s="243"/>
      <x:c r="C522" s="243"/>
      <x:c r="D522" s="243"/>
      <x:c r="E522" s="243"/>
      <x:c r="F522" s="14" t="str">
        <x:v>Recruiter D</x:v>
      </x:c>
      <x:c r="G522" s="14" t="str">
        <x:v>Training Center B</x:v>
      </x:c>
      <x:c r="H522" s="28">
        <x:v>45441</x:v>
      </x:c>
      <x:c r="I522" s="14">
        <x:v>2024</x:v>
      </x:c>
      <x:c r="J522" s="14" t="s">
        <x:v>118</x:v>
      </x:c>
      <x:c r="K522" s="14">
        <x:v>17</x:v>
      </x:c>
      <x:c r="L522" s="29" t="s">
        <x:v>119</x:v>
      </x:c>
      <x:c r="M522" s="28">
        <x:v>45441</x:v>
      </x:c>
      <x:c r="N522" s="14"/>
      <x:c r="O522" s="14">
        <x:v>810</x:v>
      </x:c>
      <x:c r="P522" s="14" t="s">
        <x:v>122</x:v>
      </x:c>
      <x:c r="Q522" s="14" t="s">
        <x:v>25</x:v>
      </x:c>
      <x:c r="R522" s="14"/>
      <x:c r="S522" s="14" t="s">
        <x:v>108</x:v>
      </x:c>
      <x:c r="T522" s="14" t="str">
        <x:v>Region E</x:v>
      </x:c>
      <x:c r="U522" s="28">
        <x:v>45448</x:v>
      </x:c>
      <x:c r="V522" s="30">
        <x:v>7</x:v>
      </x:c>
      <x:c r="W522" s="14" t="s">
        <x:v>109</x:v>
      </x:c>
      <x:c r="X522" s="14" t="s">
        <x:v>106</x:v>
      </x:c>
      <x:c r="Y522" s="32" t="str">
        <x:v>TRN-0521|20240529</x:v>
      </x:c>
      <x:c r="Z522" s="32" t="str" cm="1">
        <x:f t="array" ref="Z52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522" s="33" t="n">
        <x:f>--OR(WorkforceData[[#This Row],[Status]]="Active",WorkforceData[[#This Row],[Promoted]]="Yes",WorkforceData[[#This Row],[Total Days Worked]]&gt;=121)</x:f>
        <x:v>1</x:v>
      </x:c>
      <x:c r="AB522" s="33" t="n">
        <x:f>IF(AND(Q522="Terminated",R522="",O522=0),1,0)</x:f>
        <x:v>0</x:v>
      </x:c>
      <x:c r="AC522" s="33" t="n">
        <x:f>--OR(WorkforceData[[#This Row],[Status]]="Resigned",WorkforceData[[#This Row],[Status After Training]]="Withdrew")</x:f>
        <x:v>0</x:v>
      </x:c>
      <x:c r="AD522" s="34" t="n">
        <x:f>EOMONTH(WorkforceData[[#This Row],[Training Date]],0)</x:f>
        <x:v>45443</x:v>
      </x:c>
      <x:c r="AE522" s="32" t="str">
        <x:f>IF(M522&lt;H522,"Existing Employee",IF(U522="","No Assignment",IF(V522=0,"0 Days",IF(V522&lt;=7,"1-7 Days",IF(V522&lt;=14,"8-14 Days",IF(V522&lt;=21,"15-21 Days","21+ Days"))))))</x:f>
        <x:v>1-7 Days</x:v>
      </x:c>
      <x:c r="AF52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22" s="33" t="n">
        <x:f>--(WorkforceData[[#This Row],[Total Days Worked]]&gt;=121)</x:f>
        <x:v>1</x:v>
      </x:c>
    </x:row>
    <x:row r="523">
      <x:c r="A523" s="236" t="str">
        <x:v>TRN-0522</x:v>
      </x:c>
      <x:c r="B523" s="243"/>
      <x:c r="C523" s="243"/>
      <x:c r="D523" s="243"/>
      <x:c r="E523" s="243"/>
      <x:c r="F523" s="14" t="str">
        <x:v>Recruiter F</x:v>
      </x:c>
      <x:c r="G523" s="14" t="str">
        <x:v>Training Center B</x:v>
      </x:c>
      <x:c r="H523" s="28">
        <x:v>45441</x:v>
      </x:c>
      <x:c r="I523" s="14">
        <x:v>2024</x:v>
      </x:c>
      <x:c r="J523" s="14" t="s">
        <x:v>118</x:v>
      </x:c>
      <x:c r="K523" s="14">
        <x:v>17</x:v>
      </x:c>
      <x:c r="L523" s="29" t="s">
        <x:v>119</x:v>
      </x:c>
      <x:c r="M523" s="28">
        <x:v>45436</x:v>
      </x:c>
      <x:c r="N523" s="14"/>
      <x:c r="O523" s="14">
        <x:v>815</x:v>
      </x:c>
      <x:c r="P523" s="14" t="s">
        <x:v>122</x:v>
      </x:c>
      <x:c r="Q523" s="14" t="s">
        <x:v>38</x:v>
      </x:c>
      <x:c r="R523" s="14"/>
      <x:c r="S523" s="14" t="s">
        <x:v>108</x:v>
      </x:c>
      <x:c r="T523" s="14" t="str">
        <x:v>Region C</x:v>
      </x:c>
      <x:c r="U523" s="28">
        <x:v>45451</x:v>
      </x:c>
      <x:c r="V523" s="30">
        <x:v>10</x:v>
      </x:c>
      <x:c r="W523" s="14" t="s">
        <x:v>45</x:v>
      </x:c>
      <x:c r="X523" s="14" t="s">
        <x:v>106</x:v>
      </x:c>
      <x:c r="Y523" s="32" t="str">
        <x:v>TRN-0522|20240529</x:v>
      </x:c>
      <x:c r="Z523" s="32" t="str" cm="1">
        <x:f t="array" ref="Z52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523" s="33" t="n">
        <x:f>--OR(WorkforceData[[#This Row],[Status]]="Active",WorkforceData[[#This Row],[Promoted]]="Yes",WorkforceData[[#This Row],[Total Days Worked]]&gt;=121)</x:f>
        <x:v>1</x:v>
      </x:c>
      <x:c r="AB523" s="33" t="n">
        <x:f>IF(AND(Q523="Terminated",R523="",O523=0),1,0)</x:f>
        <x:v>0</x:v>
      </x:c>
      <x:c r="AC523" s="33" t="n">
        <x:f>--OR(WorkforceData[[#This Row],[Status]]="Resigned",WorkforceData[[#This Row],[Status After Training]]="Withdrew")</x:f>
        <x:v>0</x:v>
      </x:c>
      <x:c r="AD523" s="34" t="n">
        <x:f>EOMONTH(WorkforceData[[#This Row],[Training Date]],0)</x:f>
        <x:v>45443</x:v>
      </x:c>
      <x:c r="AE523" s="32" t="str">
        <x:f>IF(M523&lt;H523,"Existing Employee",IF(U523="","No Assignment",IF(V523=0,"0 Days",IF(V523&lt;=7,"1-7 Days",IF(V523&lt;=14,"8-14 Days",IF(V523&lt;=21,"15-21 Days","21+ Days"))))))</x:f>
        <x:v>Existing Employee</x:v>
      </x:c>
      <x:c r="AF52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23" s="33" t="n">
        <x:f>--(WorkforceData[[#This Row],[Total Days Worked]]&gt;=121)</x:f>
        <x:v>1</x:v>
      </x:c>
    </x:row>
    <x:row r="524">
      <x:c r="A524" s="236" t="str">
        <x:v>TRN-0523</x:v>
      </x:c>
      <x:c r="B524" s="243"/>
      <x:c r="C524" s="243"/>
      <x:c r="D524" s="243"/>
      <x:c r="E524" s="243"/>
      <x:c r="F524" s="14" t="str">
        <x:v>Recruiter D</x:v>
      </x:c>
      <x:c r="G524" s="14" t="str">
        <x:v>Training Center B</x:v>
      </x:c>
      <x:c r="H524" s="28">
        <x:v>45441</x:v>
      </x:c>
      <x:c r="I524" s="14">
        <x:v>2024</x:v>
      </x:c>
      <x:c r="J524" s="14" t="s">
        <x:v>118</x:v>
      </x:c>
      <x:c r="K524" s="14">
        <x:v>17</x:v>
      </x:c>
      <x:c r="L524" s="29" t="s">
        <x:v>119</x:v>
      </x:c>
      <x:c r="M524" s="28">
        <x:v>45434</x:v>
      </x:c>
      <x:c r="N524" s="14"/>
      <x:c r="O524" s="14">
        <x:v>817</x:v>
      </x:c>
      <x:c r="P524" s="14" t="s">
        <x:v>122</x:v>
      </x:c>
      <x:c r="Q524" s="14" t="s">
        <x:v>25</x:v>
      </x:c>
      <x:c r="R524" s="14"/>
      <x:c r="S524" s="14" t="s">
        <x:v>105</x:v>
      </x:c>
      <x:c r="T524" s="14" t="str">
        <x:v>Region D</x:v>
      </x:c>
      <x:c r="U524" s="28">
        <x:v>45512</x:v>
      </x:c>
      <x:c r="V524" s="30">
        <x:v>71</x:v>
      </x:c>
      <x:c r="W524" s="14" t="s">
        <x:v>114</x:v>
      </x:c>
      <x:c r="X524" s="14" t="s">
        <x:v>115</x:v>
      </x:c>
      <x:c r="Y524" s="32" t="str">
        <x:v>TRN-0523|20240529</x:v>
      </x:c>
      <x:c r="Z524" s="32" t="str" cm="1">
        <x:f t="array" ref="Z52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524" s="33" t="n">
        <x:f>--OR(WorkforceData[[#This Row],[Status]]="Active",WorkforceData[[#This Row],[Promoted]]="Yes",WorkforceData[[#This Row],[Total Days Worked]]&gt;=121)</x:f>
        <x:v>1</x:v>
      </x:c>
      <x:c r="AB524" s="33" t="n">
        <x:f>IF(AND(Q524="Terminated",R524="",O524=0),1,0)</x:f>
        <x:v>0</x:v>
      </x:c>
      <x:c r="AC524" s="33" t="n">
        <x:f>--OR(WorkforceData[[#This Row],[Status]]="Resigned",WorkforceData[[#This Row],[Status After Training]]="Withdrew")</x:f>
        <x:v>1</x:v>
      </x:c>
      <x:c r="AD524" s="34" t="n">
        <x:f>EOMONTH(WorkforceData[[#This Row],[Training Date]],0)</x:f>
        <x:v>45443</x:v>
      </x:c>
      <x:c r="AE524" s="32" t="str">
        <x:f>IF(M524&lt;H524,"Existing Employee",IF(U524="","No Assignment",IF(V524=0,"0 Days",IF(V524&lt;=7,"1-7 Days",IF(V524&lt;=14,"8-14 Days",IF(V524&lt;=21,"15-21 Days","21+ Days"))))))</x:f>
        <x:v>Existing Employee</x:v>
      </x:c>
      <x:c r="AF52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24" s="33" t="n">
        <x:f>--(WorkforceData[[#This Row],[Total Days Worked]]&gt;=121)</x:f>
        <x:v>1</x:v>
      </x:c>
    </x:row>
    <x:row r="525">
      <x:c r="A525" s="236" t="str">
        <x:v>TRN-0524</x:v>
      </x:c>
      <x:c r="B525" s="243"/>
      <x:c r="C525" s="243"/>
      <x:c r="D525" s="243"/>
      <x:c r="E525" s="243"/>
      <x:c r="F525" s="14" t="str">
        <x:v>Recruiter B</x:v>
      </x:c>
      <x:c r="G525" s="14" t="str">
        <x:v>Training Center B</x:v>
      </x:c>
      <x:c r="H525" s="28">
        <x:v>45441</x:v>
      </x:c>
      <x:c r="I525" s="14">
        <x:v>2024</x:v>
      </x:c>
      <x:c r="J525" s="14" t="s">
        <x:v>118</x:v>
      </x:c>
      <x:c r="K525" s="14">
        <x:v>17</x:v>
      </x:c>
      <x:c r="L525" s="29" t="s">
        <x:v>119</x:v>
      </x:c>
      <x:c r="M525" s="28">
        <x:v>45441</x:v>
      </x:c>
      <x:c r="N525" s="28">
        <x:v>45469</x:v>
      </x:c>
      <x:c r="O525" s="14">
        <x:v>28</x:v>
      </x:c>
      <x:c r="P525" s="14" t="s">
        <x:v>102</x:v>
      </x:c>
      <x:c r="Q525" s="14" t="s">
        <x:v>103</x:v>
      </x:c>
      <x:c r="R525" s="14" t="s">
        <x:v>104</x:v>
      </x:c>
      <x:c r="S525" s="14" t="s">
        <x:v>105</x:v>
      </x:c>
      <x:c r="T525" s="14" t="str">
        <x:v>Region B</x:v>
      </x:c>
      <x:c r="U525" s="28">
        <x:v>45455</x:v>
      </x:c>
      <x:c r="V525" s="30">
        <x:v>14</x:v>
      </x:c>
      <x:c r="W525" s="14" t="s">
        <x:v>45</x:v>
      </x:c>
      <x:c r="X525" s="14" t="s">
        <x:v>106</x:v>
      </x:c>
      <x:c r="Y525" s="32" t="str">
        <x:v>TRN-0524|20240529</x:v>
      </x:c>
      <x:c r="Z525" s="32" t="str" cm="1">
        <x:f t="array" ref="Z52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525" s="33" t="n">
        <x:f>--OR(WorkforceData[[#This Row],[Status]]="Active",WorkforceData[[#This Row],[Promoted]]="Yes",WorkforceData[[#This Row],[Total Days Worked]]&gt;=121)</x:f>
        <x:v>0</x:v>
      </x:c>
      <x:c r="AB525" s="33" t="n">
        <x:f>IF(AND(Q525="Terminated",R525="",O525=0),1,0)</x:f>
        <x:v>0</x:v>
      </x:c>
      <x:c r="AC525" s="33" t="n">
        <x:f>--OR(WorkforceData[[#This Row],[Status]]="Resigned",WorkforceData[[#This Row],[Status After Training]]="Withdrew")</x:f>
        <x:v>1</x:v>
      </x:c>
      <x:c r="AD525" s="34" t="n">
        <x:f>EOMONTH(WorkforceData[[#This Row],[Training Date]],0)</x:f>
        <x:v>45443</x:v>
      </x:c>
      <x:c r="AE525" s="32" t="str">
        <x:f>IF(M525&lt;H525,"Existing Employee",IF(U525="","No Assignment",IF(V525=0,"0 Days",IF(V525&lt;=7,"1-7 Days",IF(V525&lt;=14,"8-14 Days",IF(V525&lt;=21,"15-21 Days","21+ Days"))))))</x:f>
        <x:v>8-14 Days</x:v>
      </x:c>
      <x:c r="AF52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525" s="33" t="n">
        <x:f>--(WorkforceData[[#This Row],[Total Days Worked]]&gt;=121)</x:f>
        <x:v>0</x:v>
      </x:c>
    </x:row>
    <x:row r="526">
      <x:c r="A526" s="236" t="str">
        <x:v>TRN-0525</x:v>
      </x:c>
      <x:c r="B526" s="243"/>
      <x:c r="C526" s="243"/>
      <x:c r="D526" s="243"/>
      <x:c r="E526" s="243"/>
      <x:c r="F526" s="14" t="str">
        <x:v>Recruiter C</x:v>
      </x:c>
      <x:c r="G526" s="14" t="str">
        <x:v>Training Center B</x:v>
      </x:c>
      <x:c r="H526" s="28">
        <x:v>45441</x:v>
      </x:c>
      <x:c r="I526" s="14">
        <x:v>2024</x:v>
      </x:c>
      <x:c r="J526" s="14" t="s">
        <x:v>118</x:v>
      </x:c>
      <x:c r="K526" s="14">
        <x:v>17</x:v>
      </x:c>
      <x:c r="L526" s="29" t="s">
        <x:v>119</x:v>
      </x:c>
      <x:c r="M526" s="28">
        <x:v>45431</x:v>
      </x:c>
      <x:c r="N526" s="14"/>
      <x:c r="O526" s="14">
        <x:v>820</x:v>
      </x:c>
      <x:c r="P526" s="14" t="s">
        <x:v>122</x:v>
      </x:c>
      <x:c r="Q526" s="14" t="s">
        <x:v>25</x:v>
      </x:c>
      <x:c r="R526" s="14"/>
      <x:c r="S526" s="14" t="s">
        <x:v>108</x:v>
      </x:c>
      <x:c r="T526" s="14" t="str">
        <x:v>Region D</x:v>
      </x:c>
      <x:c r="U526" s="28">
        <x:v>45461</x:v>
      </x:c>
      <x:c r="V526" s="30">
        <x:v>20</x:v>
      </x:c>
      <x:c r="W526" s="14" t="s">
        <x:v>112</x:v>
      </x:c>
      <x:c r="X526" s="14" t="s">
        <x:v>106</x:v>
      </x:c>
      <x:c r="Y526" s="32" t="str">
        <x:v>TRN-0525|20240529</x:v>
      </x:c>
      <x:c r="Z526" s="32" t="str" cm="1">
        <x:f t="array" ref="Z52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526" s="33" t="n">
        <x:f>--OR(WorkforceData[[#This Row],[Status]]="Active",WorkforceData[[#This Row],[Promoted]]="Yes",WorkforceData[[#This Row],[Total Days Worked]]&gt;=121)</x:f>
        <x:v>1</x:v>
      </x:c>
      <x:c r="AB526" s="33" t="n">
        <x:f>IF(AND(Q526="Terminated",R526="",O526=0),1,0)</x:f>
        <x:v>0</x:v>
      </x:c>
      <x:c r="AC526" s="33" t="n">
        <x:f>--OR(WorkforceData[[#This Row],[Status]]="Resigned",WorkforceData[[#This Row],[Status After Training]]="Withdrew")</x:f>
        <x:v>0</x:v>
      </x:c>
      <x:c r="AD526" s="34" t="n">
        <x:f>EOMONTH(WorkforceData[[#This Row],[Training Date]],0)</x:f>
        <x:v>45443</x:v>
      </x:c>
      <x:c r="AE526" s="32" t="str">
        <x:f>IF(M526&lt;H526,"Existing Employee",IF(U526="","No Assignment",IF(V526=0,"0 Days",IF(V526&lt;=7,"1-7 Days",IF(V526&lt;=14,"8-14 Days",IF(V526&lt;=21,"15-21 Days","21+ Days"))))))</x:f>
        <x:v>Existing Employee</x:v>
      </x:c>
      <x:c r="AF52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26" s="33" t="n">
        <x:f>--(WorkforceData[[#This Row],[Total Days Worked]]&gt;=121)</x:f>
        <x:v>1</x:v>
      </x:c>
    </x:row>
    <x:row r="527">
      <x:c r="A527" s="236" t="str">
        <x:v>TRN-0526</x:v>
      </x:c>
      <x:c r="B527" s="243"/>
      <x:c r="C527" s="243"/>
      <x:c r="D527" s="243"/>
      <x:c r="E527" s="243"/>
      <x:c r="F527" s="14" t="str">
        <x:v>Recruiter E</x:v>
      </x:c>
      <x:c r="G527" s="14" t="str">
        <x:v>Training Center B</x:v>
      </x:c>
      <x:c r="H527" s="28">
        <x:v>45441</x:v>
      </x:c>
      <x:c r="I527" s="14">
        <x:v>2024</x:v>
      </x:c>
      <x:c r="J527" s="14" t="s">
        <x:v>118</x:v>
      </x:c>
      <x:c r="K527" s="14">
        <x:v>17</x:v>
      </x:c>
      <x:c r="L527" s="29" t="s">
        <x:v>119</x:v>
      </x:c>
      <x:c r="M527" s="28">
        <x:v>45434</x:v>
      </x:c>
      <x:c r="N527" s="14"/>
      <x:c r="O527" s="14">
        <x:v>817</x:v>
      </x:c>
      <x:c r="P527" s="14" t="s">
        <x:v>122</x:v>
      </x:c>
      <x:c r="Q527" s="14" t="s">
        <x:v>25</x:v>
      </x:c>
      <x:c r="R527" s="14"/>
      <x:c r="S527" s="14" t="s">
        <x:v>108</x:v>
      </x:c>
      <x:c r="T527" s="14" t="str">
        <x:v>Region B</x:v>
      </x:c>
      <x:c r="U527" s="28">
        <x:v>45448</x:v>
      </x:c>
      <x:c r="V527" s="30">
        <x:v>7</x:v>
      </x:c>
      <x:c r="W527" s="14" t="s">
        <x:v>109</x:v>
      </x:c>
      <x:c r="X527" s="14" t="s">
        <x:v>106</x:v>
      </x:c>
      <x:c r="Y527" s="32" t="str">
        <x:v>TRN-0526|20240529</x:v>
      </x:c>
      <x:c r="Z527" s="32" t="str" cm="1">
        <x:f t="array" ref="Z52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527" s="33" t="n">
        <x:f>--OR(WorkforceData[[#This Row],[Status]]="Active",WorkforceData[[#This Row],[Promoted]]="Yes",WorkforceData[[#This Row],[Total Days Worked]]&gt;=121)</x:f>
        <x:v>1</x:v>
      </x:c>
      <x:c r="AB527" s="33" t="n">
        <x:f>IF(AND(Q527="Terminated",R527="",O527=0),1,0)</x:f>
        <x:v>0</x:v>
      </x:c>
      <x:c r="AC527" s="33" t="n">
        <x:f>--OR(WorkforceData[[#This Row],[Status]]="Resigned",WorkforceData[[#This Row],[Status After Training]]="Withdrew")</x:f>
        <x:v>0</x:v>
      </x:c>
      <x:c r="AD527" s="34" t="n">
        <x:f>EOMONTH(WorkforceData[[#This Row],[Training Date]],0)</x:f>
        <x:v>45443</x:v>
      </x:c>
      <x:c r="AE527" s="32" t="str">
        <x:f>IF(M527&lt;H527,"Existing Employee",IF(U527="","No Assignment",IF(V527=0,"0 Days",IF(V527&lt;=7,"1-7 Days",IF(V527&lt;=14,"8-14 Days",IF(V527&lt;=21,"15-21 Days","21+ Days"))))))</x:f>
        <x:v>Existing Employee</x:v>
      </x:c>
      <x:c r="AF52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27" s="33" t="n">
        <x:f>--(WorkforceData[[#This Row],[Total Days Worked]]&gt;=121)</x:f>
        <x:v>1</x:v>
      </x:c>
    </x:row>
    <x:row r="528">
      <x:c r="A528" s="236" t="str">
        <x:v>TRN-0527</x:v>
      </x:c>
      <x:c r="B528" s="243"/>
      <x:c r="C528" s="243"/>
      <x:c r="D528" s="243"/>
      <x:c r="E528" s="243"/>
      <x:c r="F528" s="14" t="str">
        <x:v>Recruiter B</x:v>
      </x:c>
      <x:c r="G528" s="14" t="str">
        <x:v>Training Center B</x:v>
      </x:c>
      <x:c r="H528" s="28">
        <x:v>45441</x:v>
      </x:c>
      <x:c r="I528" s="14">
        <x:v>2024</x:v>
      </x:c>
      <x:c r="J528" s="14" t="s">
        <x:v>118</x:v>
      </x:c>
      <x:c r="K528" s="14">
        <x:v>17</x:v>
      </x:c>
      <x:c r="L528" s="29" t="s">
        <x:v>119</x:v>
      </x:c>
      <x:c r="M528" s="28">
        <x:v>45439</x:v>
      </x:c>
      <x:c r="N528" s="14"/>
      <x:c r="O528" s="14">
        <x:v>812</x:v>
      </x:c>
      <x:c r="P528" s="14" t="s">
        <x:v>122</x:v>
      </x:c>
      <x:c r="Q528" s="14" t="s">
        <x:v>25</x:v>
      </x:c>
      <x:c r="R528" s="14"/>
      <x:c r="S528" s="14" t="s">
        <x:v>105</x:v>
      </x:c>
      <x:c r="T528" s="14" t="str">
        <x:v>Region A</x:v>
      </x:c>
      <x:c r="U528" s="28">
        <x:v>45509</x:v>
      </x:c>
      <x:c r="V528" s="30">
        <x:v>68</x:v>
      </x:c>
      <x:c r="W528" s="14" t="s">
        <x:v>114</x:v>
      </x:c>
      <x:c r="X528" s="14" t="s">
        <x:v>115</x:v>
      </x:c>
      <x:c r="Y528" s="32" t="str">
        <x:v>TRN-0527|20240529</x:v>
      </x:c>
      <x:c r="Z528" s="32" t="str" cm="1">
        <x:f t="array" ref="Z52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528" s="33" t="n">
        <x:f>--OR(WorkforceData[[#This Row],[Status]]="Active",WorkforceData[[#This Row],[Promoted]]="Yes",WorkforceData[[#This Row],[Total Days Worked]]&gt;=121)</x:f>
        <x:v>1</x:v>
      </x:c>
      <x:c r="AB528" s="33" t="n">
        <x:f>IF(AND(Q528="Terminated",R528="",O528=0),1,0)</x:f>
        <x:v>0</x:v>
      </x:c>
      <x:c r="AC528" s="33" t="n">
        <x:f>--OR(WorkforceData[[#This Row],[Status]]="Resigned",WorkforceData[[#This Row],[Status After Training]]="Withdrew")</x:f>
        <x:v>1</x:v>
      </x:c>
      <x:c r="AD528" s="34" t="n">
        <x:f>EOMONTH(WorkforceData[[#This Row],[Training Date]],0)</x:f>
        <x:v>45443</x:v>
      </x:c>
      <x:c r="AE528" s="32" t="str">
        <x:f>IF(M528&lt;H528,"Existing Employee",IF(U528="","No Assignment",IF(V528=0,"0 Days",IF(V528&lt;=7,"1-7 Days",IF(V528&lt;=14,"8-14 Days",IF(V528&lt;=21,"15-21 Days","21+ Days"))))))</x:f>
        <x:v>Existing Employee</x:v>
      </x:c>
      <x:c r="AF52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28" s="33" t="n">
        <x:f>--(WorkforceData[[#This Row],[Total Days Worked]]&gt;=121)</x:f>
        <x:v>1</x:v>
      </x:c>
    </x:row>
    <x:row r="529">
      <x:c r="A529" s="236" t="str">
        <x:v>TRN-0528</x:v>
      </x:c>
      <x:c r="B529" s="243"/>
      <x:c r="C529" s="243"/>
      <x:c r="D529" s="243"/>
      <x:c r="E529" s="243"/>
      <x:c r="F529" s="14" t="str">
        <x:v>Recruiter H</x:v>
      </x:c>
      <x:c r="G529" s="14" t="str">
        <x:v>Training Center B</x:v>
      </x:c>
      <x:c r="H529" s="28">
        <x:v>45441</x:v>
      </x:c>
      <x:c r="I529" s="14">
        <x:v>2024</x:v>
      </x:c>
      <x:c r="J529" s="14" t="s">
        <x:v>118</x:v>
      </x:c>
      <x:c r="K529" s="14">
        <x:v>17</x:v>
      </x:c>
      <x:c r="L529" s="29" t="s">
        <x:v>119</x:v>
      </x:c>
      <x:c r="M529" s="28">
        <x:v>45436</x:v>
      </x:c>
      <x:c r="N529" s="28">
        <x:v>45669</x:v>
      </x:c>
      <x:c r="O529" s="14">
        <x:v>233</x:v>
      </x:c>
      <x:c r="P529" s="14" t="s">
        <x:v>107</x:v>
      </x:c>
      <x:c r="Q529" s="14" t="s">
        <x:v>103</x:v>
      </x:c>
      <x:c r="R529" s="14" t="s">
        <x:v>104</x:v>
      </x:c>
      <x:c r="S529" s="14" t="s">
        <x:v>108</x:v>
      </x:c>
      <x:c r="T529" s="14" t="str">
        <x:v>Region D</x:v>
      </x:c>
      <x:c r="U529" s="28">
        <x:v>45448</x:v>
      </x:c>
      <x:c r="V529" s="30">
        <x:v>7</x:v>
      </x:c>
      <x:c r="W529" s="14" t="s">
        <x:v>109</x:v>
      </x:c>
      <x:c r="X529" s="14" t="s">
        <x:v>106</x:v>
      </x:c>
      <x:c r="Y529" s="32" t="str">
        <x:v>TRN-0528|20240529</x:v>
      </x:c>
      <x:c r="Z529" s="32" t="str" cm="1">
        <x:f t="array" ref="Z52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529" s="33" t="n">
        <x:f>--OR(WorkforceData[[#This Row],[Status]]="Active",WorkforceData[[#This Row],[Promoted]]="Yes",WorkforceData[[#This Row],[Total Days Worked]]&gt;=121)</x:f>
        <x:v>1</x:v>
      </x:c>
      <x:c r="AB529" s="33" t="n">
        <x:f>IF(AND(Q529="Terminated",R529="",O529=0),1,0)</x:f>
        <x:v>0</x:v>
      </x:c>
      <x:c r="AC529" s="33" t="n">
        <x:f>--OR(WorkforceData[[#This Row],[Status]]="Resigned",WorkforceData[[#This Row],[Status After Training]]="Withdrew")</x:f>
        <x:v>1</x:v>
      </x:c>
      <x:c r="AD529" s="34" t="n">
        <x:f>EOMONTH(WorkforceData[[#This Row],[Training Date]],0)</x:f>
        <x:v>45443</x:v>
      </x:c>
      <x:c r="AE529" s="32" t="str">
        <x:f>IF(M529&lt;H529,"Existing Employee",IF(U529="","No Assignment",IF(V529=0,"0 Days",IF(V529&lt;=7,"1-7 Days",IF(V529&lt;=14,"8-14 Days",IF(V529&lt;=21,"15-21 Days","21+ Days"))))))</x:f>
        <x:v>Existing Employee</x:v>
      </x:c>
      <x:c r="AF52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29" s="33" t="n">
        <x:f>--(WorkforceData[[#This Row],[Total Days Worked]]&gt;=121)</x:f>
        <x:v>1</x:v>
      </x:c>
    </x:row>
    <x:row r="530">
      <x:c r="A530" s="236" t="str">
        <x:v>TRN-0529</x:v>
      </x:c>
      <x:c r="B530" s="243"/>
      <x:c r="C530" s="243"/>
      <x:c r="D530" s="243"/>
      <x:c r="E530" s="243"/>
      <x:c r="F530" s="14" t="str">
        <x:v>Recruiter C</x:v>
      </x:c>
      <x:c r="G530" s="14" t="str">
        <x:v>Training Center A</x:v>
      </x:c>
      <x:c r="H530" s="28">
        <x:v>45450</x:v>
      </x:c>
      <x:c r="I530" s="14">
        <x:v>2024</x:v>
      </x:c>
      <x:c r="J530" s="14" t="s">
        <x:v>129</x:v>
      </x:c>
      <x:c r="K530" s="14">
        <x:v>16</x:v>
      </x:c>
      <x:c r="L530" s="29" t="s">
        <x:v>119</x:v>
      </x:c>
      <x:c r="M530" s="28">
        <x:v>45447</x:v>
      </x:c>
      <x:c r="N530" s="28">
        <x:v>45614</x:v>
      </x:c>
      <x:c r="O530" s="14">
        <x:v>167</x:v>
      </x:c>
      <x:c r="P530" s="14" t="s">
        <x:v>113</x:v>
      </x:c>
      <x:c r="Q530" s="14" t="s">
        <x:v>103</x:v>
      </x:c>
      <x:c r="R530" s="14" t="s">
        <x:v>104</x:v>
      </x:c>
      <x:c r="S530" s="14" t="s">
        <x:v>105</x:v>
      </x:c>
      <x:c r="T530" s="14" t="str">
        <x:v>Region E</x:v>
      </x:c>
      <x:c r="U530" s="28">
        <x:v>45454</x:v>
      </x:c>
      <x:c r="V530" s="30">
        <x:v>4</x:v>
      </x:c>
      <x:c r="W530" s="14" t="s">
        <x:v>109</x:v>
      </x:c>
      <x:c r="X530" s="14" t="s">
        <x:v>106</x:v>
      </x:c>
      <x:c r="Y530" s="32" t="str">
        <x:v>TRN-0529|20240607</x:v>
      </x:c>
      <x:c r="Z530" s="32" t="str" cm="1">
        <x:f t="array" ref="Z53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Complete</x:v>
      </x:c>
      <x:c r="AA530" s="33" t="n">
        <x:f>--OR(WorkforceData[[#This Row],[Status]]="Active",WorkforceData[[#This Row],[Promoted]]="Yes",WorkforceData[[#This Row],[Total Days Worked]]&gt;=121)</x:f>
        <x:v>1</x:v>
      </x:c>
      <x:c r="AB530" s="33" t="n">
        <x:f>IF(AND(Q530="Terminated",R530="",O530=0),1,0)</x:f>
        <x:v>0</x:v>
      </x:c>
      <x:c r="AC530" s="33" t="n">
        <x:f>--OR(WorkforceData[[#This Row],[Status]]="Resigned",WorkforceData[[#This Row],[Status After Training]]="Withdrew")</x:f>
        <x:v>1</x:v>
      </x:c>
      <x:c r="AD530" s="34" t="n">
        <x:f>EOMONTH(WorkforceData[[#This Row],[Training Date]],0)</x:f>
        <x:v>45473</x:v>
      </x:c>
      <x:c r="AE530" s="32" t="str">
        <x:f>IF(M530&lt;H530,"Existing Employee",IF(U530="","No Assignment",IF(V530=0,"0 Days",IF(V530&lt;=7,"1-7 Days",IF(V530&lt;=14,"8-14 Days",IF(V530&lt;=21,"15-21 Days","21+ Days"))))))</x:f>
        <x:v>Existing Employee</x:v>
      </x:c>
      <x:c r="AF53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30" s="33" t="n">
        <x:f>--(WorkforceData[[#This Row],[Total Days Worked]]&gt;=121)</x:f>
        <x:v>1</x:v>
      </x:c>
    </x:row>
    <x:row r="531">
      <x:c r="A531" s="236" t="str">
        <x:v>TRN-0530</x:v>
      </x:c>
      <x:c r="B531" s="243"/>
      <x:c r="C531" s="243"/>
      <x:c r="D531" s="243"/>
      <x:c r="E531" s="243"/>
      <x:c r="F531" s="14" t="str">
        <x:v>Recruiter C</x:v>
      </x:c>
      <x:c r="G531" s="14" t="str">
        <x:v>Training Center A</x:v>
      </x:c>
      <x:c r="H531" s="28">
        <x:v>45450</x:v>
      </x:c>
      <x:c r="I531" s="14">
        <x:v>2024</x:v>
      </x:c>
      <x:c r="J531" s="14" t="s">
        <x:v>129</x:v>
      </x:c>
      <x:c r="K531" s="14">
        <x:v>16</x:v>
      </x:c>
      <x:c r="L531" s="29" t="s">
        <x:v>119</x:v>
      </x:c>
      <x:c r="M531" s="28">
        <x:v>45450</x:v>
      </x:c>
      <x:c r="N531" s="28">
        <x:v>45653</x:v>
      </x:c>
      <x:c r="O531" s="14">
        <x:v>203</x:v>
      </x:c>
      <x:c r="P531" s="14" t="s">
        <x:v>107</x:v>
      </x:c>
      <x:c r="Q531" s="14" t="s">
        <x:v>103</x:v>
      </x:c>
      <x:c r="R531" s="14" t="s">
        <x:v>111</x:v>
      </x:c>
      <x:c r="S531" s="14" t="s">
        <x:v>108</x:v>
      </x:c>
      <x:c r="T531" s="14" t="str">
        <x:v>Region D</x:v>
      </x:c>
      <x:c r="U531" s="28">
        <x:v>45452</x:v>
      </x:c>
      <x:c r="V531" s="30">
        <x:v>2</x:v>
      </x:c>
      <x:c r="W531" s="14" t="s">
        <x:v>109</x:v>
      </x:c>
      <x:c r="X531" s="14" t="s">
        <x:v>106</x:v>
      </x:c>
      <x:c r="Y531" s="32" t="str">
        <x:v>TRN-0530|20240607</x:v>
      </x:c>
      <x:c r="Z531" s="32" t="str" cm="1">
        <x:f t="array" ref="Z53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531" s="33" t="n">
        <x:f>--OR(WorkforceData[[#This Row],[Status]]="Active",WorkforceData[[#This Row],[Promoted]]="Yes",WorkforceData[[#This Row],[Total Days Worked]]&gt;=121)</x:f>
        <x:v>1</x:v>
      </x:c>
      <x:c r="AB531" s="33" t="n">
        <x:f>IF(AND(Q531="Terminated",R531="",O531=0),1,0)</x:f>
        <x:v>0</x:v>
      </x:c>
      <x:c r="AC531" s="33" t="n">
        <x:f>--OR(WorkforceData[[#This Row],[Status]]="Resigned",WorkforceData[[#This Row],[Status After Training]]="Withdrew")</x:f>
        <x:v>1</x:v>
      </x:c>
      <x:c r="AD531" s="34" t="n">
        <x:f>EOMONTH(WorkforceData[[#This Row],[Training Date]],0)</x:f>
        <x:v>45473</x:v>
      </x:c>
      <x:c r="AE531" s="32" t="str">
        <x:f>IF(M531&lt;H531,"Existing Employee",IF(U531="","No Assignment",IF(V531=0,"0 Days",IF(V531&lt;=7,"1-7 Days",IF(V531&lt;=14,"8-14 Days",IF(V531&lt;=21,"15-21 Days","21+ Days"))))))</x:f>
        <x:v>1-7 Days</x:v>
      </x:c>
      <x:c r="AF53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31" s="33" t="n">
        <x:f>--(WorkforceData[[#This Row],[Total Days Worked]]&gt;=121)</x:f>
        <x:v>1</x:v>
      </x:c>
    </x:row>
    <x:row r="532">
      <x:c r="A532" s="236" t="str">
        <x:v>TRN-0531</x:v>
      </x:c>
      <x:c r="B532" s="243"/>
      <x:c r="C532" s="243"/>
      <x:c r="D532" s="243"/>
      <x:c r="E532" s="243"/>
      <x:c r="F532" s="14" t="str">
        <x:v>Recruiter F</x:v>
      </x:c>
      <x:c r="G532" s="14" t="str">
        <x:v>Training Center A</x:v>
      </x:c>
      <x:c r="H532" s="28">
        <x:v>45450</x:v>
      </x:c>
      <x:c r="I532" s="14">
        <x:v>2024</x:v>
      </x:c>
      <x:c r="J532" s="14" t="s">
        <x:v>129</x:v>
      </x:c>
      <x:c r="K532" s="14">
        <x:v>16</x:v>
      </x:c>
      <x:c r="L532" s="29" t="s">
        <x:v>119</x:v>
      </x:c>
      <x:c r="M532" s="28">
        <x:v>45450</x:v>
      </x:c>
      <x:c r="N532" s="28">
        <x:v>45541</x:v>
      </x:c>
      <x:c r="O532" s="14">
        <x:v>91</x:v>
      </x:c>
      <x:c r="P532" s="14" t="s">
        <x:v>113</x:v>
      </x:c>
      <x:c r="Q532" s="14" t="s">
        <x:v>103</x:v>
      </x:c>
      <x:c r="R532" s="14" t="s">
        <x:v>104</x:v>
      </x:c>
      <x:c r="S532" s="14" t="s">
        <x:v>105</x:v>
      </x:c>
      <x:c r="T532" s="14"/>
      <x:c r="U532" s="28"/>
      <x:c r="V532" s="30"/>
      <x:c r="W532" s="14"/>
      <x:c r="X532" s="14" t="s">
        <x:v>71</x:v>
      </x:c>
      <x:c r="Y532" s="32" t="str">
        <x:v>TRN-0531|20240607</x:v>
      </x:c>
      <x:c r="Z532" s="32" t="str" cm="1">
        <x:f t="array" ref="Z53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532" s="33" t="n">
        <x:f>--OR(WorkforceData[[#This Row],[Status]]="Active",WorkforceData[[#This Row],[Promoted]]="Yes",WorkforceData[[#This Row],[Total Days Worked]]&gt;=121)</x:f>
        <x:v>0</x:v>
      </x:c>
      <x:c r="AB532" s="33" t="n">
        <x:f>IF(AND(Q532="Terminated",R532="",O532=0),1,0)</x:f>
        <x:v>0</x:v>
      </x:c>
      <x:c r="AC532" s="33" t="n">
        <x:f>--OR(WorkforceData[[#This Row],[Status]]="Resigned",WorkforceData[[#This Row],[Status After Training]]="Withdrew")</x:f>
        <x:v>1</x:v>
      </x:c>
      <x:c r="AD532" s="34" t="n">
        <x:f>EOMONTH(WorkforceData[[#This Row],[Training Date]],0)</x:f>
        <x:v>45473</x:v>
      </x:c>
      <x:c r="AE532" s="32" t="str">
        <x:f>IF(M532&lt;H532,"Existing Employee",IF(U532="","No Assignment",IF(V532=0,"0 Days",IF(V532&lt;=7,"1-7 Days",IF(V532&lt;=14,"8-14 Days",IF(V532&lt;=21,"15-21 Days","21+ Days"))))))</x:f>
        <x:v>No Assignment</x:v>
      </x:c>
      <x:c r="AF53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91-120 Days</x:v>
      </x:c>
      <x:c r="AG532" s="33" t="n">
        <x:f>--(WorkforceData[[#This Row],[Total Days Worked]]&gt;=121)</x:f>
        <x:v>0</x:v>
      </x:c>
    </x:row>
    <x:row r="533">
      <x:c r="A533" s="236" t="str">
        <x:v>TRN-0532</x:v>
      </x:c>
      <x:c r="B533" s="243"/>
      <x:c r="C533" s="243"/>
      <x:c r="D533" s="243"/>
      <x:c r="E533" s="243"/>
      <x:c r="F533" s="14" t="str">
        <x:v>Recruiter B</x:v>
      </x:c>
      <x:c r="G533" s="14" t="str">
        <x:v>Training Center A</x:v>
      </x:c>
      <x:c r="H533" s="28">
        <x:v>45450</x:v>
      </x:c>
      <x:c r="I533" s="14">
        <x:v>2024</x:v>
      </x:c>
      <x:c r="J533" s="14" t="s">
        <x:v>129</x:v>
      </x:c>
      <x:c r="K533" s="14">
        <x:v>16</x:v>
      </x:c>
      <x:c r="L533" s="29" t="s">
        <x:v>119</x:v>
      </x:c>
      <x:c r="M533" s="28">
        <x:v>45449</x:v>
      </x:c>
      <x:c r="N533" s="14"/>
      <x:c r="O533" s="14">
        <x:v>802</x:v>
      </x:c>
      <x:c r="P533" s="14" t="s">
        <x:v>122</x:v>
      </x:c>
      <x:c r="Q533" s="14" t="s">
        <x:v>38</x:v>
      </x:c>
      <x:c r="R533" s="14"/>
      <x:c r="S533" s="14" t="s">
        <x:v>108</x:v>
      </x:c>
      <x:c r="T533" s="14" t="str">
        <x:v>Region D</x:v>
      </x:c>
      <x:c r="U533" s="28">
        <x:v>45471</x:v>
      </x:c>
      <x:c r="V533" s="30">
        <x:v>21</x:v>
      </x:c>
      <x:c r="W533" s="14" t="s">
        <x:v>112</x:v>
      </x:c>
      <x:c r="X533" s="14" t="s">
        <x:v>106</x:v>
      </x:c>
      <x:c r="Y533" s="32" t="str">
        <x:v>TRN-0532|20240607</x:v>
      </x:c>
      <x:c r="Z533" s="32" t="str" cm="1">
        <x:f t="array" ref="Z53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533" s="33" t="n">
        <x:f>--OR(WorkforceData[[#This Row],[Status]]="Active",WorkforceData[[#This Row],[Promoted]]="Yes",WorkforceData[[#This Row],[Total Days Worked]]&gt;=121)</x:f>
        <x:v>1</x:v>
      </x:c>
      <x:c r="AB533" s="33" t="n">
        <x:f>IF(AND(Q533="Terminated",R533="",O533=0),1,0)</x:f>
        <x:v>0</x:v>
      </x:c>
      <x:c r="AC533" s="33" t="n">
        <x:f>--OR(WorkforceData[[#This Row],[Status]]="Resigned",WorkforceData[[#This Row],[Status After Training]]="Withdrew")</x:f>
        <x:v>0</x:v>
      </x:c>
      <x:c r="AD533" s="34" t="n">
        <x:f>EOMONTH(WorkforceData[[#This Row],[Training Date]],0)</x:f>
        <x:v>45473</x:v>
      </x:c>
      <x:c r="AE533" s="32" t="str">
        <x:f>IF(M533&lt;H533,"Existing Employee",IF(U533="","No Assignment",IF(V533=0,"0 Days",IF(V533&lt;=7,"1-7 Days",IF(V533&lt;=14,"8-14 Days",IF(V533&lt;=21,"15-21 Days","21+ Days"))))))</x:f>
        <x:v>Existing Employee</x:v>
      </x:c>
      <x:c r="AF53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33" s="33" t="n">
        <x:f>--(WorkforceData[[#This Row],[Total Days Worked]]&gt;=121)</x:f>
        <x:v>1</x:v>
      </x:c>
    </x:row>
    <x:row r="534">
      <x:c r="A534" s="236" t="str">
        <x:v>TRN-0533</x:v>
      </x:c>
      <x:c r="B534" s="243"/>
      <x:c r="C534" s="243"/>
      <x:c r="D534" s="243"/>
      <x:c r="E534" s="243"/>
      <x:c r="F534" s="14" t="str">
        <x:v>Recruiter G</x:v>
      </x:c>
      <x:c r="G534" s="14" t="str">
        <x:v>Training Center A</x:v>
      </x:c>
      <x:c r="H534" s="28">
        <x:v>45450</x:v>
      </x:c>
      <x:c r="I534" s="14">
        <x:v>2024</x:v>
      </x:c>
      <x:c r="J534" s="14" t="s">
        <x:v>129</x:v>
      </x:c>
      <x:c r="K534" s="14">
        <x:v>16</x:v>
      </x:c>
      <x:c r="L534" s="29" t="s">
        <x:v>119</x:v>
      </x:c>
      <x:c r="M534" s="28">
        <x:v>45443</x:v>
      </x:c>
      <x:c r="N534" s="28">
        <x:v>45607</x:v>
      </x:c>
      <x:c r="O534" s="14">
        <x:v>164</x:v>
      </x:c>
      <x:c r="P534" s="14" t="s">
        <x:v>113</x:v>
      </x:c>
      <x:c r="Q534" s="14" t="s">
        <x:v>103</x:v>
      </x:c>
      <x:c r="R534" s="14" t="s">
        <x:v>111</x:v>
      </x:c>
      <x:c r="S534" s="14" t="s">
        <x:v>105</x:v>
      </x:c>
      <x:c r="T534" s="14" t="str">
        <x:v>Region B</x:v>
      </x:c>
      <x:c r="U534" s="28">
        <x:v>45469</x:v>
      </x:c>
      <x:c r="V534" s="30">
        <x:v>19</x:v>
      </x:c>
      <x:c r="W534" s="14" t="s">
        <x:v>112</x:v>
      </x:c>
      <x:c r="X534" s="14" t="s">
        <x:v>106</x:v>
      </x:c>
      <x:c r="Y534" s="32" t="str">
        <x:v>TRN-0533|20240607</x:v>
      </x:c>
      <x:c r="Z534" s="32" t="str" cm="1">
        <x:f t="array" ref="Z53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Complete</x:v>
      </x:c>
      <x:c r="AA534" s="33" t="n">
        <x:f>--OR(WorkforceData[[#This Row],[Status]]="Active",WorkforceData[[#This Row],[Promoted]]="Yes",WorkforceData[[#This Row],[Total Days Worked]]&gt;=121)</x:f>
        <x:v>1</x:v>
      </x:c>
      <x:c r="AB534" s="33" t="n">
        <x:f>IF(AND(Q534="Terminated",R534="",O534=0),1,0)</x:f>
        <x:v>0</x:v>
      </x:c>
      <x:c r="AC534" s="33" t="n">
        <x:f>--OR(WorkforceData[[#This Row],[Status]]="Resigned",WorkforceData[[#This Row],[Status After Training]]="Withdrew")</x:f>
        <x:v>1</x:v>
      </x:c>
      <x:c r="AD534" s="34" t="n">
        <x:f>EOMONTH(WorkforceData[[#This Row],[Training Date]],0)</x:f>
        <x:v>45473</x:v>
      </x:c>
      <x:c r="AE534" s="32" t="str">
        <x:f>IF(M534&lt;H534,"Existing Employee",IF(U534="","No Assignment",IF(V534=0,"0 Days",IF(V534&lt;=7,"1-7 Days",IF(V534&lt;=14,"8-14 Days",IF(V534&lt;=21,"15-21 Days","21+ Days"))))))</x:f>
        <x:v>Existing Employee</x:v>
      </x:c>
      <x:c r="AF53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34" s="33" t="n">
        <x:f>--(WorkforceData[[#This Row],[Total Days Worked]]&gt;=121)</x:f>
        <x:v>1</x:v>
      </x:c>
    </x:row>
    <x:row r="535">
      <x:c r="A535" s="236" t="str">
        <x:v>TRN-0534</x:v>
      </x:c>
      <x:c r="B535" s="243"/>
      <x:c r="C535" s="243"/>
      <x:c r="D535" s="243"/>
      <x:c r="E535" s="243"/>
      <x:c r="F535" s="14" t="str">
        <x:v>Recruiter C</x:v>
      </x:c>
      <x:c r="G535" s="14" t="str">
        <x:v>Training Center A</x:v>
      </x:c>
      <x:c r="H535" s="28">
        <x:v>45450</x:v>
      </x:c>
      <x:c r="I535" s="14">
        <x:v>2024</x:v>
      </x:c>
      <x:c r="J535" s="14" t="s">
        <x:v>129</x:v>
      </x:c>
      <x:c r="K535" s="14">
        <x:v>16</x:v>
      </x:c>
      <x:c r="L535" s="29" t="s">
        <x:v>119</x:v>
      </x:c>
      <x:c r="M535" s="28">
        <x:v>45448</x:v>
      </x:c>
      <x:c r="N535" s="28">
        <x:v>45521</x:v>
      </x:c>
      <x:c r="O535" s="14">
        <x:v>73</x:v>
      </x:c>
      <x:c r="P535" s="14" t="s">
        <x:v>110</x:v>
      </x:c>
      <x:c r="Q535" s="14" t="s">
        <x:v>103</x:v>
      </x:c>
      <x:c r="R535" s="14" t="s">
        <x:v>104</x:v>
      </x:c>
      <x:c r="S535" s="14" t="s">
        <x:v>105</x:v>
      </x:c>
      <x:c r="T535" s="14"/>
      <x:c r="U535" s="28"/>
      <x:c r="V535" s="30"/>
      <x:c r="W535" s="14"/>
      <x:c r="X535" s="14" t="s">
        <x:v>71</x:v>
      </x:c>
      <x:c r="Y535" s="32" t="str">
        <x:v>TRN-0534|20240607</x:v>
      </x:c>
      <x:c r="Z535" s="32" t="str" cm="1">
        <x:f t="array" ref="Z53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535" s="33" t="n">
        <x:f>--OR(WorkforceData[[#This Row],[Status]]="Active",WorkforceData[[#This Row],[Promoted]]="Yes",WorkforceData[[#This Row],[Total Days Worked]]&gt;=121)</x:f>
        <x:v>0</x:v>
      </x:c>
      <x:c r="AB535" s="33" t="n">
        <x:f>IF(AND(Q535="Terminated",R535="",O535=0),1,0)</x:f>
        <x:v>0</x:v>
      </x:c>
      <x:c r="AC535" s="33" t="n">
        <x:f>--OR(WorkforceData[[#This Row],[Status]]="Resigned",WorkforceData[[#This Row],[Status After Training]]="Withdrew")</x:f>
        <x:v>1</x:v>
      </x:c>
      <x:c r="AD535" s="34" t="n">
        <x:f>EOMONTH(WorkforceData[[#This Row],[Training Date]],0)</x:f>
        <x:v>45473</x:v>
      </x:c>
      <x:c r="AE535" s="32" t="str">
        <x:f>IF(M535&lt;H535,"Existing Employee",IF(U535="","No Assignment",IF(V535=0,"0 Days",IF(V535&lt;=7,"1-7 Days",IF(V535&lt;=14,"8-14 Days",IF(V535&lt;=21,"15-21 Days","21+ Days"))))))</x:f>
        <x:v>Existing Employee</x:v>
      </x:c>
      <x:c r="AF53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61-90 Days</x:v>
      </x:c>
      <x:c r="AG535" s="33" t="n">
        <x:f>--(WorkforceData[[#This Row],[Total Days Worked]]&gt;=121)</x:f>
        <x:v>0</x:v>
      </x:c>
    </x:row>
    <x:row r="536">
      <x:c r="A536" s="236" t="str">
        <x:v>TRN-0535</x:v>
      </x:c>
      <x:c r="B536" s="243"/>
      <x:c r="C536" s="243"/>
      <x:c r="D536" s="243"/>
      <x:c r="E536" s="243"/>
      <x:c r="F536" s="14" t="str">
        <x:v>Recruiter E</x:v>
      </x:c>
      <x:c r="G536" s="14" t="str">
        <x:v>Training Center A</x:v>
      </x:c>
      <x:c r="H536" s="28">
        <x:v>45450</x:v>
      </x:c>
      <x:c r="I536" s="14">
        <x:v>2024</x:v>
      </x:c>
      <x:c r="J536" s="14" t="s">
        <x:v>129</x:v>
      </x:c>
      <x:c r="K536" s="14">
        <x:v>16</x:v>
      </x:c>
      <x:c r="L536" s="29" t="s">
        <x:v>119</x:v>
      </x:c>
      <x:c r="M536" s="28">
        <x:v>45450</x:v>
      </x:c>
      <x:c r="N536" s="28">
        <x:v>45473</x:v>
      </x:c>
      <x:c r="O536" s="14">
        <x:v>23</x:v>
      </x:c>
      <x:c r="P536" s="14" t="s">
        <x:v>102</x:v>
      </x:c>
      <x:c r="Q536" s="14" t="s">
        <x:v>103</x:v>
      </x:c>
      <x:c r="R536" s="14" t="s">
        <x:v>111</x:v>
      </x:c>
      <x:c r="S536" s="14" t="s">
        <x:v>105</x:v>
      </x:c>
      <x:c r="T536" s="14" t="str">
        <x:v>Region E</x:v>
      </x:c>
      <x:c r="U536" s="28">
        <x:v>45461</x:v>
      </x:c>
      <x:c r="V536" s="30">
        <x:v>11</x:v>
      </x:c>
      <x:c r="W536" s="14" t="s">
        <x:v>45</x:v>
      </x:c>
      <x:c r="X536" s="14" t="s">
        <x:v>106</x:v>
      </x:c>
      <x:c r="Y536" s="32" t="str">
        <x:v>TRN-0535|20240607</x:v>
      </x:c>
      <x:c r="Z536" s="32" t="str" cm="1">
        <x:f t="array" ref="Z53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536" s="33" t="n">
        <x:f>--OR(WorkforceData[[#This Row],[Status]]="Active",WorkforceData[[#This Row],[Promoted]]="Yes",WorkforceData[[#This Row],[Total Days Worked]]&gt;=121)</x:f>
        <x:v>0</x:v>
      </x:c>
      <x:c r="AB536" s="33" t="n">
        <x:f>IF(AND(Q536="Terminated",R536="",O536=0),1,0)</x:f>
        <x:v>0</x:v>
      </x:c>
      <x:c r="AC536" s="33" t="n">
        <x:f>--OR(WorkforceData[[#This Row],[Status]]="Resigned",WorkforceData[[#This Row],[Status After Training]]="Withdrew")</x:f>
        <x:v>1</x:v>
      </x:c>
      <x:c r="AD536" s="34" t="n">
        <x:f>EOMONTH(WorkforceData[[#This Row],[Training Date]],0)</x:f>
        <x:v>45473</x:v>
      </x:c>
      <x:c r="AE536" s="32" t="str">
        <x:f>IF(M536&lt;H536,"Existing Employee",IF(U536="","No Assignment",IF(V536=0,"0 Days",IF(V536&lt;=7,"1-7 Days",IF(V536&lt;=14,"8-14 Days",IF(V536&lt;=21,"15-21 Days","21+ Days"))))))</x:f>
        <x:v>8-14 Days</x:v>
      </x:c>
      <x:c r="AF53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536" s="33" t="n">
        <x:f>--(WorkforceData[[#This Row],[Total Days Worked]]&gt;=121)</x:f>
        <x:v>0</x:v>
      </x:c>
    </x:row>
    <x:row r="537">
      <x:c r="A537" s="236" t="str">
        <x:v>TRN-0536</x:v>
      </x:c>
      <x:c r="B537" s="243"/>
      <x:c r="C537" s="243"/>
      <x:c r="D537" s="243"/>
      <x:c r="E537" s="243"/>
      <x:c r="F537" s="14" t="str">
        <x:v>Recruiter H</x:v>
      </x:c>
      <x:c r="G537" s="14" t="str">
        <x:v>Training Center A</x:v>
      </x:c>
      <x:c r="H537" s="28">
        <x:v>45450</x:v>
      </x:c>
      <x:c r="I537" s="14">
        <x:v>2024</x:v>
      </x:c>
      <x:c r="J537" s="14" t="s">
        <x:v>129</x:v>
      </x:c>
      <x:c r="K537" s="14">
        <x:v>16</x:v>
      </x:c>
      <x:c r="L537" s="29" t="s">
        <x:v>119</x:v>
      </x:c>
      <x:c r="M537" s="28">
        <x:v>45450</x:v>
      </x:c>
      <x:c r="N537" s="14"/>
      <x:c r="O537" s="14">
        <x:v>801</x:v>
      </x:c>
      <x:c r="P537" s="14" t="s">
        <x:v>122</x:v>
      </x:c>
      <x:c r="Q537" s="14" t="s">
        <x:v>38</x:v>
      </x:c>
      <x:c r="R537" s="14"/>
      <x:c r="S537" s="14" t="s">
        <x:v>108</x:v>
      </x:c>
      <x:c r="T537" s="14" t="str">
        <x:v>Region B</x:v>
      </x:c>
      <x:c r="U537" s="28">
        <x:v>45450</x:v>
      </x:c>
      <x:c r="V537" s="30">
        <x:v>0</x:v>
      </x:c>
      <x:c r="W537" s="14" t="s">
        <x:v>109</x:v>
      </x:c>
      <x:c r="X537" s="14" t="s">
        <x:v>106</x:v>
      </x:c>
      <x:c r="Y537" s="32" t="str">
        <x:v>TRN-0536|20240607</x:v>
      </x:c>
      <x:c r="Z537" s="32" t="str" cm="1">
        <x:f t="array" ref="Z53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537" s="33" t="n">
        <x:f>--OR(WorkforceData[[#This Row],[Status]]="Active",WorkforceData[[#This Row],[Promoted]]="Yes",WorkforceData[[#This Row],[Total Days Worked]]&gt;=121)</x:f>
        <x:v>1</x:v>
      </x:c>
      <x:c r="AB537" s="33" t="n">
        <x:f>IF(AND(Q537="Terminated",R537="",O537=0),1,0)</x:f>
        <x:v>0</x:v>
      </x:c>
      <x:c r="AC537" s="33" t="n">
        <x:f>--OR(WorkforceData[[#This Row],[Status]]="Resigned",WorkforceData[[#This Row],[Status After Training]]="Withdrew")</x:f>
        <x:v>0</x:v>
      </x:c>
      <x:c r="AD537" s="34" t="n">
        <x:f>EOMONTH(WorkforceData[[#This Row],[Training Date]],0)</x:f>
        <x:v>45473</x:v>
      </x:c>
      <x:c r="AE537" s="32" t="str">
        <x:f>IF(M537&lt;H537,"Existing Employee",IF(U537="","No Assignment",IF(V537=0,"0 Days",IF(V537&lt;=7,"1-7 Days",IF(V537&lt;=14,"8-14 Days",IF(V537&lt;=21,"15-21 Days","21+ Days"))))))</x:f>
        <x:v>0 Days</x:v>
      </x:c>
      <x:c r="AF53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37" s="33" t="n">
        <x:f>--(WorkforceData[[#This Row],[Total Days Worked]]&gt;=121)</x:f>
        <x:v>1</x:v>
      </x:c>
    </x:row>
    <x:row r="538">
      <x:c r="A538" s="236" t="str">
        <x:v>TRN-0537</x:v>
      </x:c>
      <x:c r="B538" s="243"/>
      <x:c r="C538" s="243"/>
      <x:c r="D538" s="243"/>
      <x:c r="E538" s="243"/>
      <x:c r="F538" s="14" t="str">
        <x:v>Recruiter D</x:v>
      </x:c>
      <x:c r="G538" s="14" t="str">
        <x:v>Training Center A</x:v>
      </x:c>
      <x:c r="H538" s="28">
        <x:v>45450</x:v>
      </x:c>
      <x:c r="I538" s="14">
        <x:v>2024</x:v>
      </x:c>
      <x:c r="J538" s="14" t="s">
        <x:v>129</x:v>
      </x:c>
      <x:c r="K538" s="14">
        <x:v>16</x:v>
      </x:c>
      <x:c r="L538" s="29" t="s">
        <x:v>119</x:v>
      </x:c>
      <x:c r="M538" s="28">
        <x:v>45450</x:v>
      </x:c>
      <x:c r="N538" s="28">
        <x:v>45762</x:v>
      </x:c>
      <x:c r="O538" s="14">
        <x:v>312</x:v>
      </x:c>
      <x:c r="P538" s="14" t="s">
        <x:v>107</x:v>
      </x:c>
      <x:c r="Q538" s="14" t="s">
        <x:v>33</x:v>
      </x:c>
      <x:c r="R538" s="14" t="s">
        <x:v>124</x:v>
      </x:c>
      <x:c r="S538" s="14" t="s">
        <x:v>108</x:v>
      </x:c>
      <x:c r="T538" s="14" t="str">
        <x:v>Region D</x:v>
      </x:c>
      <x:c r="U538" s="28">
        <x:v>45450</x:v>
      </x:c>
      <x:c r="V538" s="30">
        <x:v>0</x:v>
      </x:c>
      <x:c r="W538" s="14" t="s">
        <x:v>109</x:v>
      </x:c>
      <x:c r="X538" s="14" t="s">
        <x:v>106</x:v>
      </x:c>
      <x:c r="Y538" s="32" t="str">
        <x:v>TRN-0537|20240607</x:v>
      </x:c>
      <x:c r="Z538" s="32" t="str" cm="1">
        <x:f t="array" ref="Z53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538" s="33" t="n">
        <x:f>--OR(WorkforceData[[#This Row],[Status]]="Active",WorkforceData[[#This Row],[Promoted]]="Yes",WorkforceData[[#This Row],[Total Days Worked]]&gt;=121)</x:f>
        <x:v>1</x:v>
      </x:c>
      <x:c r="AB538" s="33" t="n">
        <x:f>IF(AND(Q538="Terminated",R538="",O538=0),1,0)</x:f>
        <x:v>0</x:v>
      </x:c>
      <x:c r="AC538" s="33" t="n">
        <x:f>--OR(WorkforceData[[#This Row],[Status]]="Resigned",WorkforceData[[#This Row],[Status After Training]]="Withdrew")</x:f>
        <x:v>0</x:v>
      </x:c>
      <x:c r="AD538" s="34" t="n">
        <x:f>EOMONTH(WorkforceData[[#This Row],[Training Date]],0)</x:f>
        <x:v>45473</x:v>
      </x:c>
      <x:c r="AE538" s="32" t="str">
        <x:f>IF(M538&lt;H538,"Existing Employee",IF(U538="","No Assignment",IF(V538=0,"0 Days",IF(V538&lt;=7,"1-7 Days",IF(V538&lt;=14,"8-14 Days",IF(V538&lt;=21,"15-21 Days","21+ Days"))))))</x:f>
        <x:v>0 Days</x:v>
      </x:c>
      <x:c r="AF53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38" s="33" t="n">
        <x:f>--(WorkforceData[[#This Row],[Total Days Worked]]&gt;=121)</x:f>
        <x:v>1</x:v>
      </x:c>
    </x:row>
    <x:row r="539">
      <x:c r="A539" s="236" t="str">
        <x:v>TRN-0538</x:v>
      </x:c>
      <x:c r="B539" s="243"/>
      <x:c r="C539" s="243"/>
      <x:c r="D539" s="243"/>
      <x:c r="E539" s="243"/>
      <x:c r="F539" s="14" t="str">
        <x:v>Recruiter B</x:v>
      </x:c>
      <x:c r="G539" s="14" t="str">
        <x:v>Training Center A</x:v>
      </x:c>
      <x:c r="H539" s="28">
        <x:v>45450</x:v>
      </x:c>
      <x:c r="I539" s="14">
        <x:v>2024</x:v>
      </x:c>
      <x:c r="J539" s="14" t="s">
        <x:v>129</x:v>
      </x:c>
      <x:c r="K539" s="14">
        <x:v>16</x:v>
      </x:c>
      <x:c r="L539" s="29" t="s">
        <x:v>119</x:v>
      </x:c>
      <x:c r="M539" s="28">
        <x:v>45450</x:v>
      </x:c>
      <x:c r="N539" s="14"/>
      <x:c r="O539" s="14">
        <x:v>801</x:v>
      </x:c>
      <x:c r="P539" s="14" t="s">
        <x:v>122</x:v>
      </x:c>
      <x:c r="Q539" s="14" t="s">
        <x:v>25</x:v>
      </x:c>
      <x:c r="R539" s="14"/>
      <x:c r="S539" s="14" t="s">
        <x:v>108</x:v>
      </x:c>
      <x:c r="T539" s="14" t="str">
        <x:v>Region C</x:v>
      </x:c>
      <x:c r="U539" s="28">
        <x:v>45450</x:v>
      </x:c>
      <x:c r="V539" s="30">
        <x:v>0</x:v>
      </x:c>
      <x:c r="W539" s="14" t="s">
        <x:v>109</x:v>
      </x:c>
      <x:c r="X539" s="14" t="s">
        <x:v>106</x:v>
      </x:c>
      <x:c r="Y539" s="32" t="str">
        <x:v>TRN-0538|20240607</x:v>
      </x:c>
      <x:c r="Z539" s="32" t="str" cm="1">
        <x:f t="array" ref="Z53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539" s="33" t="n">
        <x:f>--OR(WorkforceData[[#This Row],[Status]]="Active",WorkforceData[[#This Row],[Promoted]]="Yes",WorkforceData[[#This Row],[Total Days Worked]]&gt;=121)</x:f>
        <x:v>1</x:v>
      </x:c>
      <x:c r="AB539" s="33" t="n">
        <x:f>IF(AND(Q539="Terminated",R539="",O539=0),1,0)</x:f>
        <x:v>0</x:v>
      </x:c>
      <x:c r="AC539" s="33" t="n">
        <x:f>--OR(WorkforceData[[#This Row],[Status]]="Resigned",WorkforceData[[#This Row],[Status After Training]]="Withdrew")</x:f>
        <x:v>0</x:v>
      </x:c>
      <x:c r="AD539" s="34" t="n">
        <x:f>EOMONTH(WorkforceData[[#This Row],[Training Date]],0)</x:f>
        <x:v>45473</x:v>
      </x:c>
      <x:c r="AE539" s="32" t="str">
        <x:f>IF(M539&lt;H539,"Existing Employee",IF(U539="","No Assignment",IF(V539=0,"0 Days",IF(V539&lt;=7,"1-7 Days",IF(V539&lt;=14,"8-14 Days",IF(V539&lt;=21,"15-21 Days","21+ Days"))))))</x:f>
        <x:v>0 Days</x:v>
      </x:c>
      <x:c r="AF53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39" s="33" t="n">
        <x:f>--(WorkforceData[[#This Row],[Total Days Worked]]&gt;=121)</x:f>
        <x:v>1</x:v>
      </x:c>
    </x:row>
    <x:row r="540">
      <x:c r="A540" s="236" t="str">
        <x:v>TRN-0539</x:v>
      </x:c>
      <x:c r="B540" s="243"/>
      <x:c r="C540" s="243"/>
      <x:c r="D540" s="243"/>
      <x:c r="E540" s="243"/>
      <x:c r="F540" s="14" t="str">
        <x:v>Recruiter B</x:v>
      </x:c>
      <x:c r="G540" s="14" t="str">
        <x:v>Training Center A</x:v>
      </x:c>
      <x:c r="H540" s="28">
        <x:v>45450</x:v>
      </x:c>
      <x:c r="I540" s="14">
        <x:v>2024</x:v>
      </x:c>
      <x:c r="J540" s="14" t="s">
        <x:v>129</x:v>
      </x:c>
      <x:c r="K540" s="14">
        <x:v>16</x:v>
      </x:c>
      <x:c r="L540" s="29" t="s">
        <x:v>119</x:v>
      </x:c>
      <x:c r="M540" s="28">
        <x:v>45449</x:v>
      </x:c>
      <x:c r="N540" s="28">
        <x:v>45582</x:v>
      </x:c>
      <x:c r="O540" s="14">
        <x:v>133</x:v>
      </x:c>
      <x:c r="P540" s="14" t="s">
        <x:v>113</x:v>
      </x:c>
      <x:c r="Q540" s="14" t="s">
        <x:v>33</x:v>
      </x:c>
      <x:c r="R540" s="14" t="s">
        <x:v>121</x:v>
      </x:c>
      <x:c r="S540" s="14" t="s">
        <x:v>105</x:v>
      </x:c>
      <x:c r="T540" s="14" t="str">
        <x:v>Region B</x:v>
      </x:c>
      <x:c r="U540" s="28">
        <x:v>45554</x:v>
      </x:c>
      <x:c r="V540" s="30">
        <x:v>104</x:v>
      </x:c>
      <x:c r="W540" s="14" t="s">
        <x:v>114</x:v>
      </x:c>
      <x:c r="X540" s="14" t="s">
        <x:v>115</x:v>
      </x:c>
      <x:c r="Y540" s="32" t="str">
        <x:v>TRN-0539|20240607</x:v>
      </x:c>
      <x:c r="Z540" s="32" t="str" cm="1">
        <x:f t="array" ref="Z54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Complete</x:v>
      </x:c>
      <x:c r="AA540" s="33" t="n">
        <x:f>--OR(WorkforceData[[#This Row],[Status]]="Active",WorkforceData[[#This Row],[Promoted]]="Yes",WorkforceData[[#This Row],[Total Days Worked]]&gt;=121)</x:f>
        <x:v>1</x:v>
      </x:c>
      <x:c r="AB540" s="33" t="n">
        <x:f>IF(AND(Q540="Terminated",R540="",O540=0),1,0)</x:f>
        <x:v>0</x:v>
      </x:c>
      <x:c r="AC540" s="33" t="n">
        <x:f>--OR(WorkforceData[[#This Row],[Status]]="Resigned",WorkforceData[[#This Row],[Status After Training]]="Withdrew")</x:f>
        <x:v>1</x:v>
      </x:c>
      <x:c r="AD540" s="34" t="n">
        <x:f>EOMONTH(WorkforceData[[#This Row],[Training Date]],0)</x:f>
        <x:v>45473</x:v>
      </x:c>
      <x:c r="AE540" s="32" t="str">
        <x:f>IF(M540&lt;H540,"Existing Employee",IF(U540="","No Assignment",IF(V540=0,"0 Days",IF(V540&lt;=7,"1-7 Days",IF(V540&lt;=14,"8-14 Days",IF(V540&lt;=21,"15-21 Days","21+ Days"))))))</x:f>
        <x:v>Existing Employee</x:v>
      </x:c>
      <x:c r="AF54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40" s="33" t="n">
        <x:f>--(WorkforceData[[#This Row],[Total Days Worked]]&gt;=121)</x:f>
        <x:v>1</x:v>
      </x:c>
    </x:row>
    <x:row r="541">
      <x:c r="A541" s="236" t="str">
        <x:v>TRN-0540</x:v>
      </x:c>
      <x:c r="B541" s="243"/>
      <x:c r="C541" s="243"/>
      <x:c r="D541" s="243"/>
      <x:c r="E541" s="243"/>
      <x:c r="F541" s="14" t="str">
        <x:v>Recruiter F</x:v>
      </x:c>
      <x:c r="G541" s="14" t="str">
        <x:v>Training Center A</x:v>
      </x:c>
      <x:c r="H541" s="28">
        <x:v>45450</x:v>
      </x:c>
      <x:c r="I541" s="14">
        <x:v>2024</x:v>
      </x:c>
      <x:c r="J541" s="14" t="s">
        <x:v>129</x:v>
      </x:c>
      <x:c r="K541" s="14">
        <x:v>16</x:v>
      </x:c>
      <x:c r="L541" s="29" t="s">
        <x:v>119</x:v>
      </x:c>
      <x:c r="M541" s="28">
        <x:v>45450</x:v>
      </x:c>
      <x:c r="N541" s="28">
        <x:v>45591</x:v>
      </x:c>
      <x:c r="O541" s="14">
        <x:v>141</x:v>
      </x:c>
      <x:c r="P541" s="14" t="s">
        <x:v>113</x:v>
      </x:c>
      <x:c r="Q541" s="14" t="s">
        <x:v>33</x:v>
      </x:c>
      <x:c r="R541" s="14" t="s">
        <x:v>116</x:v>
      </x:c>
      <x:c r="S541" s="14" t="s">
        <x:v>105</x:v>
      </x:c>
      <x:c r="T541" s="14" t="str">
        <x:v>Region C</x:v>
      </x:c>
      <x:c r="U541" s="28">
        <x:v>45452</x:v>
      </x:c>
      <x:c r="V541" s="30">
        <x:v>2</x:v>
      </x:c>
      <x:c r="W541" s="14" t="s">
        <x:v>109</x:v>
      </x:c>
      <x:c r="X541" s="14" t="s">
        <x:v>106</x:v>
      </x:c>
      <x:c r="Y541" s="32" t="str">
        <x:v>TRN-0540|20240607</x:v>
      </x:c>
      <x:c r="Z541" s="32" t="str" cm="1">
        <x:f t="array" ref="Z54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Complete</x:v>
      </x:c>
      <x:c r="AA541" s="33" t="n">
        <x:f>--OR(WorkforceData[[#This Row],[Status]]="Active",WorkforceData[[#This Row],[Promoted]]="Yes",WorkforceData[[#This Row],[Total Days Worked]]&gt;=121)</x:f>
        <x:v>1</x:v>
      </x:c>
      <x:c r="AB541" s="33" t="n">
        <x:f>IF(AND(Q541="Terminated",R541="",O541=0),1,0)</x:f>
        <x:v>0</x:v>
      </x:c>
      <x:c r="AC541" s="33" t="n">
        <x:f>--OR(WorkforceData[[#This Row],[Status]]="Resigned",WorkforceData[[#This Row],[Status After Training]]="Withdrew")</x:f>
        <x:v>0</x:v>
      </x:c>
      <x:c r="AD541" s="34" t="n">
        <x:f>EOMONTH(WorkforceData[[#This Row],[Training Date]],0)</x:f>
        <x:v>45473</x:v>
      </x:c>
      <x:c r="AE541" s="32" t="str">
        <x:f>IF(M541&lt;H541,"Existing Employee",IF(U541="","No Assignment",IF(V541=0,"0 Days",IF(V541&lt;=7,"1-7 Days",IF(V541&lt;=14,"8-14 Days",IF(V541&lt;=21,"15-21 Days","21+ Days"))))))</x:f>
        <x:v>1-7 Days</x:v>
      </x:c>
      <x:c r="AF54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41" s="33" t="n">
        <x:f>--(WorkforceData[[#This Row],[Total Days Worked]]&gt;=121)</x:f>
        <x:v>1</x:v>
      </x:c>
    </x:row>
    <x:row r="542">
      <x:c r="A542" s="236" t="str">
        <x:v>TRN-0541</x:v>
      </x:c>
      <x:c r="B542" s="243"/>
      <x:c r="C542" s="243"/>
      <x:c r="D542" s="243"/>
      <x:c r="E542" s="243"/>
      <x:c r="F542" s="14" t="str">
        <x:v>Recruiter H</x:v>
      </x:c>
      <x:c r="G542" s="14" t="str">
        <x:v>Training Center A</x:v>
      </x:c>
      <x:c r="H542" s="28">
        <x:v>45450</x:v>
      </x:c>
      <x:c r="I542" s="14">
        <x:v>2024</x:v>
      </x:c>
      <x:c r="J542" s="14" t="s">
        <x:v>129</x:v>
      </x:c>
      <x:c r="K542" s="14">
        <x:v>16</x:v>
      </x:c>
      <x:c r="L542" s="29" t="s">
        <x:v>119</x:v>
      </x:c>
      <x:c r="M542" s="28">
        <x:v>45449</x:v>
      </x:c>
      <x:c r="N542" s="28">
        <x:v>46249</x:v>
      </x:c>
      <x:c r="O542" s="14">
        <x:v>800</x:v>
      </x:c>
      <x:c r="P542" s="14" t="s">
        <x:v>122</x:v>
      </x:c>
      <x:c r="Q542" s="14" t="s">
        <x:v>103</x:v>
      </x:c>
      <x:c r="R542" s="14" t="s">
        <x:v>104</x:v>
      </x:c>
      <x:c r="S542" s="14" t="s">
        <x:v>108</x:v>
      </x:c>
      <x:c r="T542" s="14" t="str">
        <x:v>Region B</x:v>
      </x:c>
      <x:c r="U542" s="28">
        <x:v>45487</x:v>
      </x:c>
      <x:c r="V542" s="30">
        <x:v>37</x:v>
      </x:c>
      <x:c r="W542" s="14" t="s">
        <x:v>63</x:v>
      </x:c>
      <x:c r="X542" s="14" t="s">
        <x:v>117</x:v>
      </x:c>
      <x:c r="Y542" s="32" t="str">
        <x:v>TRN-0541|20240607</x:v>
      </x:c>
      <x:c r="Z542" s="32" t="str" cm="1">
        <x:f t="array" ref="Z54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542" s="33" t="n">
        <x:f>--OR(WorkforceData[[#This Row],[Status]]="Active",WorkforceData[[#This Row],[Promoted]]="Yes",WorkforceData[[#This Row],[Total Days Worked]]&gt;=121)</x:f>
        <x:v>1</x:v>
      </x:c>
      <x:c r="AB542" s="33" t="n">
        <x:f>IF(AND(Q542="Terminated",R542="",O542=0),1,0)</x:f>
        <x:v>0</x:v>
      </x:c>
      <x:c r="AC542" s="33" t="n">
        <x:f>--OR(WorkforceData[[#This Row],[Status]]="Resigned",WorkforceData[[#This Row],[Status After Training]]="Withdrew")</x:f>
        <x:v>1</x:v>
      </x:c>
      <x:c r="AD542" s="34" t="n">
        <x:f>EOMONTH(WorkforceData[[#This Row],[Training Date]],0)</x:f>
        <x:v>45473</x:v>
      </x:c>
      <x:c r="AE542" s="32" t="str">
        <x:f>IF(M542&lt;H542,"Existing Employee",IF(U542="","No Assignment",IF(V542=0,"0 Days",IF(V542&lt;=7,"1-7 Days",IF(V542&lt;=14,"8-14 Days",IF(V542&lt;=21,"15-21 Days","21+ Days"))))))</x:f>
        <x:v>Existing Employee</x:v>
      </x:c>
      <x:c r="AF54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42" s="33" t="n">
        <x:f>--(WorkforceData[[#This Row],[Total Days Worked]]&gt;=121)</x:f>
        <x:v>1</x:v>
      </x:c>
    </x:row>
    <x:row r="543">
      <x:c r="A543" s="236" t="str">
        <x:v>TRN-0542</x:v>
      </x:c>
      <x:c r="B543" s="243"/>
      <x:c r="C543" s="243"/>
      <x:c r="D543" s="243"/>
      <x:c r="E543" s="243"/>
      <x:c r="F543" s="14" t="str">
        <x:v>Recruiter B</x:v>
      </x:c>
      <x:c r="G543" s="14" t="str">
        <x:v>Training Center A</x:v>
      </x:c>
      <x:c r="H543" s="28">
        <x:v>45450</x:v>
      </x:c>
      <x:c r="I543" s="14">
        <x:v>2024</x:v>
      </x:c>
      <x:c r="J543" s="14" t="s">
        <x:v>129</x:v>
      </x:c>
      <x:c r="K543" s="14">
        <x:v>16</x:v>
      </x:c>
      <x:c r="L543" s="29" t="s">
        <x:v>119</x:v>
      </x:c>
      <x:c r="M543" s="28">
        <x:v>45445</x:v>
      </x:c>
      <x:c r="N543" s="14"/>
      <x:c r="O543" s="14">
        <x:v>806</x:v>
      </x:c>
      <x:c r="P543" s="14" t="s">
        <x:v>122</x:v>
      </x:c>
      <x:c r="Q543" s="14" t="s">
        <x:v>25</x:v>
      </x:c>
      <x:c r="R543" s="14"/>
      <x:c r="S543" s="14" t="s">
        <x:v>108</x:v>
      </x:c>
      <x:c r="T543" s="14" t="str">
        <x:v>Region A</x:v>
      </x:c>
      <x:c r="U543" s="28">
        <x:v>45469</x:v>
      </x:c>
      <x:c r="V543" s="30">
        <x:v>19</x:v>
      </x:c>
      <x:c r="W543" s="14" t="s">
        <x:v>112</x:v>
      </x:c>
      <x:c r="X543" s="14" t="s">
        <x:v>106</x:v>
      </x:c>
      <x:c r="Y543" s="32" t="str">
        <x:v>TRN-0542|20240607</x:v>
      </x:c>
      <x:c r="Z543" s="32" t="str" cm="1">
        <x:f t="array" ref="Z54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543" s="33" t="n">
        <x:f>--OR(WorkforceData[[#This Row],[Status]]="Active",WorkforceData[[#This Row],[Promoted]]="Yes",WorkforceData[[#This Row],[Total Days Worked]]&gt;=121)</x:f>
        <x:v>1</x:v>
      </x:c>
      <x:c r="AB543" s="33" t="n">
        <x:f>IF(AND(Q543="Terminated",R543="",O543=0),1,0)</x:f>
        <x:v>0</x:v>
      </x:c>
      <x:c r="AC543" s="33" t="n">
        <x:f>--OR(WorkforceData[[#This Row],[Status]]="Resigned",WorkforceData[[#This Row],[Status After Training]]="Withdrew")</x:f>
        <x:v>0</x:v>
      </x:c>
      <x:c r="AD543" s="34" t="n">
        <x:f>EOMONTH(WorkforceData[[#This Row],[Training Date]],0)</x:f>
        <x:v>45473</x:v>
      </x:c>
      <x:c r="AE543" s="32" t="str">
        <x:f>IF(M543&lt;H543,"Existing Employee",IF(U543="","No Assignment",IF(V543=0,"0 Days",IF(V543&lt;=7,"1-7 Days",IF(V543&lt;=14,"8-14 Days",IF(V543&lt;=21,"15-21 Days","21+ Days"))))))</x:f>
        <x:v>Existing Employee</x:v>
      </x:c>
      <x:c r="AF54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43" s="33" t="n">
        <x:f>--(WorkforceData[[#This Row],[Total Days Worked]]&gt;=121)</x:f>
        <x:v>1</x:v>
      </x:c>
    </x:row>
    <x:row r="544">
      <x:c r="A544" s="236" t="str">
        <x:v>TRN-0543</x:v>
      </x:c>
      <x:c r="B544" s="243"/>
      <x:c r="C544" s="243"/>
      <x:c r="D544" s="243"/>
      <x:c r="E544" s="243"/>
      <x:c r="F544" s="14" t="str">
        <x:v>Recruiter B</x:v>
      </x:c>
      <x:c r="G544" s="14" t="str">
        <x:v>Training Center A</x:v>
      </x:c>
      <x:c r="H544" s="28">
        <x:v>45450</x:v>
      </x:c>
      <x:c r="I544" s="14">
        <x:v>2024</x:v>
      </x:c>
      <x:c r="J544" s="14" t="s">
        <x:v>129</x:v>
      </x:c>
      <x:c r="K544" s="14">
        <x:v>16</x:v>
      </x:c>
      <x:c r="L544" s="29" t="s">
        <x:v>119</x:v>
      </x:c>
      <x:c r="M544" s="28">
        <x:v>45447</x:v>
      </x:c>
      <x:c r="N544" s="28">
        <x:v>45543</x:v>
      </x:c>
      <x:c r="O544" s="14">
        <x:v>96</x:v>
      </x:c>
      <x:c r="P544" s="14" t="s">
        <x:v>113</x:v>
      </x:c>
      <x:c r="Q544" s="14" t="s">
        <x:v>103</x:v>
      </x:c>
      <x:c r="R544" s="14" t="s">
        <x:v>104</x:v>
      </x:c>
      <x:c r="S544" s="14" t="s">
        <x:v>105</x:v>
      </x:c>
      <x:c r="T544" s="14" t="str">
        <x:v>Region C</x:v>
      </x:c>
      <x:c r="U544" s="28">
        <x:v>45455</x:v>
      </x:c>
      <x:c r="V544" s="30">
        <x:v>5</x:v>
      </x:c>
      <x:c r="W544" s="14" t="s">
        <x:v>109</x:v>
      </x:c>
      <x:c r="X544" s="14" t="s">
        <x:v>106</x:v>
      </x:c>
      <x:c r="Y544" s="32" t="str">
        <x:v>TRN-0543|20240607</x:v>
      </x:c>
      <x:c r="Z544" s="32" t="str" cm="1">
        <x:f t="array" ref="Z54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544" s="33" t="n">
        <x:f>--OR(WorkforceData[[#This Row],[Status]]="Active",WorkforceData[[#This Row],[Promoted]]="Yes",WorkforceData[[#This Row],[Total Days Worked]]&gt;=121)</x:f>
        <x:v>0</x:v>
      </x:c>
      <x:c r="AB544" s="33" t="n">
        <x:f>IF(AND(Q544="Terminated",R544="",O544=0),1,0)</x:f>
        <x:v>0</x:v>
      </x:c>
      <x:c r="AC544" s="33" t="n">
        <x:f>--OR(WorkforceData[[#This Row],[Status]]="Resigned",WorkforceData[[#This Row],[Status After Training]]="Withdrew")</x:f>
        <x:v>1</x:v>
      </x:c>
      <x:c r="AD544" s="34" t="n">
        <x:f>EOMONTH(WorkforceData[[#This Row],[Training Date]],0)</x:f>
        <x:v>45473</x:v>
      </x:c>
      <x:c r="AE544" s="32" t="str">
        <x:f>IF(M544&lt;H544,"Existing Employee",IF(U544="","No Assignment",IF(V544=0,"0 Days",IF(V544&lt;=7,"1-7 Days",IF(V544&lt;=14,"8-14 Days",IF(V544&lt;=21,"15-21 Days","21+ Days"))))))</x:f>
        <x:v>Existing Employee</x:v>
      </x:c>
      <x:c r="AF54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91-120 Days</x:v>
      </x:c>
      <x:c r="AG544" s="33" t="n">
        <x:f>--(WorkforceData[[#This Row],[Total Days Worked]]&gt;=121)</x:f>
        <x:v>0</x:v>
      </x:c>
    </x:row>
    <x:row r="545">
      <x:c r="A545" s="236" t="str">
        <x:v>TRN-0544</x:v>
      </x:c>
      <x:c r="B545" s="243"/>
      <x:c r="C545" s="243"/>
      <x:c r="D545" s="243"/>
      <x:c r="E545" s="243"/>
      <x:c r="F545" s="14" t="str">
        <x:v>Recruiter G</x:v>
      </x:c>
      <x:c r="G545" s="14" t="str">
        <x:v>Training Center A</x:v>
      </x:c>
      <x:c r="H545" s="28">
        <x:v>45450</x:v>
      </x:c>
      <x:c r="I545" s="14">
        <x:v>2024</x:v>
      </x:c>
      <x:c r="J545" s="14" t="s">
        <x:v>129</x:v>
      </x:c>
      <x:c r="K545" s="14">
        <x:v>16</x:v>
      </x:c>
      <x:c r="L545" s="29" t="s">
        <x:v>119</x:v>
      </x:c>
      <x:c r="M545" s="28">
        <x:v>45447</x:v>
      </x:c>
      <x:c r="N545" s="28">
        <x:v>45508</x:v>
      </x:c>
      <x:c r="O545" s="14">
        <x:v>61</x:v>
      </x:c>
      <x:c r="P545" s="14" t="s">
        <x:v>110</x:v>
      </x:c>
      <x:c r="Q545" s="14" t="s">
        <x:v>103</x:v>
      </x:c>
      <x:c r="R545" s="14" t="s">
        <x:v>104</x:v>
      </x:c>
      <x:c r="S545" s="14" t="s">
        <x:v>105</x:v>
      </x:c>
      <x:c r="T545" s="14" t="str">
        <x:v>Region A</x:v>
      </x:c>
      <x:c r="U545" s="28">
        <x:v>45508</x:v>
      </x:c>
      <x:c r="V545" s="30">
        <x:v>58</x:v>
      </x:c>
      <x:c r="W545" s="14" t="s">
        <x:v>63</x:v>
      </x:c>
      <x:c r="X545" s="14" t="s">
        <x:v>117</x:v>
      </x:c>
      <x:c r="Y545" s="32" t="str">
        <x:v>TRN-0544|20240607</x:v>
      </x:c>
      <x:c r="Z545" s="32" t="str" cm="1">
        <x:f t="array" ref="Z54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545" s="33" t="n">
        <x:f>--OR(WorkforceData[[#This Row],[Status]]="Active",WorkforceData[[#This Row],[Promoted]]="Yes",WorkforceData[[#This Row],[Total Days Worked]]&gt;=121)</x:f>
        <x:v>0</x:v>
      </x:c>
      <x:c r="AB545" s="33" t="n">
        <x:f>IF(AND(Q545="Terminated",R545="",O545=0),1,0)</x:f>
        <x:v>0</x:v>
      </x:c>
      <x:c r="AC545" s="33" t="n">
        <x:f>--OR(WorkforceData[[#This Row],[Status]]="Resigned",WorkforceData[[#This Row],[Status After Training]]="Withdrew")</x:f>
        <x:v>1</x:v>
      </x:c>
      <x:c r="AD545" s="34" t="n">
        <x:f>EOMONTH(WorkforceData[[#This Row],[Training Date]],0)</x:f>
        <x:v>45473</x:v>
      </x:c>
      <x:c r="AE545" s="32" t="str">
        <x:f>IF(M545&lt;H545,"Existing Employee",IF(U545="","No Assignment",IF(V545=0,"0 Days",IF(V545&lt;=7,"1-7 Days",IF(V545&lt;=14,"8-14 Days",IF(V545&lt;=21,"15-21 Days","21+ Days"))))))</x:f>
        <x:v>Existing Employee</x:v>
      </x:c>
      <x:c r="AF54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61-90 Days</x:v>
      </x:c>
      <x:c r="AG545" s="33" t="n">
        <x:f>--(WorkforceData[[#This Row],[Total Days Worked]]&gt;=121)</x:f>
        <x:v>0</x:v>
      </x:c>
    </x:row>
    <x:row r="546">
      <x:c r="A546" s="236" t="str">
        <x:v>TRN-0545</x:v>
      </x:c>
      <x:c r="B546" s="243"/>
      <x:c r="C546" s="243"/>
      <x:c r="D546" s="243"/>
      <x:c r="E546" s="243"/>
      <x:c r="F546" s="14" t="str">
        <x:v>Recruiter B</x:v>
      </x:c>
      <x:c r="G546" s="14" t="str">
        <x:v>Training Center A</x:v>
      </x:c>
      <x:c r="H546" s="28">
        <x:v>45760</x:v>
      </x:c>
      <x:c r="I546" s="14">
        <x:v>2025</x:v>
      </x:c>
      <x:c r="J546" s="14" t="s">
        <x:v>126</x:v>
      </x:c>
      <x:c r="K546" s="14">
        <x:v>28</x:v>
      </x:c>
      <x:c r="L546" s="29" t="s">
        <x:v>101</x:v>
      </x:c>
      <x:c r="M546" s="28">
        <x:v>45753</x:v>
      </x:c>
      <x:c r="N546" s="28">
        <x:v>45800</x:v>
      </x:c>
      <x:c r="O546" s="14">
        <x:v>47</x:v>
      </x:c>
      <x:c r="P546" s="14" t="s">
        <x:v>110</x:v>
      </x:c>
      <x:c r="Q546" s="14" t="s">
        <x:v>103</x:v>
      </x:c>
      <x:c r="R546" s="14" t="s">
        <x:v>111</x:v>
      </x:c>
      <x:c r="S546" s="14" t="s">
        <x:v>105</x:v>
      </x:c>
      <x:c r="T546" s="14" t="str">
        <x:v>Region C</x:v>
      </x:c>
      <x:c r="U546" s="28">
        <x:v>45785</x:v>
      </x:c>
      <x:c r="V546" s="30">
        <x:v>25</x:v>
      </x:c>
      <x:c r="W546" s="14" t="s">
        <x:v>112</x:v>
      </x:c>
      <x:c r="X546" s="14" t="s">
        <x:v>106</x:v>
      </x:c>
      <x:c r="Y546" s="32" t="str">
        <x:v>TRN-0545|20250413</x:v>
      </x:c>
      <x:c r="Z546" s="32" t="str" cm="1">
        <x:f t="array" ref="Z54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546" s="33" t="n">
        <x:f>--OR(WorkforceData[[#This Row],[Status]]="Active",WorkforceData[[#This Row],[Promoted]]="Yes",WorkforceData[[#This Row],[Total Days Worked]]&gt;=121)</x:f>
        <x:v>0</x:v>
      </x:c>
      <x:c r="AB546" s="33" t="n">
        <x:f>IF(AND(Q546="Terminated",R546="",O546=0),1,0)</x:f>
        <x:v>0</x:v>
      </x:c>
      <x:c r="AC546" s="33" t="n">
        <x:f>--OR(WorkforceData[[#This Row],[Status]]="Resigned",WorkforceData[[#This Row],[Status After Training]]="Withdrew")</x:f>
        <x:v>1</x:v>
      </x:c>
      <x:c r="AD546" s="34" t="n">
        <x:f>EOMONTH(WorkforceData[[#This Row],[Training Date]],0)</x:f>
        <x:v>45777</x:v>
      </x:c>
      <x:c r="AE546" s="32" t="str">
        <x:f>IF(M546&lt;H546,"Existing Employee",IF(U546="","No Assignment",IF(V546=0,"0 Days",IF(V546&lt;=7,"1-7 Days",IF(V546&lt;=14,"8-14 Days",IF(V546&lt;=21,"15-21 Days","21+ Days"))))))</x:f>
        <x:v>Existing Employee</x:v>
      </x:c>
      <x:c r="AF54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546" s="33" t="n">
        <x:f>--(WorkforceData[[#This Row],[Total Days Worked]]&gt;=121)</x:f>
        <x:v>0</x:v>
      </x:c>
    </x:row>
    <x:row r="547">
      <x:c r="A547" s="236" t="str">
        <x:v>TRN-0546</x:v>
      </x:c>
      <x:c r="B547" s="243"/>
      <x:c r="C547" s="243"/>
      <x:c r="D547" s="243"/>
      <x:c r="E547" s="243"/>
      <x:c r="F547" s="14" t="str">
        <x:v>Recruiter D</x:v>
      </x:c>
      <x:c r="G547" s="14" t="str">
        <x:v>Training Center A</x:v>
      </x:c>
      <x:c r="H547" s="28">
        <x:v>45760</x:v>
      </x:c>
      <x:c r="I547" s="14">
        <x:v>2025</x:v>
      </x:c>
      <x:c r="J547" s="14" t="s">
        <x:v>126</x:v>
      </x:c>
      <x:c r="K547" s="14">
        <x:v>28</x:v>
      </x:c>
      <x:c r="L547" s="29" t="s">
        <x:v>101</x:v>
      </x:c>
      <x:c r="M547" s="28">
        <x:v>45758</x:v>
      </x:c>
      <x:c r="N547" s="28">
        <x:v>45808</x:v>
      </x:c>
      <x:c r="O547" s="14">
        <x:v>50</x:v>
      </x:c>
      <x:c r="P547" s="14" t="s">
        <x:v>110</x:v>
      </x:c>
      <x:c r="Q547" s="14" t="s">
        <x:v>103</x:v>
      </x:c>
      <x:c r="R547" s="14" t="s">
        <x:v>123</x:v>
      </x:c>
      <x:c r="S547" s="14" t="s">
        <x:v>105</x:v>
      </x:c>
      <x:c r="T547" s="14" t="str">
        <x:v>Region A</x:v>
      </x:c>
      <x:c r="U547" s="28">
        <x:v>45783</x:v>
      </x:c>
      <x:c r="V547" s="30">
        <x:v>23</x:v>
      </x:c>
      <x:c r="W547" s="14" t="s">
        <x:v>112</x:v>
      </x:c>
      <x:c r="X547" s="14" t="s">
        <x:v>106</x:v>
      </x:c>
      <x:c r="Y547" s="32" t="str">
        <x:v>TRN-0546|20250413</x:v>
      </x:c>
      <x:c r="Z547" s="32" t="str" cm="1">
        <x:f t="array" ref="Z54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547" s="33" t="n">
        <x:f>--OR(WorkforceData[[#This Row],[Status]]="Active",WorkforceData[[#This Row],[Promoted]]="Yes",WorkforceData[[#This Row],[Total Days Worked]]&gt;=121)</x:f>
        <x:v>0</x:v>
      </x:c>
      <x:c r="AB547" s="33" t="n">
        <x:f>IF(AND(Q547="Terminated",R547="",O547=0),1,0)</x:f>
        <x:v>0</x:v>
      </x:c>
      <x:c r="AC547" s="33" t="n">
        <x:f>--OR(WorkforceData[[#This Row],[Status]]="Resigned",WorkforceData[[#This Row],[Status After Training]]="Withdrew")</x:f>
        <x:v>1</x:v>
      </x:c>
      <x:c r="AD547" s="34" t="n">
        <x:f>EOMONTH(WorkforceData[[#This Row],[Training Date]],0)</x:f>
        <x:v>45777</x:v>
      </x:c>
      <x:c r="AE547" s="32" t="str">
        <x:f>IF(M547&lt;H547,"Existing Employee",IF(U547="","No Assignment",IF(V547=0,"0 Days",IF(V547&lt;=7,"1-7 Days",IF(V547&lt;=14,"8-14 Days",IF(V547&lt;=21,"15-21 Days","21+ Days"))))))</x:f>
        <x:v>Existing Employee</x:v>
      </x:c>
      <x:c r="AF54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547" s="33" t="n">
        <x:f>--(WorkforceData[[#This Row],[Total Days Worked]]&gt;=121)</x:f>
        <x:v>0</x:v>
      </x:c>
    </x:row>
    <x:row r="548">
      <x:c r="A548" s="236" t="str">
        <x:v>TRN-0547</x:v>
      </x:c>
      <x:c r="B548" s="243"/>
      <x:c r="C548" s="243"/>
      <x:c r="D548" s="243"/>
      <x:c r="E548" s="243"/>
      <x:c r="F548" s="14" t="str">
        <x:v>Recruiter G</x:v>
      </x:c>
      <x:c r="G548" s="14" t="str">
        <x:v>Training Center A</x:v>
      </x:c>
      <x:c r="H548" s="28">
        <x:v>45760</x:v>
      </x:c>
      <x:c r="I548" s="14">
        <x:v>2025</x:v>
      </x:c>
      <x:c r="J548" s="14" t="s">
        <x:v>126</x:v>
      </x:c>
      <x:c r="K548" s="14">
        <x:v>28</x:v>
      </x:c>
      <x:c r="L548" s="29" t="s">
        <x:v>101</x:v>
      </x:c>
      <x:c r="M548" s="28">
        <x:v>45753</x:v>
      </x:c>
      <x:c r="N548" s="14"/>
      <x:c r="O548" s="14">
        <x:v>498</x:v>
      </x:c>
      <x:c r="P548" s="14" t="s">
        <x:v>120</x:v>
      </x:c>
      <x:c r="Q548" s="14" t="s">
        <x:v>25</x:v>
      </x:c>
      <x:c r="R548" s="14"/>
      <x:c r="S548" s="14" t="s">
        <x:v>108</x:v>
      </x:c>
      <x:c r="T548" s="14" t="str">
        <x:v>Region D</x:v>
      </x:c>
      <x:c r="U548" s="28">
        <x:v>45766</x:v>
      </x:c>
      <x:c r="V548" s="30">
        <x:v>6</x:v>
      </x:c>
      <x:c r="W548" s="14" t="s">
        <x:v>109</x:v>
      </x:c>
      <x:c r="X548" s="14" t="s">
        <x:v>106</x:v>
      </x:c>
      <x:c r="Y548" s="32" t="str">
        <x:v>TRN-0547|20250413</x:v>
      </x:c>
      <x:c r="Z548" s="32" t="str" cm="1">
        <x:f t="array" ref="Z54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548" s="33" t="n">
        <x:f>--OR(WorkforceData[[#This Row],[Status]]="Active",WorkforceData[[#This Row],[Promoted]]="Yes",WorkforceData[[#This Row],[Total Days Worked]]&gt;=121)</x:f>
        <x:v>1</x:v>
      </x:c>
      <x:c r="AB548" s="33" t="n">
        <x:f>IF(AND(Q548="Terminated",R548="",O548=0),1,0)</x:f>
        <x:v>0</x:v>
      </x:c>
      <x:c r="AC548" s="33" t="n">
        <x:f>--OR(WorkforceData[[#This Row],[Status]]="Resigned",WorkforceData[[#This Row],[Status After Training]]="Withdrew")</x:f>
        <x:v>0</x:v>
      </x:c>
      <x:c r="AD548" s="34" t="n">
        <x:f>EOMONTH(WorkforceData[[#This Row],[Training Date]],0)</x:f>
        <x:v>45777</x:v>
      </x:c>
      <x:c r="AE548" s="32" t="str">
        <x:f>IF(M548&lt;H548,"Existing Employee",IF(U548="","No Assignment",IF(V548=0,"0 Days",IF(V548&lt;=7,"1-7 Days",IF(V548&lt;=14,"8-14 Days",IF(V548&lt;=21,"15-21 Days","21+ Days"))))))</x:f>
        <x:v>Existing Employee</x:v>
      </x:c>
      <x:c r="AF54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48" s="33" t="n">
        <x:f>--(WorkforceData[[#This Row],[Total Days Worked]]&gt;=121)</x:f>
        <x:v>1</x:v>
      </x:c>
    </x:row>
    <x:row r="549">
      <x:c r="A549" s="236" t="str">
        <x:v>TRN-0548</x:v>
      </x:c>
      <x:c r="B549" s="243"/>
      <x:c r="C549" s="243"/>
      <x:c r="D549" s="243"/>
      <x:c r="E549" s="243"/>
      <x:c r="F549" s="14" t="str">
        <x:v>Recruiter H</x:v>
      </x:c>
      <x:c r="G549" s="14" t="str">
        <x:v>Training Center A</x:v>
      </x:c>
      <x:c r="H549" s="28">
        <x:v>45760</x:v>
      </x:c>
      <x:c r="I549" s="14">
        <x:v>2025</x:v>
      </x:c>
      <x:c r="J549" s="14" t="s">
        <x:v>126</x:v>
      </x:c>
      <x:c r="K549" s="14">
        <x:v>28</x:v>
      </x:c>
      <x:c r="L549" s="29" t="s">
        <x:v>101</x:v>
      </x:c>
      <x:c r="M549" s="28">
        <x:v>45755</x:v>
      </x:c>
      <x:c r="N549" s="14"/>
      <x:c r="O549" s="14">
        <x:v>496</x:v>
      </x:c>
      <x:c r="P549" s="14" t="s">
        <x:v>120</x:v>
      </x:c>
      <x:c r="Q549" s="14" t="s">
        <x:v>25</x:v>
      </x:c>
      <x:c r="R549" s="14"/>
      <x:c r="S549" s="14" t="s">
        <x:v>108</x:v>
      </x:c>
      <x:c r="T549" s="14" t="str">
        <x:v>Region B</x:v>
      </x:c>
      <x:c r="U549" s="28">
        <x:v>45766</x:v>
      </x:c>
      <x:c r="V549" s="30">
        <x:v>6</x:v>
      </x:c>
      <x:c r="W549" s="14" t="s">
        <x:v>109</x:v>
      </x:c>
      <x:c r="X549" s="14" t="s">
        <x:v>106</x:v>
      </x:c>
      <x:c r="Y549" s="32" t="str">
        <x:v>TRN-0548|20250413</x:v>
      </x:c>
      <x:c r="Z549" s="32" t="str" cm="1">
        <x:f t="array" ref="Z54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549" s="33" t="n">
        <x:f>--OR(WorkforceData[[#This Row],[Status]]="Active",WorkforceData[[#This Row],[Promoted]]="Yes",WorkforceData[[#This Row],[Total Days Worked]]&gt;=121)</x:f>
        <x:v>1</x:v>
      </x:c>
      <x:c r="AB549" s="33" t="n">
        <x:f>IF(AND(Q549="Terminated",R549="",O549=0),1,0)</x:f>
        <x:v>0</x:v>
      </x:c>
      <x:c r="AC549" s="33" t="n">
        <x:f>--OR(WorkforceData[[#This Row],[Status]]="Resigned",WorkforceData[[#This Row],[Status After Training]]="Withdrew")</x:f>
        <x:v>0</x:v>
      </x:c>
      <x:c r="AD549" s="34" t="n">
        <x:f>EOMONTH(WorkforceData[[#This Row],[Training Date]],0)</x:f>
        <x:v>45777</x:v>
      </x:c>
      <x:c r="AE549" s="32" t="str">
        <x:f>IF(M549&lt;H549,"Existing Employee",IF(U549="","No Assignment",IF(V549=0,"0 Days",IF(V549&lt;=7,"1-7 Days",IF(V549&lt;=14,"8-14 Days",IF(V549&lt;=21,"15-21 Days","21+ Days"))))))</x:f>
        <x:v>Existing Employee</x:v>
      </x:c>
      <x:c r="AF54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49" s="33" t="n">
        <x:f>--(WorkforceData[[#This Row],[Total Days Worked]]&gt;=121)</x:f>
        <x:v>1</x:v>
      </x:c>
    </x:row>
    <x:row r="550">
      <x:c r="A550" s="236" t="str">
        <x:v>TRN-0549</x:v>
      </x:c>
      <x:c r="B550" s="243"/>
      <x:c r="C550" s="243"/>
      <x:c r="D550" s="243"/>
      <x:c r="E550" s="243"/>
      <x:c r="F550" s="14" t="str">
        <x:v>Recruiter H</x:v>
      </x:c>
      <x:c r="G550" s="14" t="str">
        <x:v>Training Center A</x:v>
      </x:c>
      <x:c r="H550" s="28">
        <x:v>45760</x:v>
      </x:c>
      <x:c r="I550" s="14">
        <x:v>2025</x:v>
      </x:c>
      <x:c r="J550" s="14" t="s">
        <x:v>126</x:v>
      </x:c>
      <x:c r="K550" s="14">
        <x:v>28</x:v>
      </x:c>
      <x:c r="L550" s="29" t="s">
        <x:v>101</x:v>
      </x:c>
      <x:c r="M550" s="28">
        <x:v>45750</x:v>
      </x:c>
      <x:c r="N550" s="28">
        <x:v>45858</x:v>
      </x:c>
      <x:c r="O550" s="14">
        <x:v>108</x:v>
      </x:c>
      <x:c r="P550" s="14" t="s">
        <x:v>113</x:v>
      </x:c>
      <x:c r="Q550" s="14" t="s">
        <x:v>103</x:v>
      </x:c>
      <x:c r="R550" s="14" t="s">
        <x:v>104</x:v>
      </x:c>
      <x:c r="S550" s="14" t="s">
        <x:v>105</x:v>
      </x:c>
      <x:c r="T550" s="14" t="str">
        <x:v>Region E</x:v>
      </x:c>
      <x:c r="U550" s="28">
        <x:v>45783</x:v>
      </x:c>
      <x:c r="V550" s="30">
        <x:v>23</x:v>
      </x:c>
      <x:c r="W550" s="14" t="s">
        <x:v>112</x:v>
      </x:c>
      <x:c r="X550" s="14" t="s">
        <x:v>106</x:v>
      </x:c>
      <x:c r="Y550" s="32" t="str">
        <x:v>TRN-0549|20250413</x:v>
      </x:c>
      <x:c r="Z550" s="32" t="str" cm="1">
        <x:f t="array" ref="Z55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550" s="33" t="n">
        <x:f>--OR(WorkforceData[[#This Row],[Status]]="Active",WorkforceData[[#This Row],[Promoted]]="Yes",WorkforceData[[#This Row],[Total Days Worked]]&gt;=121)</x:f>
        <x:v>0</x:v>
      </x:c>
      <x:c r="AB550" s="33" t="n">
        <x:f>IF(AND(Q550="Terminated",R550="",O550=0),1,0)</x:f>
        <x:v>0</x:v>
      </x:c>
      <x:c r="AC550" s="33" t="n">
        <x:f>--OR(WorkforceData[[#This Row],[Status]]="Resigned",WorkforceData[[#This Row],[Status After Training]]="Withdrew")</x:f>
        <x:v>1</x:v>
      </x:c>
      <x:c r="AD550" s="34" t="n">
        <x:f>EOMONTH(WorkforceData[[#This Row],[Training Date]],0)</x:f>
        <x:v>45777</x:v>
      </x:c>
      <x:c r="AE550" s="32" t="str">
        <x:f>IF(M550&lt;H550,"Existing Employee",IF(U550="","No Assignment",IF(V550=0,"0 Days",IF(V550&lt;=7,"1-7 Days",IF(V550&lt;=14,"8-14 Days",IF(V550&lt;=21,"15-21 Days","21+ Days"))))))</x:f>
        <x:v>Existing Employee</x:v>
      </x:c>
      <x:c r="AF55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91-120 Days</x:v>
      </x:c>
      <x:c r="AG550" s="33" t="n">
        <x:f>--(WorkforceData[[#This Row],[Total Days Worked]]&gt;=121)</x:f>
        <x:v>0</x:v>
      </x:c>
    </x:row>
    <x:row r="551">
      <x:c r="A551" s="236" t="str">
        <x:v>TRN-0550</x:v>
      </x:c>
      <x:c r="B551" s="243"/>
      <x:c r="C551" s="243"/>
      <x:c r="D551" s="243"/>
      <x:c r="E551" s="243"/>
      <x:c r="F551" s="14" t="str">
        <x:v>Recruiter A</x:v>
      </x:c>
      <x:c r="G551" s="14" t="str">
        <x:v>Training Center A</x:v>
      </x:c>
      <x:c r="H551" s="28">
        <x:v>45760</x:v>
      </x:c>
      <x:c r="I551" s="14">
        <x:v>2025</x:v>
      </x:c>
      <x:c r="J551" s="14" t="s">
        <x:v>126</x:v>
      </x:c>
      <x:c r="K551" s="14">
        <x:v>28</x:v>
      </x:c>
      <x:c r="L551" s="29" t="s">
        <x:v>101</x:v>
      </x:c>
      <x:c r="M551" s="28">
        <x:v>45760</x:v>
      </x:c>
      <x:c r="N551" s="28">
        <x:v>46251</x:v>
      </x:c>
      <x:c r="O551" s="14">
        <x:v>491</x:v>
      </x:c>
      <x:c r="P551" s="14" t="s">
        <x:v>120</x:v>
      </x:c>
      <x:c r="Q551" s="14" t="s">
        <x:v>103</x:v>
      </x:c>
      <x:c r="R551" s="14" t="s">
        <x:v>104</x:v>
      </x:c>
      <x:c r="S551" s="14" t="s">
        <x:v>108</x:v>
      </x:c>
      <x:c r="T551" s="14" t="str">
        <x:v>Region B</x:v>
      </x:c>
      <x:c r="U551" s="28">
        <x:v>45774</x:v>
      </x:c>
      <x:c r="V551" s="30">
        <x:v>14</x:v>
      </x:c>
      <x:c r="W551" s="14" t="s">
        <x:v>45</x:v>
      </x:c>
      <x:c r="X551" s="14" t="s">
        <x:v>106</x:v>
      </x:c>
      <x:c r="Y551" s="32" t="str">
        <x:v>TRN-0550|20250413</x:v>
      </x:c>
      <x:c r="Z551" s="32" t="str" cm="1">
        <x:f t="array" ref="Z55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551" s="33" t="n">
        <x:f>--OR(WorkforceData[[#This Row],[Status]]="Active",WorkforceData[[#This Row],[Promoted]]="Yes",WorkforceData[[#This Row],[Total Days Worked]]&gt;=121)</x:f>
        <x:v>1</x:v>
      </x:c>
      <x:c r="AB551" s="33" t="n">
        <x:f>IF(AND(Q551="Terminated",R551="",O551=0),1,0)</x:f>
        <x:v>0</x:v>
      </x:c>
      <x:c r="AC551" s="33" t="n">
        <x:f>--OR(WorkforceData[[#This Row],[Status]]="Resigned",WorkforceData[[#This Row],[Status After Training]]="Withdrew")</x:f>
        <x:v>1</x:v>
      </x:c>
      <x:c r="AD551" s="34" t="n">
        <x:f>EOMONTH(WorkforceData[[#This Row],[Training Date]],0)</x:f>
        <x:v>45777</x:v>
      </x:c>
      <x:c r="AE551" s="32" t="str">
        <x:f>IF(M551&lt;H551,"Existing Employee",IF(U551="","No Assignment",IF(V551=0,"0 Days",IF(V551&lt;=7,"1-7 Days",IF(V551&lt;=14,"8-14 Days",IF(V551&lt;=21,"15-21 Days","21+ Days"))))))</x:f>
        <x:v>8-14 Days</x:v>
      </x:c>
      <x:c r="AF55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51" s="33" t="n">
        <x:f>--(WorkforceData[[#This Row],[Total Days Worked]]&gt;=121)</x:f>
        <x:v>1</x:v>
      </x:c>
    </x:row>
    <x:row r="552">
      <x:c r="A552" s="236" t="str">
        <x:v>TRN-0551</x:v>
      </x:c>
      <x:c r="B552" s="243"/>
      <x:c r="C552" s="243"/>
      <x:c r="D552" s="243"/>
      <x:c r="E552" s="243"/>
      <x:c r="F552" s="14" t="str">
        <x:v>Recruiter D</x:v>
      </x:c>
      <x:c r="G552" s="14" t="str">
        <x:v>Training Center A</x:v>
      </x:c>
      <x:c r="H552" s="28">
        <x:v>45760</x:v>
      </x:c>
      <x:c r="I552" s="14">
        <x:v>2025</x:v>
      </x:c>
      <x:c r="J552" s="14" t="s">
        <x:v>126</x:v>
      </x:c>
      <x:c r="K552" s="14">
        <x:v>28</x:v>
      </x:c>
      <x:c r="L552" s="29" t="s">
        <x:v>101</x:v>
      </x:c>
      <x:c r="M552" s="28">
        <x:v>45759</x:v>
      </x:c>
      <x:c r="N552" s="28">
        <x:v>45859</x:v>
      </x:c>
      <x:c r="O552" s="14">
        <x:v>100</x:v>
      </x:c>
      <x:c r="P552" s="14" t="s">
        <x:v>113</x:v>
      </x:c>
      <x:c r="Q552" s="14" t="s">
        <x:v>33</x:v>
      </x:c>
      <x:c r="R552" s="14" t="s">
        <x:v>116</x:v>
      </x:c>
      <x:c r="S552" s="14" t="s">
        <x:v>105</x:v>
      </x:c>
      <x:c r="T552" s="14" t="str">
        <x:v>Region B</x:v>
      </x:c>
      <x:c r="U552" s="28">
        <x:v>45764</x:v>
      </x:c>
      <x:c r="V552" s="30">
        <x:v>4</x:v>
      </x:c>
      <x:c r="W552" s="14" t="s">
        <x:v>109</x:v>
      </x:c>
      <x:c r="X552" s="14" t="s">
        <x:v>106</x:v>
      </x:c>
      <x:c r="Y552" s="32" t="str">
        <x:v>TRN-0551|20250413</x:v>
      </x:c>
      <x:c r="Z552" s="32" t="str" cm="1">
        <x:f t="array" ref="Z55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552" s="33" t="n">
        <x:f>--OR(WorkforceData[[#This Row],[Status]]="Active",WorkforceData[[#This Row],[Promoted]]="Yes",WorkforceData[[#This Row],[Total Days Worked]]&gt;=121)</x:f>
        <x:v>0</x:v>
      </x:c>
      <x:c r="AB552" s="33" t="n">
        <x:f>IF(AND(Q552="Terminated",R552="",O552=0),1,0)</x:f>
        <x:v>0</x:v>
      </x:c>
      <x:c r="AC552" s="33" t="n">
        <x:f>--OR(WorkforceData[[#This Row],[Status]]="Resigned",WorkforceData[[#This Row],[Status After Training]]="Withdrew")</x:f>
        <x:v>0</x:v>
      </x:c>
      <x:c r="AD552" s="34" t="n">
        <x:f>EOMONTH(WorkforceData[[#This Row],[Training Date]],0)</x:f>
        <x:v>45777</x:v>
      </x:c>
      <x:c r="AE552" s="32" t="str">
        <x:f>IF(M552&lt;H552,"Existing Employee",IF(U552="","No Assignment",IF(V552=0,"0 Days",IF(V552&lt;=7,"1-7 Days",IF(V552&lt;=14,"8-14 Days",IF(V552&lt;=21,"15-21 Days","21+ Days"))))))</x:f>
        <x:v>Existing Employee</x:v>
      </x:c>
      <x:c r="AF55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91-120 Days</x:v>
      </x:c>
      <x:c r="AG552" s="33" t="n">
        <x:f>--(WorkforceData[[#This Row],[Total Days Worked]]&gt;=121)</x:f>
        <x:v>0</x:v>
      </x:c>
    </x:row>
    <x:row r="553">
      <x:c r="A553" s="236" t="str">
        <x:v>TRN-0552</x:v>
      </x:c>
      <x:c r="B553" s="243"/>
      <x:c r="C553" s="243"/>
      <x:c r="D553" s="243"/>
      <x:c r="E553" s="243"/>
      <x:c r="F553" s="14" t="str">
        <x:v>Recruiter G</x:v>
      </x:c>
      <x:c r="G553" s="14" t="str">
        <x:v>Training Center A</x:v>
      </x:c>
      <x:c r="H553" s="28">
        <x:v>45760</x:v>
      </x:c>
      <x:c r="I553" s="14">
        <x:v>2025</x:v>
      </x:c>
      <x:c r="J553" s="14" t="s">
        <x:v>126</x:v>
      </x:c>
      <x:c r="K553" s="14">
        <x:v>28</x:v>
      </x:c>
      <x:c r="L553" s="29" t="s">
        <x:v>101</x:v>
      </x:c>
      <x:c r="M553" s="28">
        <x:v>45750</x:v>
      </x:c>
      <x:c r="N553" s="28">
        <x:v>46251</x:v>
      </x:c>
      <x:c r="O553" s="14">
        <x:v>501</x:v>
      </x:c>
      <x:c r="P553" s="14" t="s">
        <x:v>120</x:v>
      </x:c>
      <x:c r="Q553" s="14" t="s">
        <x:v>103</x:v>
      </x:c>
      <x:c r="R553" s="14" t="s">
        <x:v>111</x:v>
      </x:c>
      <x:c r="S553" s="14" t="s">
        <x:v>108</x:v>
      </x:c>
      <x:c r="T553" s="14" t="str">
        <x:v>Region B</x:v>
      </x:c>
      <x:c r="U553" s="28">
        <x:v>45764</x:v>
      </x:c>
      <x:c r="V553" s="30">
        <x:v>4</x:v>
      </x:c>
      <x:c r="W553" s="14" t="s">
        <x:v>109</x:v>
      </x:c>
      <x:c r="X553" s="14" t="s">
        <x:v>106</x:v>
      </x:c>
      <x:c r="Y553" s="32" t="str">
        <x:v>TRN-0552|20250413</x:v>
      </x:c>
      <x:c r="Z553" s="32" t="str" cm="1">
        <x:f t="array" ref="Z55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553" s="33" t="n">
        <x:f>--OR(WorkforceData[[#This Row],[Status]]="Active",WorkforceData[[#This Row],[Promoted]]="Yes",WorkforceData[[#This Row],[Total Days Worked]]&gt;=121)</x:f>
        <x:v>1</x:v>
      </x:c>
      <x:c r="AB553" s="33" t="n">
        <x:f>IF(AND(Q553="Terminated",R553="",O553=0),1,0)</x:f>
        <x:v>0</x:v>
      </x:c>
      <x:c r="AC553" s="33" t="n">
        <x:f>--OR(WorkforceData[[#This Row],[Status]]="Resigned",WorkforceData[[#This Row],[Status After Training]]="Withdrew")</x:f>
        <x:v>1</x:v>
      </x:c>
      <x:c r="AD553" s="34" t="n">
        <x:f>EOMONTH(WorkforceData[[#This Row],[Training Date]],0)</x:f>
        <x:v>45777</x:v>
      </x:c>
      <x:c r="AE553" s="32" t="str">
        <x:f>IF(M553&lt;H553,"Existing Employee",IF(U553="","No Assignment",IF(V553=0,"0 Days",IF(V553&lt;=7,"1-7 Days",IF(V553&lt;=14,"8-14 Days",IF(V553&lt;=21,"15-21 Days","21+ Days"))))))</x:f>
        <x:v>Existing Employee</x:v>
      </x:c>
      <x:c r="AF55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53" s="33" t="n">
        <x:f>--(WorkforceData[[#This Row],[Total Days Worked]]&gt;=121)</x:f>
        <x:v>1</x:v>
      </x:c>
    </x:row>
    <x:row r="554">
      <x:c r="A554" s="236" t="str">
        <x:v>TRN-0553</x:v>
      </x:c>
      <x:c r="B554" s="243"/>
      <x:c r="C554" s="243"/>
      <x:c r="D554" s="243"/>
      <x:c r="E554" s="243"/>
      <x:c r="F554" s="14" t="str">
        <x:v>Recruiter D</x:v>
      </x:c>
      <x:c r="G554" s="14" t="str">
        <x:v>Training Center A</x:v>
      </x:c>
      <x:c r="H554" s="28">
        <x:v>45760</x:v>
      </x:c>
      <x:c r="I554" s="14">
        <x:v>2025</x:v>
      </x:c>
      <x:c r="J554" s="14" t="s">
        <x:v>126</x:v>
      </x:c>
      <x:c r="K554" s="14">
        <x:v>28</x:v>
      </x:c>
      <x:c r="L554" s="29" t="s">
        <x:v>101</x:v>
      </x:c>
      <x:c r="M554" s="28">
        <x:v>45757</x:v>
      </x:c>
      <x:c r="N554" s="14"/>
      <x:c r="O554" s="14">
        <x:v>494</x:v>
      </x:c>
      <x:c r="P554" s="14" t="s">
        <x:v>120</x:v>
      </x:c>
      <x:c r="Q554" s="14" t="s">
        <x:v>38</x:v>
      </x:c>
      <x:c r="R554" s="14"/>
      <x:c r="S554" s="14" t="s">
        <x:v>108</x:v>
      </x:c>
      <x:c r="T554" s="14" t="str">
        <x:v>Region A</x:v>
      </x:c>
      <x:c r="U554" s="28">
        <x:v>45765</x:v>
      </x:c>
      <x:c r="V554" s="30">
        <x:v>5</x:v>
      </x:c>
      <x:c r="W554" s="14" t="s">
        <x:v>109</x:v>
      </x:c>
      <x:c r="X554" s="14" t="s">
        <x:v>106</x:v>
      </x:c>
      <x:c r="Y554" s="32" t="str">
        <x:v>TRN-0553|20250413</x:v>
      </x:c>
      <x:c r="Z554" s="32" t="str" cm="1">
        <x:f t="array" ref="Z55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554" s="33" t="n">
        <x:f>--OR(WorkforceData[[#This Row],[Status]]="Active",WorkforceData[[#This Row],[Promoted]]="Yes",WorkforceData[[#This Row],[Total Days Worked]]&gt;=121)</x:f>
        <x:v>1</x:v>
      </x:c>
      <x:c r="AB554" s="33" t="n">
        <x:f>IF(AND(Q554="Terminated",R554="",O554=0),1,0)</x:f>
        <x:v>0</x:v>
      </x:c>
      <x:c r="AC554" s="33" t="n">
        <x:f>--OR(WorkforceData[[#This Row],[Status]]="Resigned",WorkforceData[[#This Row],[Status After Training]]="Withdrew")</x:f>
        <x:v>0</x:v>
      </x:c>
      <x:c r="AD554" s="34" t="n">
        <x:f>EOMONTH(WorkforceData[[#This Row],[Training Date]],0)</x:f>
        <x:v>45777</x:v>
      </x:c>
      <x:c r="AE554" s="32" t="str">
        <x:f>IF(M554&lt;H554,"Existing Employee",IF(U554="","No Assignment",IF(V554=0,"0 Days",IF(V554&lt;=7,"1-7 Days",IF(V554&lt;=14,"8-14 Days",IF(V554&lt;=21,"15-21 Days","21+ Days"))))))</x:f>
        <x:v>Existing Employee</x:v>
      </x:c>
      <x:c r="AF55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54" s="33" t="n">
        <x:f>--(WorkforceData[[#This Row],[Total Days Worked]]&gt;=121)</x:f>
        <x:v>1</x:v>
      </x:c>
    </x:row>
    <x:row r="555">
      <x:c r="A555" s="236" t="str">
        <x:v>TRN-0554</x:v>
      </x:c>
      <x:c r="B555" s="243"/>
      <x:c r="C555" s="243"/>
      <x:c r="D555" s="243"/>
      <x:c r="E555" s="243"/>
      <x:c r="F555" s="14" t="str">
        <x:v>Recruiter D</x:v>
      </x:c>
      <x:c r="G555" s="14" t="str">
        <x:v>Training Center A</x:v>
      </x:c>
      <x:c r="H555" s="28">
        <x:v>45760</x:v>
      </x:c>
      <x:c r="I555" s="14">
        <x:v>2025</x:v>
      </x:c>
      <x:c r="J555" s="14" t="s">
        <x:v>126</x:v>
      </x:c>
      <x:c r="K555" s="14">
        <x:v>28</x:v>
      </x:c>
      <x:c r="L555" s="29" t="s">
        <x:v>101</x:v>
      </x:c>
      <x:c r="M555" s="28">
        <x:v>45758</x:v>
      </x:c>
      <x:c r="N555" s="14"/>
      <x:c r="O555" s="14">
        <x:v>493</x:v>
      </x:c>
      <x:c r="P555" s="14" t="s">
        <x:v>120</x:v>
      </x:c>
      <x:c r="Q555" s="14" t="s">
        <x:v>25</x:v>
      </x:c>
      <x:c r="R555" s="14"/>
      <x:c r="S555" s="14" t="s">
        <x:v>108</x:v>
      </x:c>
      <x:c r="T555" s="14" t="str">
        <x:v>Region A</x:v>
      </x:c>
      <x:c r="U555" s="28">
        <x:v>45764</x:v>
      </x:c>
      <x:c r="V555" s="30">
        <x:v>4</x:v>
      </x:c>
      <x:c r="W555" s="14" t="s">
        <x:v>109</x:v>
      </x:c>
      <x:c r="X555" s="14" t="s">
        <x:v>106</x:v>
      </x:c>
      <x:c r="Y555" s="32" t="str">
        <x:v>TRN-0554|20250413</x:v>
      </x:c>
      <x:c r="Z555" s="32" t="str" cm="1">
        <x:f t="array" ref="Z55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555" s="33" t="n">
        <x:f>--OR(WorkforceData[[#This Row],[Status]]="Active",WorkforceData[[#This Row],[Promoted]]="Yes",WorkforceData[[#This Row],[Total Days Worked]]&gt;=121)</x:f>
        <x:v>1</x:v>
      </x:c>
      <x:c r="AB555" s="33" t="n">
        <x:f>IF(AND(Q555="Terminated",R555="",O555=0),1,0)</x:f>
        <x:v>0</x:v>
      </x:c>
      <x:c r="AC555" s="33" t="n">
        <x:f>--OR(WorkforceData[[#This Row],[Status]]="Resigned",WorkforceData[[#This Row],[Status After Training]]="Withdrew")</x:f>
        <x:v>0</x:v>
      </x:c>
      <x:c r="AD555" s="34" t="n">
        <x:f>EOMONTH(WorkforceData[[#This Row],[Training Date]],0)</x:f>
        <x:v>45777</x:v>
      </x:c>
      <x:c r="AE555" s="32" t="str">
        <x:f>IF(M555&lt;H555,"Existing Employee",IF(U555="","No Assignment",IF(V555=0,"0 Days",IF(V555&lt;=7,"1-7 Days",IF(V555&lt;=14,"8-14 Days",IF(V555&lt;=21,"15-21 Days","21+ Days"))))))</x:f>
        <x:v>Existing Employee</x:v>
      </x:c>
      <x:c r="AF55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55" s="33" t="n">
        <x:f>--(WorkforceData[[#This Row],[Total Days Worked]]&gt;=121)</x:f>
        <x:v>1</x:v>
      </x:c>
    </x:row>
    <x:row r="556">
      <x:c r="A556" s="236" t="str">
        <x:v>TRN-0555</x:v>
      </x:c>
      <x:c r="B556" s="243"/>
      <x:c r="C556" s="243"/>
      <x:c r="D556" s="243"/>
      <x:c r="E556" s="243"/>
      <x:c r="F556" s="14" t="str">
        <x:v>Recruiter F</x:v>
      </x:c>
      <x:c r="G556" s="14" t="str">
        <x:v>Training Center A</x:v>
      </x:c>
      <x:c r="H556" s="28">
        <x:v>45760</x:v>
      </x:c>
      <x:c r="I556" s="14">
        <x:v>2025</x:v>
      </x:c>
      <x:c r="J556" s="14" t="s">
        <x:v>126</x:v>
      </x:c>
      <x:c r="K556" s="14">
        <x:v>28</x:v>
      </x:c>
      <x:c r="L556" s="29" t="s">
        <x:v>101</x:v>
      </x:c>
      <x:c r="M556" s="28">
        <x:v>45758</x:v>
      </x:c>
      <x:c r="N556" s="14"/>
      <x:c r="O556" s="14">
        <x:v>493</x:v>
      </x:c>
      <x:c r="P556" s="14" t="s">
        <x:v>120</x:v>
      </x:c>
      <x:c r="Q556" s="14" t="s">
        <x:v>25</x:v>
      </x:c>
      <x:c r="R556" s="14"/>
      <x:c r="S556" s="14" t="s">
        <x:v>108</x:v>
      </x:c>
      <x:c r="T556" s="14" t="str">
        <x:v>Region D</x:v>
      </x:c>
      <x:c r="U556" s="28">
        <x:v>45771</x:v>
      </x:c>
      <x:c r="V556" s="30">
        <x:v>11</x:v>
      </x:c>
      <x:c r="W556" s="14" t="s">
        <x:v>45</x:v>
      </x:c>
      <x:c r="X556" s="14" t="s">
        <x:v>106</x:v>
      </x:c>
      <x:c r="Y556" s="32" t="str">
        <x:v>TRN-0555|20250413</x:v>
      </x:c>
      <x:c r="Z556" s="32" t="str" cm="1">
        <x:f t="array" ref="Z55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556" s="33" t="n">
        <x:f>--OR(WorkforceData[[#This Row],[Status]]="Active",WorkforceData[[#This Row],[Promoted]]="Yes",WorkforceData[[#This Row],[Total Days Worked]]&gt;=121)</x:f>
        <x:v>1</x:v>
      </x:c>
      <x:c r="AB556" s="33" t="n">
        <x:f>IF(AND(Q556="Terminated",R556="",O556=0),1,0)</x:f>
        <x:v>0</x:v>
      </x:c>
      <x:c r="AC556" s="33" t="n">
        <x:f>--OR(WorkforceData[[#This Row],[Status]]="Resigned",WorkforceData[[#This Row],[Status After Training]]="Withdrew")</x:f>
        <x:v>0</x:v>
      </x:c>
      <x:c r="AD556" s="34" t="n">
        <x:f>EOMONTH(WorkforceData[[#This Row],[Training Date]],0)</x:f>
        <x:v>45777</x:v>
      </x:c>
      <x:c r="AE556" s="32" t="str">
        <x:f>IF(M556&lt;H556,"Existing Employee",IF(U556="","No Assignment",IF(V556=0,"0 Days",IF(V556&lt;=7,"1-7 Days",IF(V556&lt;=14,"8-14 Days",IF(V556&lt;=21,"15-21 Days","21+ Days"))))))</x:f>
        <x:v>Existing Employee</x:v>
      </x:c>
      <x:c r="AF55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56" s="33" t="n">
        <x:f>--(WorkforceData[[#This Row],[Total Days Worked]]&gt;=121)</x:f>
        <x:v>1</x:v>
      </x:c>
    </x:row>
    <x:row r="557">
      <x:c r="A557" s="236" t="str">
        <x:v>TRN-0556</x:v>
      </x:c>
      <x:c r="B557" s="243"/>
      <x:c r="C557" s="243"/>
      <x:c r="D557" s="243"/>
      <x:c r="E557" s="243"/>
      <x:c r="F557" s="14" t="str">
        <x:v>Recruiter G</x:v>
      </x:c>
      <x:c r="G557" s="14" t="str">
        <x:v>Training Center A</x:v>
      </x:c>
      <x:c r="H557" s="28">
        <x:v>45760</x:v>
      </x:c>
      <x:c r="I557" s="14">
        <x:v>2025</x:v>
      </x:c>
      <x:c r="J557" s="14" t="s">
        <x:v>126</x:v>
      </x:c>
      <x:c r="K557" s="14">
        <x:v>28</x:v>
      </x:c>
      <x:c r="L557" s="29" t="s">
        <x:v>101</x:v>
      </x:c>
      <x:c r="M557" s="28">
        <x:v>45750</x:v>
      </x:c>
      <x:c r="N557" s="28">
        <x:v>45759</x:v>
      </x:c>
      <x:c r="O557" s="14">
        <x:v>9</x:v>
      </x:c>
      <x:c r="P557" s="14" t="s">
        <x:v>102</x:v>
      </x:c>
      <x:c r="Q557" s="14" t="s">
        <x:v>103</x:v>
      </x:c>
      <x:c r="R557" s="14" t="s">
        <x:v>111</x:v>
      </x:c>
      <x:c r="S557" s="14" t="s">
        <x:v>105</x:v>
      </x:c>
      <x:c r="T557" s="14"/>
      <x:c r="U557" s="28"/>
      <x:c r="V557" s="30"/>
      <x:c r="W557" s="14"/>
      <x:c r="X557" s="14" t="s">
        <x:v>71</x:v>
      </x:c>
      <x:c r="Y557" s="32" t="str">
        <x:v>TRN-0556|20250413</x:v>
      </x:c>
      <x:c r="Z557" s="32" t="str" cm="1">
        <x:f t="array" ref="Z55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557" s="33" t="n">
        <x:f>--OR(WorkforceData[[#This Row],[Status]]="Active",WorkforceData[[#This Row],[Promoted]]="Yes",WorkforceData[[#This Row],[Total Days Worked]]&gt;=121)</x:f>
        <x:v>0</x:v>
      </x:c>
      <x:c r="AB557" s="33" t="n">
        <x:f>IF(AND(Q557="Terminated",R557="",O557=0),1,0)</x:f>
        <x:v>0</x:v>
      </x:c>
      <x:c r="AC557" s="33" t="n">
        <x:f>--OR(WorkforceData[[#This Row],[Status]]="Resigned",WorkforceData[[#This Row],[Status After Training]]="Withdrew")</x:f>
        <x:v>1</x:v>
      </x:c>
      <x:c r="AD557" s="34" t="n">
        <x:f>EOMONTH(WorkforceData[[#This Row],[Training Date]],0)</x:f>
        <x:v>45777</x:v>
      </x:c>
      <x:c r="AE557" s="32" t="str">
        <x:f>IF(M557&lt;H557,"Existing Employee",IF(U557="","No Assignment",IF(V557=0,"0 Days",IF(V557&lt;=7,"1-7 Days",IF(V557&lt;=14,"8-14 Days",IF(V557&lt;=21,"15-21 Days","21+ Days"))))))</x:f>
        <x:v>Existing Employee</x:v>
      </x:c>
      <x:c r="AF55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557" s="33" t="n">
        <x:f>--(WorkforceData[[#This Row],[Total Days Worked]]&gt;=121)</x:f>
        <x:v>0</x:v>
      </x:c>
    </x:row>
    <x:row r="558">
      <x:c r="A558" s="236" t="str">
        <x:v>TRN-0557</x:v>
      </x:c>
      <x:c r="B558" s="243"/>
      <x:c r="C558" s="243"/>
      <x:c r="D558" s="243"/>
      <x:c r="E558" s="243"/>
      <x:c r="F558" s="14" t="str">
        <x:v>Recruiter H</x:v>
      </x:c>
      <x:c r="G558" s="14" t="str">
        <x:v>Training Center A</x:v>
      </x:c>
      <x:c r="H558" s="28">
        <x:v>45760</x:v>
      </x:c>
      <x:c r="I558" s="14">
        <x:v>2025</x:v>
      </x:c>
      <x:c r="J558" s="14" t="s">
        <x:v>126</x:v>
      </x:c>
      <x:c r="K558" s="14">
        <x:v>28</x:v>
      </x:c>
      <x:c r="L558" s="29" t="s">
        <x:v>101</x:v>
      </x:c>
      <x:c r="M558" s="28">
        <x:v>45759</x:v>
      </x:c>
      <x:c r="N558" s="28">
        <x:v>45784</x:v>
      </x:c>
      <x:c r="O558" s="14">
        <x:v>25</x:v>
      </x:c>
      <x:c r="P558" s="14" t="s">
        <x:v>102</x:v>
      </x:c>
      <x:c r="Q558" s="14" t="s">
        <x:v>103</x:v>
      </x:c>
      <x:c r="R558" s="14" t="s">
        <x:v>104</x:v>
      </x:c>
      <x:c r="S558" s="14" t="s">
        <x:v>105</x:v>
      </x:c>
      <x:c r="T558" s="14" t="str">
        <x:v>Region A</x:v>
      </x:c>
      <x:c r="U558" s="28">
        <x:v>45784</x:v>
      </x:c>
      <x:c r="V558" s="30">
        <x:v>24</x:v>
      </x:c>
      <x:c r="W558" s="14" t="s">
        <x:v>112</x:v>
      </x:c>
      <x:c r="X558" s="14" t="s">
        <x:v>106</x:v>
      </x:c>
      <x:c r="Y558" s="32" t="str">
        <x:v>TRN-0557|20250413</x:v>
      </x:c>
      <x:c r="Z558" s="32" t="str" cm="1">
        <x:f t="array" ref="Z55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558" s="33" t="n">
        <x:f>--OR(WorkforceData[[#This Row],[Status]]="Active",WorkforceData[[#This Row],[Promoted]]="Yes",WorkforceData[[#This Row],[Total Days Worked]]&gt;=121)</x:f>
        <x:v>0</x:v>
      </x:c>
      <x:c r="AB558" s="33" t="n">
        <x:f>IF(AND(Q558="Terminated",R558="",O558=0),1,0)</x:f>
        <x:v>0</x:v>
      </x:c>
      <x:c r="AC558" s="33" t="n">
        <x:f>--OR(WorkforceData[[#This Row],[Status]]="Resigned",WorkforceData[[#This Row],[Status After Training]]="Withdrew")</x:f>
        <x:v>1</x:v>
      </x:c>
      <x:c r="AD558" s="34" t="n">
        <x:f>EOMONTH(WorkforceData[[#This Row],[Training Date]],0)</x:f>
        <x:v>45777</x:v>
      </x:c>
      <x:c r="AE558" s="32" t="str">
        <x:f>IF(M558&lt;H558,"Existing Employee",IF(U558="","No Assignment",IF(V558=0,"0 Days",IF(V558&lt;=7,"1-7 Days",IF(V558&lt;=14,"8-14 Days",IF(V558&lt;=21,"15-21 Days","21+ Days"))))))</x:f>
        <x:v>Existing Employee</x:v>
      </x:c>
      <x:c r="AF55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558" s="33" t="n">
        <x:f>--(WorkforceData[[#This Row],[Total Days Worked]]&gt;=121)</x:f>
        <x:v>0</x:v>
      </x:c>
    </x:row>
    <x:row r="559">
      <x:c r="A559" s="236" t="str">
        <x:v>TRN-0558</x:v>
      </x:c>
      <x:c r="B559" s="243"/>
      <x:c r="C559" s="243"/>
      <x:c r="D559" s="243"/>
      <x:c r="E559" s="243"/>
      <x:c r="F559" s="14" t="str">
        <x:v>Recruiter G</x:v>
      </x:c>
      <x:c r="G559" s="14" t="str">
        <x:v>Training Center A</x:v>
      </x:c>
      <x:c r="H559" s="28">
        <x:v>45760</x:v>
      </x:c>
      <x:c r="I559" s="14">
        <x:v>2025</x:v>
      </x:c>
      <x:c r="J559" s="14" t="s">
        <x:v>126</x:v>
      </x:c>
      <x:c r="K559" s="14">
        <x:v>28</x:v>
      </x:c>
      <x:c r="L559" s="29" t="s">
        <x:v>101</x:v>
      </x:c>
      <x:c r="M559" s="28">
        <x:v>45755</x:v>
      </x:c>
      <x:c r="N559" s="28">
        <x:v>45766</x:v>
      </x:c>
      <x:c r="O559" s="14">
        <x:v>11</x:v>
      </x:c>
      <x:c r="P559" s="14" t="s">
        <x:v>102</x:v>
      </x:c>
      <x:c r="Q559" s="14" t="s">
        <x:v>103</x:v>
      </x:c>
      <x:c r="R559" s="14" t="s">
        <x:v>104</x:v>
      </x:c>
      <x:c r="S559" s="14" t="s">
        <x:v>105</x:v>
      </x:c>
      <x:c r="T559" s="14" t="str">
        <x:v>Region D</x:v>
      </x:c>
      <x:c r="U559" s="28">
        <x:v>45761</x:v>
      </x:c>
      <x:c r="V559" s="30">
        <x:v>1</x:v>
      </x:c>
      <x:c r="W559" s="14" t="s">
        <x:v>109</x:v>
      </x:c>
      <x:c r="X559" s="14" t="s">
        <x:v>106</x:v>
      </x:c>
      <x:c r="Y559" s="32" t="str">
        <x:v>TRN-0558|20250413</x:v>
      </x:c>
      <x:c r="Z559" s="32" t="str" cm="1">
        <x:f t="array" ref="Z55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559" s="33" t="n">
        <x:f>--OR(WorkforceData[[#This Row],[Status]]="Active",WorkforceData[[#This Row],[Promoted]]="Yes",WorkforceData[[#This Row],[Total Days Worked]]&gt;=121)</x:f>
        <x:v>0</x:v>
      </x:c>
      <x:c r="AB559" s="33" t="n">
        <x:f>IF(AND(Q559="Terminated",R559="",O559=0),1,0)</x:f>
        <x:v>0</x:v>
      </x:c>
      <x:c r="AC559" s="33" t="n">
        <x:f>--OR(WorkforceData[[#This Row],[Status]]="Resigned",WorkforceData[[#This Row],[Status After Training]]="Withdrew")</x:f>
        <x:v>1</x:v>
      </x:c>
      <x:c r="AD559" s="34" t="n">
        <x:f>EOMONTH(WorkforceData[[#This Row],[Training Date]],0)</x:f>
        <x:v>45777</x:v>
      </x:c>
      <x:c r="AE559" s="32" t="str">
        <x:f>IF(M559&lt;H559,"Existing Employee",IF(U559="","No Assignment",IF(V559=0,"0 Days",IF(V559&lt;=7,"1-7 Days",IF(V559&lt;=14,"8-14 Days",IF(V559&lt;=21,"15-21 Days","21+ Days"))))))</x:f>
        <x:v>Existing Employee</x:v>
      </x:c>
      <x:c r="AF55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559" s="33" t="n">
        <x:f>--(WorkforceData[[#This Row],[Total Days Worked]]&gt;=121)</x:f>
        <x:v>0</x:v>
      </x:c>
    </x:row>
    <x:row r="560">
      <x:c r="A560" s="236" t="str">
        <x:v>TRN-0559</x:v>
      </x:c>
      <x:c r="B560" s="243"/>
      <x:c r="C560" s="243"/>
      <x:c r="D560" s="243"/>
      <x:c r="E560" s="243"/>
      <x:c r="F560" s="14" t="str">
        <x:v>Recruiter B</x:v>
      </x:c>
      <x:c r="G560" s="14" t="str">
        <x:v>Training Center A</x:v>
      </x:c>
      <x:c r="H560" s="28">
        <x:v>45760</x:v>
      </x:c>
      <x:c r="I560" s="14">
        <x:v>2025</x:v>
      </x:c>
      <x:c r="J560" s="14" t="s">
        <x:v>126</x:v>
      </x:c>
      <x:c r="K560" s="14">
        <x:v>28</x:v>
      </x:c>
      <x:c r="L560" s="29" t="s">
        <x:v>101</x:v>
      </x:c>
      <x:c r="M560" s="28">
        <x:v>45760</x:v>
      </x:c>
      <x:c r="N560" s="14"/>
      <x:c r="O560" s="14">
        <x:v>491</x:v>
      </x:c>
      <x:c r="P560" s="14" t="s">
        <x:v>120</x:v>
      </x:c>
      <x:c r="Q560" s="14" t="s">
        <x:v>25</x:v>
      </x:c>
      <x:c r="R560" s="14"/>
      <x:c r="S560" s="14" t="s">
        <x:v>108</x:v>
      </x:c>
      <x:c r="T560" s="14" t="str">
        <x:v>Region C</x:v>
      </x:c>
      <x:c r="U560" s="28">
        <x:v>45763</x:v>
      </x:c>
      <x:c r="V560" s="30">
        <x:v>3</x:v>
      </x:c>
      <x:c r="W560" s="14" t="s">
        <x:v>109</x:v>
      </x:c>
      <x:c r="X560" s="14" t="s">
        <x:v>106</x:v>
      </x:c>
      <x:c r="Y560" s="32" t="str">
        <x:v>TRN-0559|20250413</x:v>
      </x:c>
      <x:c r="Z560" s="32" t="str" cm="1">
        <x:f t="array" ref="Z56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560" s="33" t="n">
        <x:f>--OR(WorkforceData[[#This Row],[Status]]="Active",WorkforceData[[#This Row],[Promoted]]="Yes",WorkforceData[[#This Row],[Total Days Worked]]&gt;=121)</x:f>
        <x:v>1</x:v>
      </x:c>
      <x:c r="AB560" s="33" t="n">
        <x:f>IF(AND(Q560="Terminated",R560="",O560=0),1,0)</x:f>
        <x:v>0</x:v>
      </x:c>
      <x:c r="AC560" s="33" t="n">
        <x:f>--OR(WorkforceData[[#This Row],[Status]]="Resigned",WorkforceData[[#This Row],[Status After Training]]="Withdrew")</x:f>
        <x:v>0</x:v>
      </x:c>
      <x:c r="AD560" s="34" t="n">
        <x:f>EOMONTH(WorkforceData[[#This Row],[Training Date]],0)</x:f>
        <x:v>45777</x:v>
      </x:c>
      <x:c r="AE560" s="32" t="str">
        <x:f>IF(M560&lt;H560,"Existing Employee",IF(U560="","No Assignment",IF(V560=0,"0 Days",IF(V560&lt;=7,"1-7 Days",IF(V560&lt;=14,"8-14 Days",IF(V560&lt;=21,"15-21 Days","21+ Days"))))))</x:f>
        <x:v>1-7 Days</x:v>
      </x:c>
      <x:c r="AF56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60" s="33" t="n">
        <x:f>--(WorkforceData[[#This Row],[Total Days Worked]]&gt;=121)</x:f>
        <x:v>1</x:v>
      </x:c>
    </x:row>
    <x:row r="561">
      <x:c r="A561" s="236" t="str">
        <x:v>TRN-0560</x:v>
      </x:c>
      <x:c r="B561" s="243"/>
      <x:c r="C561" s="243"/>
      <x:c r="D561" s="243"/>
      <x:c r="E561" s="243"/>
      <x:c r="F561" s="14" t="str">
        <x:v>Recruiter D</x:v>
      </x:c>
      <x:c r="G561" s="14" t="str">
        <x:v>Training Center A</x:v>
      </x:c>
      <x:c r="H561" s="28">
        <x:v>45760</x:v>
      </x:c>
      <x:c r="I561" s="14">
        <x:v>2025</x:v>
      </x:c>
      <x:c r="J561" s="14" t="s">
        <x:v>126</x:v>
      </x:c>
      <x:c r="K561" s="14">
        <x:v>28</x:v>
      </x:c>
      <x:c r="L561" s="29" t="s">
        <x:v>101</x:v>
      </x:c>
      <x:c r="M561" s="28">
        <x:v>45760</x:v>
      </x:c>
      <x:c r="N561" s="14"/>
      <x:c r="O561" s="14">
        <x:v>491</x:v>
      </x:c>
      <x:c r="P561" s="14" t="s">
        <x:v>120</x:v>
      </x:c>
      <x:c r="Q561" s="14" t="s">
        <x:v>38</x:v>
      </x:c>
      <x:c r="R561" s="14"/>
      <x:c r="S561" s="14" t="s">
        <x:v>108</x:v>
      </x:c>
      <x:c r="T561" s="14" t="str">
        <x:v>Region B</x:v>
      </x:c>
      <x:c r="U561" s="28">
        <x:v>45770</x:v>
      </x:c>
      <x:c r="V561" s="30">
        <x:v>10</x:v>
      </x:c>
      <x:c r="W561" s="14" t="s">
        <x:v>45</x:v>
      </x:c>
      <x:c r="X561" s="14" t="s">
        <x:v>106</x:v>
      </x:c>
      <x:c r="Y561" s="32" t="str">
        <x:v>TRN-0560|20250413</x:v>
      </x:c>
      <x:c r="Z561" s="32" t="str" cm="1">
        <x:f t="array" ref="Z56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561" s="33" t="n">
        <x:f>--OR(WorkforceData[[#This Row],[Status]]="Active",WorkforceData[[#This Row],[Promoted]]="Yes",WorkforceData[[#This Row],[Total Days Worked]]&gt;=121)</x:f>
        <x:v>1</x:v>
      </x:c>
      <x:c r="AB561" s="33" t="n">
        <x:f>IF(AND(Q561="Terminated",R561="",O561=0),1,0)</x:f>
        <x:v>0</x:v>
      </x:c>
      <x:c r="AC561" s="33" t="n">
        <x:f>--OR(WorkforceData[[#This Row],[Status]]="Resigned",WorkforceData[[#This Row],[Status After Training]]="Withdrew")</x:f>
        <x:v>0</x:v>
      </x:c>
      <x:c r="AD561" s="34" t="n">
        <x:f>EOMONTH(WorkforceData[[#This Row],[Training Date]],0)</x:f>
        <x:v>45777</x:v>
      </x:c>
      <x:c r="AE561" s="32" t="str">
        <x:f>IF(M561&lt;H561,"Existing Employee",IF(U561="","No Assignment",IF(V561=0,"0 Days",IF(V561&lt;=7,"1-7 Days",IF(V561&lt;=14,"8-14 Days",IF(V561&lt;=21,"15-21 Days","21+ Days"))))))</x:f>
        <x:v>8-14 Days</x:v>
      </x:c>
      <x:c r="AF56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61" s="33" t="n">
        <x:f>--(WorkforceData[[#This Row],[Total Days Worked]]&gt;=121)</x:f>
        <x:v>1</x:v>
      </x:c>
    </x:row>
    <x:row r="562">
      <x:c r="A562" s="236" t="str">
        <x:v>TRN-0561</x:v>
      </x:c>
      <x:c r="B562" s="243"/>
      <x:c r="C562" s="243"/>
      <x:c r="D562" s="243"/>
      <x:c r="E562" s="243"/>
      <x:c r="F562" s="14" t="str">
        <x:v>Recruiter A</x:v>
      </x:c>
      <x:c r="G562" s="14" t="str">
        <x:v>Training Center A</x:v>
      </x:c>
      <x:c r="H562" s="28">
        <x:v>45760</x:v>
      </x:c>
      <x:c r="I562" s="14">
        <x:v>2025</x:v>
      </x:c>
      <x:c r="J562" s="14" t="s">
        <x:v>126</x:v>
      </x:c>
      <x:c r="K562" s="14">
        <x:v>28</x:v>
      </x:c>
      <x:c r="L562" s="29" t="s">
        <x:v>101</x:v>
      </x:c>
      <x:c r="M562" s="28">
        <x:v>45760</x:v>
      </x:c>
      <x:c r="N562" s="28">
        <x:v>45898</x:v>
      </x:c>
      <x:c r="O562" s="14">
        <x:v>138</x:v>
      </x:c>
      <x:c r="P562" s="14" t="s">
        <x:v>113</x:v>
      </x:c>
      <x:c r="Q562" s="14" t="s">
        <x:v>103</x:v>
      </x:c>
      <x:c r="R562" s="14" t="s">
        <x:v>104</x:v>
      </x:c>
      <x:c r="S562" s="14" t="s">
        <x:v>105</x:v>
      </x:c>
      <x:c r="T562" s="14" t="str">
        <x:v>Region C</x:v>
      </x:c>
      <x:c r="U562" s="28">
        <x:v>45761</x:v>
      </x:c>
      <x:c r="V562" s="30">
        <x:v>1</x:v>
      </x:c>
      <x:c r="W562" s="14" t="s">
        <x:v>109</x:v>
      </x:c>
      <x:c r="X562" s="14" t="s">
        <x:v>106</x:v>
      </x:c>
      <x:c r="Y562" s="32" t="str">
        <x:v>TRN-0561|20250413</x:v>
      </x:c>
      <x:c r="Z562" s="32" t="str" cm="1">
        <x:f t="array" ref="Z56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Complete</x:v>
      </x:c>
      <x:c r="AA562" s="33" t="n">
        <x:f>--OR(WorkforceData[[#This Row],[Status]]="Active",WorkforceData[[#This Row],[Promoted]]="Yes",WorkforceData[[#This Row],[Total Days Worked]]&gt;=121)</x:f>
        <x:v>1</x:v>
      </x:c>
      <x:c r="AB562" s="33" t="n">
        <x:f>IF(AND(Q562="Terminated",R562="",O562=0),1,0)</x:f>
        <x:v>0</x:v>
      </x:c>
      <x:c r="AC562" s="33" t="n">
        <x:f>--OR(WorkforceData[[#This Row],[Status]]="Resigned",WorkforceData[[#This Row],[Status After Training]]="Withdrew")</x:f>
        <x:v>1</x:v>
      </x:c>
      <x:c r="AD562" s="34" t="n">
        <x:f>EOMONTH(WorkforceData[[#This Row],[Training Date]],0)</x:f>
        <x:v>45777</x:v>
      </x:c>
      <x:c r="AE562" s="32" t="str">
        <x:f>IF(M562&lt;H562,"Existing Employee",IF(U562="","No Assignment",IF(V562=0,"0 Days",IF(V562&lt;=7,"1-7 Days",IF(V562&lt;=14,"8-14 Days",IF(V562&lt;=21,"15-21 Days","21+ Days"))))))</x:f>
        <x:v>1-7 Days</x:v>
      </x:c>
      <x:c r="AF56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62" s="33" t="n">
        <x:f>--(WorkforceData[[#This Row],[Total Days Worked]]&gt;=121)</x:f>
        <x:v>1</x:v>
      </x:c>
    </x:row>
    <x:row r="563">
      <x:c r="A563" s="236" t="str">
        <x:v>TRN-0562</x:v>
      </x:c>
      <x:c r="B563" s="243"/>
      <x:c r="C563" s="243"/>
      <x:c r="D563" s="243"/>
      <x:c r="E563" s="243"/>
      <x:c r="F563" s="14" t="str">
        <x:v>Recruiter D</x:v>
      </x:c>
      <x:c r="G563" s="14" t="str">
        <x:v>Training Center A</x:v>
      </x:c>
      <x:c r="H563" s="28">
        <x:v>45760</x:v>
      </x:c>
      <x:c r="I563" s="14">
        <x:v>2025</x:v>
      </x:c>
      <x:c r="J563" s="14" t="s">
        <x:v>126</x:v>
      </x:c>
      <x:c r="K563" s="14">
        <x:v>28</x:v>
      </x:c>
      <x:c r="L563" s="29" t="s">
        <x:v>101</x:v>
      </x:c>
      <x:c r="M563" s="28">
        <x:v>45760</x:v>
      </x:c>
      <x:c r="N563" s="14"/>
      <x:c r="O563" s="14">
        <x:v>491</x:v>
      </x:c>
      <x:c r="P563" s="14" t="s">
        <x:v>120</x:v>
      </x:c>
      <x:c r="Q563" s="14" t="s">
        <x:v>25</x:v>
      </x:c>
      <x:c r="R563" s="14"/>
      <x:c r="S563" s="14" t="s">
        <x:v>108</x:v>
      </x:c>
      <x:c r="T563" s="14" t="str">
        <x:v>Region D</x:v>
      </x:c>
      <x:c r="U563" s="28">
        <x:v>45783</x:v>
      </x:c>
      <x:c r="V563" s="30">
        <x:v>23</x:v>
      </x:c>
      <x:c r="W563" s="14" t="s">
        <x:v>112</x:v>
      </x:c>
      <x:c r="X563" s="14" t="s">
        <x:v>106</x:v>
      </x:c>
      <x:c r="Y563" s="32" t="str">
        <x:v>TRN-0562|20250413</x:v>
      </x:c>
      <x:c r="Z563" s="32" t="str" cm="1">
        <x:f t="array" ref="Z56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563" s="33" t="n">
        <x:f>--OR(WorkforceData[[#This Row],[Status]]="Active",WorkforceData[[#This Row],[Promoted]]="Yes",WorkforceData[[#This Row],[Total Days Worked]]&gt;=121)</x:f>
        <x:v>1</x:v>
      </x:c>
      <x:c r="AB563" s="33" t="n">
        <x:f>IF(AND(Q563="Terminated",R563="",O563=0),1,0)</x:f>
        <x:v>0</x:v>
      </x:c>
      <x:c r="AC563" s="33" t="n">
        <x:f>--OR(WorkforceData[[#This Row],[Status]]="Resigned",WorkforceData[[#This Row],[Status After Training]]="Withdrew")</x:f>
        <x:v>0</x:v>
      </x:c>
      <x:c r="AD563" s="34" t="n">
        <x:f>EOMONTH(WorkforceData[[#This Row],[Training Date]],0)</x:f>
        <x:v>45777</x:v>
      </x:c>
      <x:c r="AE563" s="32" t="str">
        <x:f>IF(M563&lt;H563,"Existing Employee",IF(U563="","No Assignment",IF(V563=0,"0 Days",IF(V563&lt;=7,"1-7 Days",IF(V563&lt;=14,"8-14 Days",IF(V563&lt;=21,"15-21 Days","21+ Days"))))))</x:f>
        <x:v>21+ Days</x:v>
      </x:c>
      <x:c r="AF56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63" s="33" t="n">
        <x:f>--(WorkforceData[[#This Row],[Total Days Worked]]&gt;=121)</x:f>
        <x:v>1</x:v>
      </x:c>
    </x:row>
    <x:row r="564">
      <x:c r="A564" s="236" t="str">
        <x:v>TRN-0563</x:v>
      </x:c>
      <x:c r="B564" s="243"/>
      <x:c r="C564" s="243"/>
      <x:c r="D564" s="243"/>
      <x:c r="E564" s="243"/>
      <x:c r="F564" s="14" t="str">
        <x:v>Recruiter F</x:v>
      </x:c>
      <x:c r="G564" s="14" t="str">
        <x:v>Training Center A</x:v>
      </x:c>
      <x:c r="H564" s="28">
        <x:v>45760</x:v>
      </x:c>
      <x:c r="I564" s="14">
        <x:v>2025</x:v>
      </x:c>
      <x:c r="J564" s="14" t="s">
        <x:v>126</x:v>
      </x:c>
      <x:c r="K564" s="14">
        <x:v>28</x:v>
      </x:c>
      <x:c r="L564" s="29" t="s">
        <x:v>101</x:v>
      </x:c>
      <x:c r="M564" s="28">
        <x:v>45755</x:v>
      </x:c>
      <x:c r="N564" s="28">
        <x:v>46251</x:v>
      </x:c>
      <x:c r="O564" s="14">
        <x:v>496</x:v>
      </x:c>
      <x:c r="P564" s="14" t="s">
        <x:v>120</x:v>
      </x:c>
      <x:c r="Q564" s="14" t="s">
        <x:v>33</x:v>
      </x:c>
      <x:c r="R564" s="14" t="s">
        <x:v>124</x:v>
      </x:c>
      <x:c r="S564" s="14" t="s">
        <x:v>108</x:v>
      </x:c>
      <x:c r="T564" s="14" t="str">
        <x:v>Region C</x:v>
      </x:c>
      <x:c r="U564" s="28">
        <x:v>45763</x:v>
      </x:c>
      <x:c r="V564" s="30">
        <x:v>3</x:v>
      </x:c>
      <x:c r="W564" s="14" t="s">
        <x:v>109</x:v>
      </x:c>
      <x:c r="X564" s="14" t="s">
        <x:v>106</x:v>
      </x:c>
      <x:c r="Y564" s="32" t="str">
        <x:v>TRN-0563|20250413</x:v>
      </x:c>
      <x:c r="Z564" s="32" t="str" cm="1">
        <x:f t="array" ref="Z56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564" s="33" t="n">
        <x:f>--OR(WorkforceData[[#This Row],[Status]]="Active",WorkforceData[[#This Row],[Promoted]]="Yes",WorkforceData[[#This Row],[Total Days Worked]]&gt;=121)</x:f>
        <x:v>1</x:v>
      </x:c>
      <x:c r="AB564" s="33" t="n">
        <x:f>IF(AND(Q564="Terminated",R564="",O564=0),1,0)</x:f>
        <x:v>0</x:v>
      </x:c>
      <x:c r="AC564" s="33" t="n">
        <x:f>--OR(WorkforceData[[#This Row],[Status]]="Resigned",WorkforceData[[#This Row],[Status After Training]]="Withdrew")</x:f>
        <x:v>0</x:v>
      </x:c>
      <x:c r="AD564" s="34" t="n">
        <x:f>EOMONTH(WorkforceData[[#This Row],[Training Date]],0)</x:f>
        <x:v>45777</x:v>
      </x:c>
      <x:c r="AE564" s="32" t="str">
        <x:f>IF(M564&lt;H564,"Existing Employee",IF(U564="","No Assignment",IF(V564=0,"0 Days",IF(V564&lt;=7,"1-7 Days",IF(V564&lt;=14,"8-14 Days",IF(V564&lt;=21,"15-21 Days","21+ Days"))))))</x:f>
        <x:v>Existing Employee</x:v>
      </x:c>
      <x:c r="AF56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64" s="33" t="n">
        <x:f>--(WorkforceData[[#This Row],[Total Days Worked]]&gt;=121)</x:f>
        <x:v>1</x:v>
      </x:c>
    </x:row>
    <x:row r="565">
      <x:c r="A565" s="236" t="str">
        <x:v>TRN-0564</x:v>
      </x:c>
      <x:c r="B565" s="243"/>
      <x:c r="C565" s="243"/>
      <x:c r="D565" s="243"/>
      <x:c r="E565" s="243"/>
      <x:c r="F565" s="14" t="str">
        <x:v>Recruiter F</x:v>
      </x:c>
      <x:c r="G565" s="14" t="str">
        <x:v>Training Center A</x:v>
      </x:c>
      <x:c r="H565" s="28">
        <x:v>45760</x:v>
      </x:c>
      <x:c r="I565" s="14">
        <x:v>2025</x:v>
      </x:c>
      <x:c r="J565" s="14" t="s">
        <x:v>126</x:v>
      </x:c>
      <x:c r="K565" s="14">
        <x:v>28</x:v>
      </x:c>
      <x:c r="L565" s="29" t="s">
        <x:v>101</x:v>
      </x:c>
      <x:c r="M565" s="28">
        <x:v>45760</x:v>
      </x:c>
      <x:c r="N565" s="28">
        <x:v>46144</x:v>
      </x:c>
      <x:c r="O565" s="14">
        <x:v>384</x:v>
      </x:c>
      <x:c r="P565" s="14" t="s">
        <x:v>120</x:v>
      </x:c>
      <x:c r="Q565" s="14" t="s">
        <x:v>33</x:v>
      </x:c>
      <x:c r="R565" s="14" t="s">
        <x:v>116</x:v>
      </x:c>
      <x:c r="S565" s="14" t="s">
        <x:v>108</x:v>
      </x:c>
      <x:c r="T565" s="14" t="str">
        <x:v>Region D</x:v>
      </x:c>
      <x:c r="U565" s="28">
        <x:v>45799</x:v>
      </x:c>
      <x:c r="V565" s="30">
        <x:v>39</x:v>
      </x:c>
      <x:c r="W565" s="14" t="s">
        <x:v>63</x:v>
      </x:c>
      <x:c r="X565" s="14" t="s">
        <x:v>117</x:v>
      </x:c>
      <x:c r="Y565" s="32" t="str">
        <x:v>TRN-0564|20250413</x:v>
      </x:c>
      <x:c r="Z565" s="32" t="str" cm="1">
        <x:f t="array" ref="Z56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565" s="33" t="n">
        <x:f>--OR(WorkforceData[[#This Row],[Status]]="Active",WorkforceData[[#This Row],[Promoted]]="Yes",WorkforceData[[#This Row],[Total Days Worked]]&gt;=121)</x:f>
        <x:v>1</x:v>
      </x:c>
      <x:c r="AB565" s="33" t="n">
        <x:f>IF(AND(Q565="Terminated",R565="",O565=0),1,0)</x:f>
        <x:v>0</x:v>
      </x:c>
      <x:c r="AC565" s="33" t="n">
        <x:f>--OR(WorkforceData[[#This Row],[Status]]="Resigned",WorkforceData[[#This Row],[Status After Training]]="Withdrew")</x:f>
        <x:v>0</x:v>
      </x:c>
      <x:c r="AD565" s="34" t="n">
        <x:f>EOMONTH(WorkforceData[[#This Row],[Training Date]],0)</x:f>
        <x:v>45777</x:v>
      </x:c>
      <x:c r="AE565" s="32" t="str">
        <x:f>IF(M565&lt;H565,"Existing Employee",IF(U565="","No Assignment",IF(V565=0,"0 Days",IF(V565&lt;=7,"1-7 Days",IF(V565&lt;=14,"8-14 Days",IF(V565&lt;=21,"15-21 Days","21+ Days"))))))</x:f>
        <x:v>21+ Days</x:v>
      </x:c>
      <x:c r="AF56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65" s="33" t="n">
        <x:f>--(WorkforceData[[#This Row],[Total Days Worked]]&gt;=121)</x:f>
        <x:v>1</x:v>
      </x:c>
    </x:row>
    <x:row r="566">
      <x:c r="A566" s="236" t="str">
        <x:v>TRN-0565</x:v>
      </x:c>
      <x:c r="B566" s="243"/>
      <x:c r="C566" s="243"/>
      <x:c r="D566" s="243"/>
      <x:c r="E566" s="243"/>
      <x:c r="F566" s="14" t="str">
        <x:v>Recruiter A</x:v>
      </x:c>
      <x:c r="G566" s="14" t="str">
        <x:v>Training Center A</x:v>
      </x:c>
      <x:c r="H566" s="28">
        <x:v>45760</x:v>
      </x:c>
      <x:c r="I566" s="14">
        <x:v>2025</x:v>
      </x:c>
      <x:c r="J566" s="14" t="s">
        <x:v>126</x:v>
      </x:c>
      <x:c r="K566" s="14">
        <x:v>28</x:v>
      </x:c>
      <x:c r="L566" s="29" t="s">
        <x:v>101</x:v>
      </x:c>
      <x:c r="M566" s="28">
        <x:v>45759</x:v>
      </x:c>
      <x:c r="N566" s="28">
        <x:v>45776</x:v>
      </x:c>
      <x:c r="O566" s="14">
        <x:v>17</x:v>
      </x:c>
      <x:c r="P566" s="14" t="s">
        <x:v>102</x:v>
      </x:c>
      <x:c r="Q566" s="14" t="s">
        <x:v>103</x:v>
      </x:c>
      <x:c r="R566" s="14" t="s">
        <x:v>104</x:v>
      </x:c>
      <x:c r="S566" s="14" t="s">
        <x:v>105</x:v>
      </x:c>
      <x:c r="T566" s="14" t="str">
        <x:v>Region D</x:v>
      </x:c>
      <x:c r="U566" s="28">
        <x:v>45776</x:v>
      </x:c>
      <x:c r="V566" s="30">
        <x:v>16</x:v>
      </x:c>
      <x:c r="W566" s="14" t="s">
        <x:v>112</x:v>
      </x:c>
      <x:c r="X566" s="14" t="s">
        <x:v>106</x:v>
      </x:c>
      <x:c r="Y566" s="32" t="str">
        <x:v>TRN-0565|20250413</x:v>
      </x:c>
      <x:c r="Z566" s="32" t="str" cm="1">
        <x:f t="array" ref="Z56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566" s="33" t="n">
        <x:f>--OR(WorkforceData[[#This Row],[Status]]="Active",WorkforceData[[#This Row],[Promoted]]="Yes",WorkforceData[[#This Row],[Total Days Worked]]&gt;=121)</x:f>
        <x:v>0</x:v>
      </x:c>
      <x:c r="AB566" s="33" t="n">
        <x:f>IF(AND(Q566="Terminated",R566="",O566=0),1,0)</x:f>
        <x:v>0</x:v>
      </x:c>
      <x:c r="AC566" s="33" t="n">
        <x:f>--OR(WorkforceData[[#This Row],[Status]]="Resigned",WorkforceData[[#This Row],[Status After Training]]="Withdrew")</x:f>
        <x:v>1</x:v>
      </x:c>
      <x:c r="AD566" s="34" t="n">
        <x:f>EOMONTH(WorkforceData[[#This Row],[Training Date]],0)</x:f>
        <x:v>45777</x:v>
      </x:c>
      <x:c r="AE566" s="32" t="str">
        <x:f>IF(M566&lt;H566,"Existing Employee",IF(U566="","No Assignment",IF(V566=0,"0 Days",IF(V566&lt;=7,"1-7 Days",IF(V566&lt;=14,"8-14 Days",IF(V566&lt;=21,"15-21 Days","21+ Days"))))))</x:f>
        <x:v>Existing Employee</x:v>
      </x:c>
      <x:c r="AF56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566" s="33" t="n">
        <x:f>--(WorkforceData[[#This Row],[Total Days Worked]]&gt;=121)</x:f>
        <x:v>0</x:v>
      </x:c>
    </x:row>
    <x:row r="567">
      <x:c r="A567" s="236" t="str">
        <x:v>TRN-0566</x:v>
      </x:c>
      <x:c r="B567" s="243"/>
      <x:c r="C567" s="243"/>
      <x:c r="D567" s="243"/>
      <x:c r="E567" s="243"/>
      <x:c r="F567" s="14" t="str">
        <x:v>Recruiter E</x:v>
      </x:c>
      <x:c r="G567" s="14" t="str">
        <x:v>Training Center A</x:v>
      </x:c>
      <x:c r="H567" s="28">
        <x:v>45760</x:v>
      </x:c>
      <x:c r="I567" s="14">
        <x:v>2025</x:v>
      </x:c>
      <x:c r="J567" s="14" t="s">
        <x:v>126</x:v>
      </x:c>
      <x:c r="K567" s="14">
        <x:v>28</x:v>
      </x:c>
      <x:c r="L567" s="29" t="s">
        <x:v>101</x:v>
      </x:c>
      <x:c r="M567" s="28">
        <x:v>45758</x:v>
      </x:c>
      <x:c r="N567" s="28">
        <x:v>45965</x:v>
      </x:c>
      <x:c r="O567" s="14">
        <x:v>207</x:v>
      </x:c>
      <x:c r="P567" s="14" t="s">
        <x:v>107</x:v>
      </x:c>
      <x:c r="Q567" s="14" t="s">
        <x:v>103</x:v>
      </x:c>
      <x:c r="R567" s="14" t="s">
        <x:v>111</x:v>
      </x:c>
      <x:c r="S567" s="14" t="s">
        <x:v>108</x:v>
      </x:c>
      <x:c r="T567" s="14" t="str">
        <x:v>Region B</x:v>
      </x:c>
      <x:c r="U567" s="28">
        <x:v>45763</x:v>
      </x:c>
      <x:c r="V567" s="30">
        <x:v>3</x:v>
      </x:c>
      <x:c r="W567" s="14" t="s">
        <x:v>109</x:v>
      </x:c>
      <x:c r="X567" s="14" t="s">
        <x:v>106</x:v>
      </x:c>
      <x:c r="Y567" s="32" t="str">
        <x:v>TRN-0566|20250413</x:v>
      </x:c>
      <x:c r="Z567" s="32" t="str" cm="1">
        <x:f t="array" ref="Z56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567" s="33" t="n">
        <x:f>--OR(WorkforceData[[#This Row],[Status]]="Active",WorkforceData[[#This Row],[Promoted]]="Yes",WorkforceData[[#This Row],[Total Days Worked]]&gt;=121)</x:f>
        <x:v>1</x:v>
      </x:c>
      <x:c r="AB567" s="33" t="n">
        <x:f>IF(AND(Q567="Terminated",R567="",O567=0),1,0)</x:f>
        <x:v>0</x:v>
      </x:c>
      <x:c r="AC567" s="33" t="n">
        <x:f>--OR(WorkforceData[[#This Row],[Status]]="Resigned",WorkforceData[[#This Row],[Status After Training]]="Withdrew")</x:f>
        <x:v>1</x:v>
      </x:c>
      <x:c r="AD567" s="34" t="n">
        <x:f>EOMONTH(WorkforceData[[#This Row],[Training Date]],0)</x:f>
        <x:v>45777</x:v>
      </x:c>
      <x:c r="AE567" s="32" t="str">
        <x:f>IF(M567&lt;H567,"Existing Employee",IF(U567="","No Assignment",IF(V567=0,"0 Days",IF(V567&lt;=7,"1-7 Days",IF(V567&lt;=14,"8-14 Days",IF(V567&lt;=21,"15-21 Days","21+ Days"))))))</x:f>
        <x:v>Existing Employee</x:v>
      </x:c>
      <x:c r="AF56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67" s="33" t="n">
        <x:f>--(WorkforceData[[#This Row],[Total Days Worked]]&gt;=121)</x:f>
        <x:v>1</x:v>
      </x:c>
    </x:row>
    <x:row r="568">
      <x:c r="A568" s="236" t="str">
        <x:v>TRN-0567</x:v>
      </x:c>
      <x:c r="B568" s="243"/>
      <x:c r="C568" s="243"/>
      <x:c r="D568" s="243"/>
      <x:c r="E568" s="243"/>
      <x:c r="F568" s="14" t="str">
        <x:v>Recruiter E</x:v>
      </x:c>
      <x:c r="G568" s="14" t="str">
        <x:v>Training Center A</x:v>
      </x:c>
      <x:c r="H568" s="28">
        <x:v>45760</x:v>
      </x:c>
      <x:c r="I568" s="14">
        <x:v>2025</x:v>
      </x:c>
      <x:c r="J568" s="14" t="s">
        <x:v>126</x:v>
      </x:c>
      <x:c r="K568" s="14">
        <x:v>28</x:v>
      </x:c>
      <x:c r="L568" s="29" t="s">
        <x:v>101</x:v>
      </x:c>
      <x:c r="M568" s="28">
        <x:v>45760</x:v>
      </x:c>
      <x:c r="N568" s="28">
        <x:v>45772</x:v>
      </x:c>
      <x:c r="O568" s="14">
        <x:v>12</x:v>
      </x:c>
      <x:c r="P568" s="14" t="s">
        <x:v>102</x:v>
      </x:c>
      <x:c r="Q568" s="14" t="s">
        <x:v>33</x:v>
      </x:c>
      <x:c r="R568" s="14" t="s">
        <x:v>121</x:v>
      </x:c>
      <x:c r="S568" s="14" t="s">
        <x:v>105</x:v>
      </x:c>
      <x:c r="T568" s="14" t="str">
        <x:v>Region A</x:v>
      </x:c>
      <x:c r="U568" s="28">
        <x:v>45772</x:v>
      </x:c>
      <x:c r="V568" s="30">
        <x:v>12</x:v>
      </x:c>
      <x:c r="W568" s="14" t="s">
        <x:v>45</x:v>
      </x:c>
      <x:c r="X568" s="14" t="s">
        <x:v>117</x:v>
      </x:c>
      <x:c r="Y568" s="32" t="str">
        <x:v>TRN-0567|20250413</x:v>
      </x:c>
      <x:c r="Z568" s="32" t="str" cm="1">
        <x:f t="array" ref="Z56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568" s="33" t="n">
        <x:f>--OR(WorkforceData[[#This Row],[Status]]="Active",WorkforceData[[#This Row],[Promoted]]="Yes",WorkforceData[[#This Row],[Total Days Worked]]&gt;=121)</x:f>
        <x:v>0</x:v>
      </x:c>
      <x:c r="AB568" s="33" t="n">
        <x:f>IF(AND(Q568="Terminated",R568="",O568=0),1,0)</x:f>
        <x:v>0</x:v>
      </x:c>
      <x:c r="AC568" s="33" t="n">
        <x:f>--OR(WorkforceData[[#This Row],[Status]]="Resigned",WorkforceData[[#This Row],[Status After Training]]="Withdrew")</x:f>
        <x:v>0</x:v>
      </x:c>
      <x:c r="AD568" s="34" t="n">
        <x:f>EOMONTH(WorkforceData[[#This Row],[Training Date]],0)</x:f>
        <x:v>45777</x:v>
      </x:c>
      <x:c r="AE568" s="32" t="str">
        <x:f>IF(M568&lt;H568,"Existing Employee",IF(U568="","No Assignment",IF(V568=0,"0 Days",IF(V568&lt;=7,"1-7 Days",IF(V568&lt;=14,"8-14 Days",IF(V568&lt;=21,"15-21 Days","21+ Days"))))))</x:f>
        <x:v>8-14 Days</x:v>
      </x:c>
      <x:c r="AF56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568" s="33" t="n">
        <x:f>--(WorkforceData[[#This Row],[Total Days Worked]]&gt;=121)</x:f>
        <x:v>0</x:v>
      </x:c>
    </x:row>
    <x:row r="569">
      <x:c r="A569" s="236" t="str">
        <x:v>TRN-0568</x:v>
      </x:c>
      <x:c r="B569" s="243"/>
      <x:c r="C569" s="243"/>
      <x:c r="D569" s="243"/>
      <x:c r="E569" s="243"/>
      <x:c r="F569" s="14" t="str">
        <x:v>Recruiter F</x:v>
      </x:c>
      <x:c r="G569" s="14" t="str">
        <x:v>Training Center A</x:v>
      </x:c>
      <x:c r="H569" s="28">
        <x:v>45760</x:v>
      </x:c>
      <x:c r="I569" s="14">
        <x:v>2025</x:v>
      </x:c>
      <x:c r="J569" s="14" t="s">
        <x:v>126</x:v>
      </x:c>
      <x:c r="K569" s="14">
        <x:v>28</x:v>
      </x:c>
      <x:c r="L569" s="29" t="s">
        <x:v>101</x:v>
      </x:c>
      <x:c r="M569" s="28">
        <x:v>45755</x:v>
      </x:c>
      <x:c r="N569" s="28">
        <x:v>46251</x:v>
      </x:c>
      <x:c r="O569" s="14">
        <x:v>496</x:v>
      </x:c>
      <x:c r="P569" s="14" t="s">
        <x:v>120</x:v>
      </x:c>
      <x:c r="Q569" s="14" t="s">
        <x:v>103</x:v>
      </x:c>
      <x:c r="R569" s="14" t="s">
        <x:v>104</x:v>
      </x:c>
      <x:c r="S569" s="14" t="s">
        <x:v>108</x:v>
      </x:c>
      <x:c r="T569" s="14" t="str">
        <x:v>Region B</x:v>
      </x:c>
      <x:c r="U569" s="28">
        <x:v>45771</x:v>
      </x:c>
      <x:c r="V569" s="30">
        <x:v>11</x:v>
      </x:c>
      <x:c r="W569" s="14" t="s">
        <x:v>45</x:v>
      </x:c>
      <x:c r="X569" s="14" t="s">
        <x:v>106</x:v>
      </x:c>
      <x:c r="Y569" s="32" t="str">
        <x:v>TRN-0568|20250413</x:v>
      </x:c>
      <x:c r="Z569" s="32" t="str" cm="1">
        <x:f t="array" ref="Z56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569" s="33" t="n">
        <x:f>--OR(WorkforceData[[#This Row],[Status]]="Active",WorkforceData[[#This Row],[Promoted]]="Yes",WorkforceData[[#This Row],[Total Days Worked]]&gt;=121)</x:f>
        <x:v>1</x:v>
      </x:c>
      <x:c r="AB569" s="33" t="n">
        <x:f>IF(AND(Q569="Terminated",R569="",O569=0),1,0)</x:f>
        <x:v>0</x:v>
      </x:c>
      <x:c r="AC569" s="33" t="n">
        <x:f>--OR(WorkforceData[[#This Row],[Status]]="Resigned",WorkforceData[[#This Row],[Status After Training]]="Withdrew")</x:f>
        <x:v>1</x:v>
      </x:c>
      <x:c r="AD569" s="34" t="n">
        <x:f>EOMONTH(WorkforceData[[#This Row],[Training Date]],0)</x:f>
        <x:v>45777</x:v>
      </x:c>
      <x:c r="AE569" s="32" t="str">
        <x:f>IF(M569&lt;H569,"Existing Employee",IF(U569="","No Assignment",IF(V569=0,"0 Days",IF(V569&lt;=7,"1-7 Days",IF(V569&lt;=14,"8-14 Days",IF(V569&lt;=21,"15-21 Days","21+ Days"))))))</x:f>
        <x:v>Existing Employee</x:v>
      </x:c>
      <x:c r="AF56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69" s="33" t="n">
        <x:f>--(WorkforceData[[#This Row],[Total Days Worked]]&gt;=121)</x:f>
        <x:v>1</x:v>
      </x:c>
    </x:row>
    <x:row r="570">
      <x:c r="A570" s="236" t="str">
        <x:v>TRN-0569</x:v>
      </x:c>
      <x:c r="B570" s="243"/>
      <x:c r="C570" s="243"/>
      <x:c r="D570" s="243"/>
      <x:c r="E570" s="243"/>
      <x:c r="F570" s="14" t="str">
        <x:v>Recruiter E</x:v>
      </x:c>
      <x:c r="G570" s="14" t="str">
        <x:v>Training Center A</x:v>
      </x:c>
      <x:c r="H570" s="28">
        <x:v>45760</x:v>
      </x:c>
      <x:c r="I570" s="14">
        <x:v>2025</x:v>
      </x:c>
      <x:c r="J570" s="14" t="s">
        <x:v>126</x:v>
      </x:c>
      <x:c r="K570" s="14">
        <x:v>28</x:v>
      </x:c>
      <x:c r="L570" s="29" t="s">
        <x:v>101</x:v>
      </x:c>
      <x:c r="M570" s="28">
        <x:v>45757</x:v>
      </x:c>
      <x:c r="N570" s="14"/>
      <x:c r="O570" s="14">
        <x:v>494</x:v>
      </x:c>
      <x:c r="P570" s="14" t="s">
        <x:v>120</x:v>
      </x:c>
      <x:c r="Q570" s="14" t="s">
        <x:v>25</x:v>
      </x:c>
      <x:c r="R570" s="14"/>
      <x:c r="S570" s="14" t="s">
        <x:v>108</x:v>
      </x:c>
      <x:c r="T570" s="14" t="str">
        <x:v>Region D</x:v>
      </x:c>
      <x:c r="U570" s="28">
        <x:v>45769</x:v>
      </x:c>
      <x:c r="V570" s="30">
        <x:v>9</x:v>
      </x:c>
      <x:c r="W570" s="14" t="s">
        <x:v>45</x:v>
      </x:c>
      <x:c r="X570" s="14" t="s">
        <x:v>106</x:v>
      </x:c>
      <x:c r="Y570" s="32" t="str">
        <x:v>TRN-0569|20250413</x:v>
      </x:c>
      <x:c r="Z570" s="32" t="str" cm="1">
        <x:f t="array" ref="Z57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570" s="33" t="n">
        <x:f>--OR(WorkforceData[[#This Row],[Status]]="Active",WorkforceData[[#This Row],[Promoted]]="Yes",WorkforceData[[#This Row],[Total Days Worked]]&gt;=121)</x:f>
        <x:v>1</x:v>
      </x:c>
      <x:c r="AB570" s="33" t="n">
        <x:f>IF(AND(Q570="Terminated",R570="",O570=0),1,0)</x:f>
        <x:v>0</x:v>
      </x:c>
      <x:c r="AC570" s="33" t="n">
        <x:f>--OR(WorkforceData[[#This Row],[Status]]="Resigned",WorkforceData[[#This Row],[Status After Training]]="Withdrew")</x:f>
        <x:v>0</x:v>
      </x:c>
      <x:c r="AD570" s="34" t="n">
        <x:f>EOMONTH(WorkforceData[[#This Row],[Training Date]],0)</x:f>
        <x:v>45777</x:v>
      </x:c>
      <x:c r="AE570" s="32" t="str">
        <x:f>IF(M570&lt;H570,"Existing Employee",IF(U570="","No Assignment",IF(V570=0,"0 Days",IF(V570&lt;=7,"1-7 Days",IF(V570&lt;=14,"8-14 Days",IF(V570&lt;=21,"15-21 Days","21+ Days"))))))</x:f>
        <x:v>Existing Employee</x:v>
      </x:c>
      <x:c r="AF57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70" s="33" t="n">
        <x:f>--(WorkforceData[[#This Row],[Total Days Worked]]&gt;=121)</x:f>
        <x:v>1</x:v>
      </x:c>
    </x:row>
    <x:row r="571">
      <x:c r="A571" s="236" t="str">
        <x:v>TRN-0570</x:v>
      </x:c>
      <x:c r="B571" s="243"/>
      <x:c r="C571" s="243"/>
      <x:c r="D571" s="243"/>
      <x:c r="E571" s="243"/>
      <x:c r="F571" s="14" t="str">
        <x:v>Recruiter F</x:v>
      </x:c>
      <x:c r="G571" s="14" t="str">
        <x:v>Training Center A</x:v>
      </x:c>
      <x:c r="H571" s="28">
        <x:v>45760</x:v>
      </x:c>
      <x:c r="I571" s="14">
        <x:v>2025</x:v>
      </x:c>
      <x:c r="J571" s="14" t="s">
        <x:v>126</x:v>
      </x:c>
      <x:c r="K571" s="14">
        <x:v>28</x:v>
      </x:c>
      <x:c r="L571" s="29" t="s">
        <x:v>101</x:v>
      </x:c>
      <x:c r="M571" s="28">
        <x:v>45753</x:v>
      </x:c>
      <x:c r="N571" s="28">
        <x:v>45754</x:v>
      </x:c>
      <x:c r="O571" s="14">
        <x:v>1</x:v>
      </x:c>
      <x:c r="P571" s="14" t="s">
        <x:v>102</x:v>
      </x:c>
      <x:c r="Q571" s="14" t="s">
        <x:v>33</x:v>
      </x:c>
      <x:c r="R571" s="14" t="s">
        <x:v>121</x:v>
      </x:c>
      <x:c r="S571" s="14" t="s">
        <x:v>105</x:v>
      </x:c>
      <x:c r="T571" s="14"/>
      <x:c r="U571" s="28"/>
      <x:c r="V571" s="30"/>
      <x:c r="W571" s="14"/>
      <x:c r="X571" s="14" t="s">
        <x:v>71</x:v>
      </x:c>
      <x:c r="Y571" s="32" t="str">
        <x:v>TRN-0570|20250413</x:v>
      </x:c>
      <x:c r="Z571" s="32" t="str" cm="1">
        <x:f t="array" ref="Z57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571" s="33" t="n">
        <x:f>--OR(WorkforceData[[#This Row],[Status]]="Active",WorkforceData[[#This Row],[Promoted]]="Yes",WorkforceData[[#This Row],[Total Days Worked]]&gt;=121)</x:f>
        <x:v>0</x:v>
      </x:c>
      <x:c r="AB571" s="33" t="n">
        <x:f>IF(AND(Q571="Terminated",R571="",O571=0),1,0)</x:f>
        <x:v>0</x:v>
      </x:c>
      <x:c r="AC571" s="33" t="n">
        <x:f>--OR(WorkforceData[[#This Row],[Status]]="Resigned",WorkforceData[[#This Row],[Status After Training]]="Withdrew")</x:f>
        <x:v>0</x:v>
      </x:c>
      <x:c r="AD571" s="34" t="n">
        <x:f>EOMONTH(WorkforceData[[#This Row],[Training Date]],0)</x:f>
        <x:v>45777</x:v>
      </x:c>
      <x:c r="AE571" s="32" t="str">
        <x:f>IF(M571&lt;H571,"Existing Employee",IF(U571="","No Assignment",IF(V571=0,"0 Days",IF(V571&lt;=7,"1-7 Days",IF(V571&lt;=14,"8-14 Days",IF(V571&lt;=21,"15-21 Days","21+ Days"))))))</x:f>
        <x:v>Existing Employee</x:v>
      </x:c>
      <x:c r="AF57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1-7 Days</x:v>
      </x:c>
      <x:c r="AG571" s="33" t="n">
        <x:f>--(WorkforceData[[#This Row],[Total Days Worked]]&gt;=121)</x:f>
        <x:v>0</x:v>
      </x:c>
    </x:row>
    <x:row r="572">
      <x:c r="A572" s="236" t="str">
        <x:v>TRN-0571</x:v>
      </x:c>
      <x:c r="B572" s="243"/>
      <x:c r="C572" s="243"/>
      <x:c r="D572" s="243"/>
      <x:c r="E572" s="243"/>
      <x:c r="F572" s="14" t="str">
        <x:v>Recruiter D</x:v>
      </x:c>
      <x:c r="G572" s="14" t="str">
        <x:v>Training Center A</x:v>
      </x:c>
      <x:c r="H572" s="28">
        <x:v>45760</x:v>
      </x:c>
      <x:c r="I572" s="14">
        <x:v>2025</x:v>
      </x:c>
      <x:c r="J572" s="14" t="s">
        <x:v>126</x:v>
      </x:c>
      <x:c r="K572" s="14">
        <x:v>28</x:v>
      </x:c>
      <x:c r="L572" s="29" t="s">
        <x:v>101</x:v>
      </x:c>
      <x:c r="M572" s="28">
        <x:v>45760</x:v>
      </x:c>
      <x:c r="N572" s="28">
        <x:v>46251</x:v>
      </x:c>
      <x:c r="O572" s="14">
        <x:v>491</x:v>
      </x:c>
      <x:c r="P572" s="14" t="s">
        <x:v>120</x:v>
      </x:c>
      <x:c r="Q572" s="14" t="s">
        <x:v>103</x:v>
      </x:c>
      <x:c r="R572" s="14" t="s">
        <x:v>104</x:v>
      </x:c>
      <x:c r="S572" s="14" t="s">
        <x:v>108</x:v>
      </x:c>
      <x:c r="T572" s="14" t="str">
        <x:v>Region C</x:v>
      </x:c>
      <x:c r="U572" s="28">
        <x:v>45789</x:v>
      </x:c>
      <x:c r="V572" s="30">
        <x:v>29</x:v>
      </x:c>
      <x:c r="W572" s="14" t="s">
        <x:v>112</x:v>
      </x:c>
      <x:c r="X572" s="14" t="s">
        <x:v>106</x:v>
      </x:c>
      <x:c r="Y572" s="32" t="str">
        <x:v>TRN-0571|20250413</x:v>
      </x:c>
      <x:c r="Z572" s="32" t="str" cm="1">
        <x:f t="array" ref="Z57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572" s="33" t="n">
        <x:f>--OR(WorkforceData[[#This Row],[Status]]="Active",WorkforceData[[#This Row],[Promoted]]="Yes",WorkforceData[[#This Row],[Total Days Worked]]&gt;=121)</x:f>
        <x:v>1</x:v>
      </x:c>
      <x:c r="AB572" s="33" t="n">
        <x:f>IF(AND(Q572="Terminated",R572="",O572=0),1,0)</x:f>
        <x:v>0</x:v>
      </x:c>
      <x:c r="AC572" s="33" t="n">
        <x:f>--OR(WorkforceData[[#This Row],[Status]]="Resigned",WorkforceData[[#This Row],[Status After Training]]="Withdrew")</x:f>
        <x:v>1</x:v>
      </x:c>
      <x:c r="AD572" s="34" t="n">
        <x:f>EOMONTH(WorkforceData[[#This Row],[Training Date]],0)</x:f>
        <x:v>45777</x:v>
      </x:c>
      <x:c r="AE572" s="32" t="str">
        <x:f>IF(M572&lt;H572,"Existing Employee",IF(U572="","No Assignment",IF(V572=0,"0 Days",IF(V572&lt;=7,"1-7 Days",IF(V572&lt;=14,"8-14 Days",IF(V572&lt;=21,"15-21 Days","21+ Days"))))))</x:f>
        <x:v>21+ Days</x:v>
      </x:c>
      <x:c r="AF57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72" s="33" t="n">
        <x:f>--(WorkforceData[[#This Row],[Total Days Worked]]&gt;=121)</x:f>
        <x:v>1</x:v>
      </x:c>
    </x:row>
    <x:row r="573">
      <x:c r="A573" s="236" t="str">
        <x:v>TRN-0572</x:v>
      </x:c>
      <x:c r="B573" s="243"/>
      <x:c r="C573" s="243"/>
      <x:c r="D573" s="243"/>
      <x:c r="E573" s="243"/>
      <x:c r="F573" s="14" t="str">
        <x:v>Recruiter F</x:v>
      </x:c>
      <x:c r="G573" s="14" t="str">
        <x:v>Training Center A</x:v>
      </x:c>
      <x:c r="H573" s="28">
        <x:v>45760</x:v>
      </x:c>
      <x:c r="I573" s="14">
        <x:v>2025</x:v>
      </x:c>
      <x:c r="J573" s="14" t="s">
        <x:v>126</x:v>
      </x:c>
      <x:c r="K573" s="14">
        <x:v>28</x:v>
      </x:c>
      <x:c r="L573" s="29" t="s">
        <x:v>101</x:v>
      </x:c>
      <x:c r="M573" s="28">
        <x:v>45760</x:v>
      </x:c>
      <x:c r="N573" s="14"/>
      <x:c r="O573" s="14">
        <x:v>491</x:v>
      </x:c>
      <x:c r="P573" s="14" t="s">
        <x:v>120</x:v>
      </x:c>
      <x:c r="Q573" s="14" t="s">
        <x:v>25</x:v>
      </x:c>
      <x:c r="R573" s="14"/>
      <x:c r="S573" s="14" t="s">
        <x:v>108</x:v>
      </x:c>
      <x:c r="T573" s="14" t="str">
        <x:v>Region A</x:v>
      </x:c>
      <x:c r="U573" s="28">
        <x:v>45761</x:v>
      </x:c>
      <x:c r="V573" s="30">
        <x:v>1</x:v>
      </x:c>
      <x:c r="W573" s="14" t="s">
        <x:v>109</x:v>
      </x:c>
      <x:c r="X573" s="14" t="s">
        <x:v>106</x:v>
      </x:c>
      <x:c r="Y573" s="32" t="str">
        <x:v>TRN-0572|20250413</x:v>
      </x:c>
      <x:c r="Z573" s="32" t="str" cm="1">
        <x:f t="array" ref="Z57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573" s="33" t="n">
        <x:f>--OR(WorkforceData[[#This Row],[Status]]="Active",WorkforceData[[#This Row],[Promoted]]="Yes",WorkforceData[[#This Row],[Total Days Worked]]&gt;=121)</x:f>
        <x:v>1</x:v>
      </x:c>
      <x:c r="AB573" s="33" t="n">
        <x:f>IF(AND(Q573="Terminated",R573="",O573=0),1,0)</x:f>
        <x:v>0</x:v>
      </x:c>
      <x:c r="AC573" s="33" t="n">
        <x:f>--OR(WorkforceData[[#This Row],[Status]]="Resigned",WorkforceData[[#This Row],[Status After Training]]="Withdrew")</x:f>
        <x:v>0</x:v>
      </x:c>
      <x:c r="AD573" s="34" t="n">
        <x:f>EOMONTH(WorkforceData[[#This Row],[Training Date]],0)</x:f>
        <x:v>45777</x:v>
      </x:c>
      <x:c r="AE573" s="32" t="str">
        <x:f>IF(M573&lt;H573,"Existing Employee",IF(U573="","No Assignment",IF(V573=0,"0 Days",IF(V573&lt;=7,"1-7 Days",IF(V573&lt;=14,"8-14 Days",IF(V573&lt;=21,"15-21 Days","21+ Days"))))))</x:f>
        <x:v>1-7 Days</x:v>
      </x:c>
      <x:c r="AF57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73" s="33" t="n">
        <x:f>--(WorkforceData[[#This Row],[Total Days Worked]]&gt;=121)</x:f>
        <x:v>1</x:v>
      </x:c>
    </x:row>
    <x:row r="574">
      <x:c r="A574" s="236" t="str">
        <x:v>TRN-0573</x:v>
      </x:c>
      <x:c r="B574" s="243"/>
      <x:c r="C574" s="243"/>
      <x:c r="D574" s="243"/>
      <x:c r="E574" s="243"/>
      <x:c r="F574" s="14" t="str">
        <x:v>Recruiter D</x:v>
      </x:c>
      <x:c r="G574" s="14" t="str">
        <x:v>Training Center B</x:v>
      </x:c>
      <x:c r="H574" s="28">
        <x:v>45227</x:v>
      </x:c>
      <x:c r="I574" s="14">
        <x:v>2023</x:v>
      </x:c>
      <x:c r="J574" s="14" t="s">
        <x:v>100</x:v>
      </x:c>
      <x:c r="K574" s="14">
        <x:v>22</x:v>
      </x:c>
      <x:c r="L574" s="29" t="s">
        <x:v>101</x:v>
      </x:c>
      <x:c r="M574" s="28">
        <x:v>45226</x:v>
      </x:c>
      <x:c r="N574" s="28">
        <x:v>45272</x:v>
      </x:c>
      <x:c r="O574" s="14">
        <x:v>46</x:v>
      </x:c>
      <x:c r="P574" s="14" t="s">
        <x:v>110</x:v>
      </x:c>
      <x:c r="Q574" s="14" t="s">
        <x:v>103</x:v>
      </x:c>
      <x:c r="R574" s="14" t="s">
        <x:v>111</x:v>
      </x:c>
      <x:c r="S574" s="14" t="s">
        <x:v>105</x:v>
      </x:c>
      <x:c r="T574" s="14" t="str">
        <x:v>Region A</x:v>
      </x:c>
      <x:c r="U574" s="28">
        <x:v>45231</x:v>
      </x:c>
      <x:c r="V574" s="30">
        <x:v>4</x:v>
      </x:c>
      <x:c r="W574" s="14" t="s">
        <x:v>109</x:v>
      </x:c>
      <x:c r="X574" s="14" t="s">
        <x:v>106</x:v>
      </x:c>
      <x:c r="Y574" s="32" t="str">
        <x:v>TRN-0573|20231028</x:v>
      </x:c>
      <x:c r="Z574" s="32" t="str" cm="1">
        <x:f t="array" ref="Z57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574" s="33" t="n">
        <x:f>--OR(WorkforceData[[#This Row],[Status]]="Active",WorkforceData[[#This Row],[Promoted]]="Yes",WorkforceData[[#This Row],[Total Days Worked]]&gt;=121)</x:f>
        <x:v>0</x:v>
      </x:c>
      <x:c r="AB574" s="33" t="n">
        <x:f>IF(AND(Q574="Terminated",R574="",O574=0),1,0)</x:f>
        <x:v>0</x:v>
      </x:c>
      <x:c r="AC574" s="33" t="n">
        <x:f>--OR(WorkforceData[[#This Row],[Status]]="Resigned",WorkforceData[[#This Row],[Status After Training]]="Withdrew")</x:f>
        <x:v>1</x:v>
      </x:c>
      <x:c r="AD574" s="34" t="n">
        <x:f>EOMONTH(WorkforceData[[#This Row],[Training Date]],0)</x:f>
        <x:v>45230</x:v>
      </x:c>
      <x:c r="AE574" s="32" t="str">
        <x:f>IF(M574&lt;H574,"Existing Employee",IF(U574="","No Assignment",IF(V574=0,"0 Days",IF(V574&lt;=7,"1-7 Days",IF(V574&lt;=14,"8-14 Days",IF(V574&lt;=21,"15-21 Days","21+ Days"))))))</x:f>
        <x:v>Existing Employee</x:v>
      </x:c>
      <x:c r="AF57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574" s="33" t="n">
        <x:f>--(WorkforceData[[#This Row],[Total Days Worked]]&gt;=121)</x:f>
        <x:v>0</x:v>
      </x:c>
    </x:row>
    <x:row r="575">
      <x:c r="A575" s="236" t="str">
        <x:v>TRN-0574</x:v>
      </x:c>
      <x:c r="B575" s="243"/>
      <x:c r="C575" s="243"/>
      <x:c r="D575" s="243"/>
      <x:c r="E575" s="243"/>
      <x:c r="F575" s="14" t="str">
        <x:v>Recruiter G</x:v>
      </x:c>
      <x:c r="G575" s="14" t="str">
        <x:v>Training Center B</x:v>
      </x:c>
      <x:c r="H575" s="28">
        <x:v>45227</x:v>
      </x:c>
      <x:c r="I575" s="14">
        <x:v>2023</x:v>
      </x:c>
      <x:c r="J575" s="14" t="s">
        <x:v>100</x:v>
      </x:c>
      <x:c r="K575" s="14">
        <x:v>22</x:v>
      </x:c>
      <x:c r="L575" s="29" t="s">
        <x:v>101</x:v>
      </x:c>
      <x:c r="M575" s="28">
        <x:v>45227</x:v>
      </x:c>
      <x:c r="N575" s="28">
        <x:v>45318</x:v>
      </x:c>
      <x:c r="O575" s="14">
        <x:v>91</x:v>
      </x:c>
      <x:c r="P575" s="14" t="s">
        <x:v>113</x:v>
      </x:c>
      <x:c r="Q575" s="14" t="s">
        <x:v>103</x:v>
      </x:c>
      <x:c r="R575" s="14" t="s">
        <x:v>104</x:v>
      </x:c>
      <x:c r="S575" s="14" t="s">
        <x:v>105</x:v>
      </x:c>
      <x:c r="T575" s="14" t="str">
        <x:v>Region A</x:v>
      </x:c>
      <x:c r="U575" s="28">
        <x:v>45229</x:v>
      </x:c>
      <x:c r="V575" s="30">
        <x:v>2</x:v>
      </x:c>
      <x:c r="W575" s="14" t="s">
        <x:v>109</x:v>
      </x:c>
      <x:c r="X575" s="14" t="s">
        <x:v>106</x:v>
      </x:c>
      <x:c r="Y575" s="32" t="str">
        <x:v>TRN-0574|20231028</x:v>
      </x:c>
      <x:c r="Z575" s="32" t="str" cm="1">
        <x:f t="array" ref="Z57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575" s="33" t="n">
        <x:f>--OR(WorkforceData[[#This Row],[Status]]="Active",WorkforceData[[#This Row],[Promoted]]="Yes",WorkforceData[[#This Row],[Total Days Worked]]&gt;=121)</x:f>
        <x:v>0</x:v>
      </x:c>
      <x:c r="AB575" s="33" t="n">
        <x:f>IF(AND(Q575="Terminated",R575="",O575=0),1,0)</x:f>
        <x:v>0</x:v>
      </x:c>
      <x:c r="AC575" s="33" t="n">
        <x:f>--OR(WorkforceData[[#This Row],[Status]]="Resigned",WorkforceData[[#This Row],[Status After Training]]="Withdrew")</x:f>
        <x:v>1</x:v>
      </x:c>
      <x:c r="AD575" s="34" t="n">
        <x:f>EOMONTH(WorkforceData[[#This Row],[Training Date]],0)</x:f>
        <x:v>45230</x:v>
      </x:c>
      <x:c r="AE575" s="32" t="str">
        <x:f>IF(M575&lt;H575,"Existing Employee",IF(U575="","No Assignment",IF(V575=0,"0 Days",IF(V575&lt;=7,"1-7 Days",IF(V575&lt;=14,"8-14 Days",IF(V575&lt;=21,"15-21 Days","21+ Days"))))))</x:f>
        <x:v>1-7 Days</x:v>
      </x:c>
      <x:c r="AF57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91-120 Days</x:v>
      </x:c>
      <x:c r="AG575" s="33" t="n">
        <x:f>--(WorkforceData[[#This Row],[Total Days Worked]]&gt;=121)</x:f>
        <x:v>0</x:v>
      </x:c>
    </x:row>
    <x:row r="576">
      <x:c r="A576" s="236" t="str">
        <x:v>TRN-0575</x:v>
      </x:c>
      <x:c r="B576" s="243"/>
      <x:c r="C576" s="243"/>
      <x:c r="D576" s="243"/>
      <x:c r="E576" s="243"/>
      <x:c r="F576" s="14" t="str">
        <x:v>Recruiter H</x:v>
      </x:c>
      <x:c r="G576" s="14" t="str">
        <x:v>Training Center B</x:v>
      </x:c>
      <x:c r="H576" s="28">
        <x:v>45227</x:v>
      </x:c>
      <x:c r="I576" s="14">
        <x:v>2023</x:v>
      </x:c>
      <x:c r="J576" s="14" t="s">
        <x:v>100</x:v>
      </x:c>
      <x:c r="K576" s="14">
        <x:v>22</x:v>
      </x:c>
      <x:c r="L576" s="29" t="s">
        <x:v>101</x:v>
      </x:c>
      <x:c r="M576" s="28">
        <x:v>45227</x:v>
      </x:c>
      <x:c r="N576" s="28">
        <x:v>45318</x:v>
      </x:c>
      <x:c r="O576" s="14">
        <x:v>91</x:v>
      </x:c>
      <x:c r="P576" s="14" t="s">
        <x:v>113</x:v>
      </x:c>
      <x:c r="Q576" s="14" t="s">
        <x:v>33</x:v>
      </x:c>
      <x:c r="R576" s="14" t="s">
        <x:v>121</x:v>
      </x:c>
      <x:c r="S576" s="14" t="s">
        <x:v>105</x:v>
      </x:c>
      <x:c r="T576" s="14" t="str">
        <x:v>Region D</x:v>
      </x:c>
      <x:c r="U576" s="28">
        <x:v>45233</x:v>
      </x:c>
      <x:c r="V576" s="30">
        <x:v>6</x:v>
      </x:c>
      <x:c r="W576" s="14" t="s">
        <x:v>109</x:v>
      </x:c>
      <x:c r="X576" s="14" t="s">
        <x:v>106</x:v>
      </x:c>
      <x:c r="Y576" s="32" t="str">
        <x:v>TRN-0575|20231028</x:v>
      </x:c>
      <x:c r="Z576" s="32" t="str" cm="1">
        <x:f t="array" ref="Z57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576" s="33" t="n">
        <x:f>--OR(WorkforceData[[#This Row],[Status]]="Active",WorkforceData[[#This Row],[Promoted]]="Yes",WorkforceData[[#This Row],[Total Days Worked]]&gt;=121)</x:f>
        <x:v>0</x:v>
      </x:c>
      <x:c r="AB576" s="33" t="n">
        <x:f>IF(AND(Q576="Terminated",R576="",O576=0),1,0)</x:f>
        <x:v>0</x:v>
      </x:c>
      <x:c r="AC576" s="33" t="n">
        <x:f>--OR(WorkforceData[[#This Row],[Status]]="Resigned",WorkforceData[[#This Row],[Status After Training]]="Withdrew")</x:f>
        <x:v>0</x:v>
      </x:c>
      <x:c r="AD576" s="34" t="n">
        <x:f>EOMONTH(WorkforceData[[#This Row],[Training Date]],0)</x:f>
        <x:v>45230</x:v>
      </x:c>
      <x:c r="AE576" s="32" t="str">
        <x:f>IF(M576&lt;H576,"Existing Employee",IF(U576="","No Assignment",IF(V576=0,"0 Days",IF(V576&lt;=7,"1-7 Days",IF(V576&lt;=14,"8-14 Days",IF(V576&lt;=21,"15-21 Days","21+ Days"))))))</x:f>
        <x:v>1-7 Days</x:v>
      </x:c>
      <x:c r="AF57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91-120 Days</x:v>
      </x:c>
      <x:c r="AG576" s="33" t="n">
        <x:f>--(WorkforceData[[#This Row],[Total Days Worked]]&gt;=121)</x:f>
        <x:v>0</x:v>
      </x:c>
    </x:row>
    <x:row r="577">
      <x:c r="A577" s="236" t="str">
        <x:v>TRN-0576</x:v>
      </x:c>
      <x:c r="B577" s="243"/>
      <x:c r="C577" s="243"/>
      <x:c r="D577" s="243"/>
      <x:c r="E577" s="243"/>
      <x:c r="F577" s="14" t="str">
        <x:v>Recruiter D</x:v>
      </x:c>
      <x:c r="G577" s="14" t="str">
        <x:v>Training Center B</x:v>
      </x:c>
      <x:c r="H577" s="28">
        <x:v>45227</x:v>
      </x:c>
      <x:c r="I577" s="14">
        <x:v>2023</x:v>
      </x:c>
      <x:c r="J577" s="14" t="s">
        <x:v>100</x:v>
      </x:c>
      <x:c r="K577" s="14">
        <x:v>22</x:v>
      </x:c>
      <x:c r="L577" s="29" t="s">
        <x:v>101</x:v>
      </x:c>
      <x:c r="M577" s="28">
        <x:v>45220</x:v>
      </x:c>
      <x:c r="N577" s="14"/>
      <x:c r="O577" s="14">
        <x:v>1031</x:v>
      </x:c>
      <x:c r="P577" s="14" t="s">
        <x:v>122</x:v>
      </x:c>
      <x:c r="Q577" s="14" t="s">
        <x:v>25</x:v>
      </x:c>
      <x:c r="R577" s="14"/>
      <x:c r="S577" s="14" t="s">
        <x:v>108</x:v>
      </x:c>
      <x:c r="T577" s="14" t="str">
        <x:v>Region D</x:v>
      </x:c>
      <x:c r="U577" s="28">
        <x:v>45227</x:v>
      </x:c>
      <x:c r="V577" s="30">
        <x:v>0</x:v>
      </x:c>
      <x:c r="W577" s="14" t="s">
        <x:v>109</x:v>
      </x:c>
      <x:c r="X577" s="14" t="s">
        <x:v>106</x:v>
      </x:c>
      <x:c r="Y577" s="32" t="str">
        <x:v>TRN-0576|20231028</x:v>
      </x:c>
      <x:c r="Z577" s="32" t="str" cm="1">
        <x:f t="array" ref="Z57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577" s="33" t="n">
        <x:f>--OR(WorkforceData[[#This Row],[Status]]="Active",WorkforceData[[#This Row],[Promoted]]="Yes",WorkforceData[[#This Row],[Total Days Worked]]&gt;=121)</x:f>
        <x:v>1</x:v>
      </x:c>
      <x:c r="AB577" s="33" t="n">
        <x:f>IF(AND(Q577="Terminated",R577="",O577=0),1,0)</x:f>
        <x:v>0</x:v>
      </x:c>
      <x:c r="AC577" s="33" t="n">
        <x:f>--OR(WorkforceData[[#This Row],[Status]]="Resigned",WorkforceData[[#This Row],[Status After Training]]="Withdrew")</x:f>
        <x:v>0</x:v>
      </x:c>
      <x:c r="AD577" s="34" t="n">
        <x:f>EOMONTH(WorkforceData[[#This Row],[Training Date]],0)</x:f>
        <x:v>45230</x:v>
      </x:c>
      <x:c r="AE577" s="32" t="str">
        <x:f>IF(M577&lt;H577,"Existing Employee",IF(U577="","No Assignment",IF(V577=0,"0 Days",IF(V577&lt;=7,"1-7 Days",IF(V577&lt;=14,"8-14 Days",IF(V577&lt;=21,"15-21 Days","21+ Days"))))))</x:f>
        <x:v>Existing Employee</x:v>
      </x:c>
      <x:c r="AF57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77" s="33" t="n">
        <x:f>--(WorkforceData[[#This Row],[Total Days Worked]]&gt;=121)</x:f>
        <x:v>1</x:v>
      </x:c>
    </x:row>
    <x:row r="578">
      <x:c r="A578" s="236" t="str">
        <x:v>TRN-0577</x:v>
      </x:c>
      <x:c r="B578" s="243"/>
      <x:c r="C578" s="243"/>
      <x:c r="D578" s="243"/>
      <x:c r="E578" s="243"/>
      <x:c r="F578" s="14" t="str">
        <x:v>Recruiter A</x:v>
      </x:c>
      <x:c r="G578" s="14" t="str">
        <x:v>Training Center B</x:v>
      </x:c>
      <x:c r="H578" s="28">
        <x:v>45227</x:v>
      </x:c>
      <x:c r="I578" s="14">
        <x:v>2023</x:v>
      </x:c>
      <x:c r="J578" s="14" t="s">
        <x:v>100</x:v>
      </x:c>
      <x:c r="K578" s="14">
        <x:v>22</x:v>
      </x:c>
      <x:c r="L578" s="29" t="s">
        <x:v>101</x:v>
      </x:c>
      <x:c r="M578" s="28">
        <x:v>45227</x:v>
      </x:c>
      <x:c r="N578" s="28">
        <x:v>45245</x:v>
      </x:c>
      <x:c r="O578" s="14">
        <x:v>18</x:v>
      </x:c>
      <x:c r="P578" s="14" t="s">
        <x:v>102</x:v>
      </x:c>
      <x:c r="Q578" s="14" t="s">
        <x:v>33</x:v>
      </x:c>
      <x:c r="R578" s="14" t="s">
        <x:v>121</x:v>
      </x:c>
      <x:c r="S578" s="14" t="s">
        <x:v>105</x:v>
      </x:c>
      <x:c r="T578" s="14" t="str">
        <x:v>Region D</x:v>
      </x:c>
      <x:c r="U578" s="28">
        <x:v>45234</x:v>
      </x:c>
      <x:c r="V578" s="30">
        <x:v>7</x:v>
      </x:c>
      <x:c r="W578" s="14" t="s">
        <x:v>109</x:v>
      </x:c>
      <x:c r="X578" s="14" t="s">
        <x:v>106</x:v>
      </x:c>
      <x:c r="Y578" s="32" t="str">
        <x:v>TRN-0577|20231028</x:v>
      </x:c>
      <x:c r="Z578" s="32" t="str" cm="1">
        <x:f t="array" ref="Z57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578" s="33" t="n">
        <x:f>--OR(WorkforceData[[#This Row],[Status]]="Active",WorkforceData[[#This Row],[Promoted]]="Yes",WorkforceData[[#This Row],[Total Days Worked]]&gt;=121)</x:f>
        <x:v>0</x:v>
      </x:c>
      <x:c r="AB578" s="33" t="n">
        <x:f>IF(AND(Q578="Terminated",R578="",O578=0),1,0)</x:f>
        <x:v>0</x:v>
      </x:c>
      <x:c r="AC578" s="33" t="n">
        <x:f>--OR(WorkforceData[[#This Row],[Status]]="Resigned",WorkforceData[[#This Row],[Status After Training]]="Withdrew")</x:f>
        <x:v>0</x:v>
      </x:c>
      <x:c r="AD578" s="34" t="n">
        <x:f>EOMONTH(WorkforceData[[#This Row],[Training Date]],0)</x:f>
        <x:v>45230</x:v>
      </x:c>
      <x:c r="AE578" s="32" t="str">
        <x:f>IF(M578&lt;H578,"Existing Employee",IF(U578="","No Assignment",IF(V578=0,"0 Days",IF(V578&lt;=7,"1-7 Days",IF(V578&lt;=14,"8-14 Days",IF(V578&lt;=21,"15-21 Days","21+ Days"))))))</x:f>
        <x:v>1-7 Days</x:v>
      </x:c>
      <x:c r="AF57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578" s="33" t="n">
        <x:f>--(WorkforceData[[#This Row],[Total Days Worked]]&gt;=121)</x:f>
        <x:v>0</x:v>
      </x:c>
    </x:row>
    <x:row r="579">
      <x:c r="A579" s="236" t="str">
        <x:v>TRN-0578</x:v>
      </x:c>
      <x:c r="B579" s="243"/>
      <x:c r="C579" s="243"/>
      <x:c r="D579" s="243"/>
      <x:c r="E579" s="243"/>
      <x:c r="F579" s="14" t="str">
        <x:v>Recruiter H</x:v>
      </x:c>
      <x:c r="G579" s="14" t="str">
        <x:v>Training Center B</x:v>
      </x:c>
      <x:c r="H579" s="28">
        <x:v>45227</x:v>
      </x:c>
      <x:c r="I579" s="14">
        <x:v>2023</x:v>
      </x:c>
      <x:c r="J579" s="14" t="s">
        <x:v>100</x:v>
      </x:c>
      <x:c r="K579" s="14">
        <x:v>22</x:v>
      </x:c>
      <x:c r="L579" s="29" t="s">
        <x:v>101</x:v>
      </x:c>
      <x:c r="M579" s="28">
        <x:v>45225</x:v>
      </x:c>
      <x:c r="N579" s="28">
        <x:v>45382</x:v>
      </x:c>
      <x:c r="O579" s="14">
        <x:v>157</x:v>
      </x:c>
      <x:c r="P579" s="14" t="s">
        <x:v>113</x:v>
      </x:c>
      <x:c r="Q579" s="14" t="s">
        <x:v>103</x:v>
      </x:c>
      <x:c r="R579" s="14" t="s">
        <x:v>104</x:v>
      </x:c>
      <x:c r="S579" s="14" t="s">
        <x:v>105</x:v>
      </x:c>
      <x:c r="T579" s="14" t="str">
        <x:v>Region D</x:v>
      </x:c>
      <x:c r="U579" s="28">
        <x:v>45233</x:v>
      </x:c>
      <x:c r="V579" s="30">
        <x:v>6</x:v>
      </x:c>
      <x:c r="W579" s="14" t="s">
        <x:v>109</x:v>
      </x:c>
      <x:c r="X579" s="14" t="s">
        <x:v>106</x:v>
      </x:c>
      <x:c r="Y579" s="32" t="str">
        <x:v>TRN-0578|20231028</x:v>
      </x:c>
      <x:c r="Z579" s="32" t="str" cm="1">
        <x:f t="array" ref="Z57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Complete</x:v>
      </x:c>
      <x:c r="AA579" s="33" t="n">
        <x:f>--OR(WorkforceData[[#This Row],[Status]]="Active",WorkforceData[[#This Row],[Promoted]]="Yes",WorkforceData[[#This Row],[Total Days Worked]]&gt;=121)</x:f>
        <x:v>1</x:v>
      </x:c>
      <x:c r="AB579" s="33" t="n">
        <x:f>IF(AND(Q579="Terminated",R579="",O579=0),1,0)</x:f>
        <x:v>0</x:v>
      </x:c>
      <x:c r="AC579" s="33" t="n">
        <x:f>--OR(WorkforceData[[#This Row],[Status]]="Resigned",WorkforceData[[#This Row],[Status After Training]]="Withdrew")</x:f>
        <x:v>1</x:v>
      </x:c>
      <x:c r="AD579" s="34" t="n">
        <x:f>EOMONTH(WorkforceData[[#This Row],[Training Date]],0)</x:f>
        <x:v>45230</x:v>
      </x:c>
      <x:c r="AE579" s="32" t="str">
        <x:f>IF(M579&lt;H579,"Existing Employee",IF(U579="","No Assignment",IF(V579=0,"0 Days",IF(V579&lt;=7,"1-7 Days",IF(V579&lt;=14,"8-14 Days",IF(V579&lt;=21,"15-21 Days","21+ Days"))))))</x:f>
        <x:v>Existing Employee</x:v>
      </x:c>
      <x:c r="AF57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79" s="33" t="n">
        <x:f>--(WorkforceData[[#This Row],[Total Days Worked]]&gt;=121)</x:f>
        <x:v>1</x:v>
      </x:c>
    </x:row>
    <x:row r="580">
      <x:c r="A580" s="236" t="str">
        <x:v>TRN-0579</x:v>
      </x:c>
      <x:c r="B580" s="243"/>
      <x:c r="C580" s="243"/>
      <x:c r="D580" s="243"/>
      <x:c r="E580" s="243"/>
      <x:c r="F580" s="14" t="str">
        <x:v>Recruiter C</x:v>
      </x:c>
      <x:c r="G580" s="14" t="str">
        <x:v>Training Center B</x:v>
      </x:c>
      <x:c r="H580" s="28">
        <x:v>45227</x:v>
      </x:c>
      <x:c r="I580" s="14">
        <x:v>2023</x:v>
      </x:c>
      <x:c r="J580" s="14" t="s">
        <x:v>100</x:v>
      </x:c>
      <x:c r="K580" s="14">
        <x:v>22</x:v>
      </x:c>
      <x:c r="L580" s="29" t="s">
        <x:v>101</x:v>
      </x:c>
      <x:c r="M580" s="28">
        <x:v>45217</x:v>
      </x:c>
      <x:c r="N580" s="28">
        <x:v>45409</x:v>
      </x:c>
      <x:c r="O580" s="14">
        <x:v>192</x:v>
      </x:c>
      <x:c r="P580" s="14" t="s">
        <x:v>107</x:v>
      </x:c>
      <x:c r="Q580" s="14" t="s">
        <x:v>103</x:v>
      </x:c>
      <x:c r="R580" s="14" t="s">
        <x:v>104</x:v>
      </x:c>
      <x:c r="S580" s="14" t="s">
        <x:v>108</x:v>
      </x:c>
      <x:c r="T580" s="14" t="str">
        <x:v>Region D</x:v>
      </x:c>
      <x:c r="U580" s="28">
        <x:v>45248</x:v>
      </x:c>
      <x:c r="V580" s="30">
        <x:v>21</x:v>
      </x:c>
      <x:c r="W580" s="14" t="s">
        <x:v>112</x:v>
      </x:c>
      <x:c r="X580" s="14" t="s">
        <x:v>106</x:v>
      </x:c>
      <x:c r="Y580" s="32" t="str">
        <x:v>TRN-0579|20231028</x:v>
      </x:c>
      <x:c r="Z580" s="32" t="str" cm="1">
        <x:f t="array" ref="Z58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580" s="33" t="n">
        <x:f>--OR(WorkforceData[[#This Row],[Status]]="Active",WorkforceData[[#This Row],[Promoted]]="Yes",WorkforceData[[#This Row],[Total Days Worked]]&gt;=121)</x:f>
        <x:v>1</x:v>
      </x:c>
      <x:c r="AB580" s="33" t="n">
        <x:f>IF(AND(Q580="Terminated",R580="",O580=0),1,0)</x:f>
        <x:v>0</x:v>
      </x:c>
      <x:c r="AC580" s="33" t="n">
        <x:f>--OR(WorkforceData[[#This Row],[Status]]="Resigned",WorkforceData[[#This Row],[Status After Training]]="Withdrew")</x:f>
        <x:v>1</x:v>
      </x:c>
      <x:c r="AD580" s="34" t="n">
        <x:f>EOMONTH(WorkforceData[[#This Row],[Training Date]],0)</x:f>
        <x:v>45230</x:v>
      </x:c>
      <x:c r="AE580" s="32" t="str">
        <x:f>IF(M580&lt;H580,"Existing Employee",IF(U580="","No Assignment",IF(V580=0,"0 Days",IF(V580&lt;=7,"1-7 Days",IF(V580&lt;=14,"8-14 Days",IF(V580&lt;=21,"15-21 Days","21+ Days"))))))</x:f>
        <x:v>Existing Employee</x:v>
      </x:c>
      <x:c r="AF58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80" s="33" t="n">
        <x:f>--(WorkforceData[[#This Row],[Total Days Worked]]&gt;=121)</x:f>
        <x:v>1</x:v>
      </x:c>
    </x:row>
    <x:row r="581">
      <x:c r="A581" s="236" t="str">
        <x:v>TRN-0580</x:v>
      </x:c>
      <x:c r="B581" s="243"/>
      <x:c r="C581" s="243"/>
      <x:c r="D581" s="243"/>
      <x:c r="E581" s="243"/>
      <x:c r="F581" s="14" t="str">
        <x:v>Recruiter A</x:v>
      </x:c>
      <x:c r="G581" s="14" t="str">
        <x:v>Training Center B</x:v>
      </x:c>
      <x:c r="H581" s="28">
        <x:v>45227</x:v>
      </x:c>
      <x:c r="I581" s="14">
        <x:v>2023</x:v>
      </x:c>
      <x:c r="J581" s="14" t="s">
        <x:v>100</x:v>
      </x:c>
      <x:c r="K581" s="14">
        <x:v>22</x:v>
      </x:c>
      <x:c r="L581" s="29" t="s">
        <x:v>101</x:v>
      </x:c>
      <x:c r="M581" s="28">
        <x:v>45220</x:v>
      </x:c>
      <x:c r="N581" s="28">
        <x:v>45413</x:v>
      </x:c>
      <x:c r="O581" s="14">
        <x:v>193</x:v>
      </x:c>
      <x:c r="P581" s="14" t="s">
        <x:v>107</x:v>
      </x:c>
      <x:c r="Q581" s="14" t="s">
        <x:v>33</x:v>
      </x:c>
      <x:c r="R581" s="14" t="s">
        <x:v>116</x:v>
      </x:c>
      <x:c r="S581" s="14" t="s">
        <x:v>108</x:v>
      </x:c>
      <x:c r="T581" s="14" t="str">
        <x:v>Region B</x:v>
      </x:c>
      <x:c r="U581" s="28">
        <x:v>45234</x:v>
      </x:c>
      <x:c r="V581" s="30">
        <x:v>7</x:v>
      </x:c>
      <x:c r="W581" s="14" t="s">
        <x:v>109</x:v>
      </x:c>
      <x:c r="X581" s="14" t="s">
        <x:v>106</x:v>
      </x:c>
      <x:c r="Y581" s="32" t="str">
        <x:v>TRN-0580|20231028</x:v>
      </x:c>
      <x:c r="Z581" s="32" t="str" cm="1">
        <x:f t="array" ref="Z58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581" s="33" t="n">
        <x:f>--OR(WorkforceData[[#This Row],[Status]]="Active",WorkforceData[[#This Row],[Promoted]]="Yes",WorkforceData[[#This Row],[Total Days Worked]]&gt;=121)</x:f>
        <x:v>1</x:v>
      </x:c>
      <x:c r="AB581" s="33" t="n">
        <x:f>IF(AND(Q581="Terminated",R581="",O581=0),1,0)</x:f>
        <x:v>0</x:v>
      </x:c>
      <x:c r="AC581" s="33" t="n">
        <x:f>--OR(WorkforceData[[#This Row],[Status]]="Resigned",WorkforceData[[#This Row],[Status After Training]]="Withdrew")</x:f>
        <x:v>0</x:v>
      </x:c>
      <x:c r="AD581" s="34" t="n">
        <x:f>EOMONTH(WorkforceData[[#This Row],[Training Date]],0)</x:f>
        <x:v>45230</x:v>
      </x:c>
      <x:c r="AE581" s="32" t="str">
        <x:f>IF(M581&lt;H581,"Existing Employee",IF(U581="","No Assignment",IF(V581=0,"0 Days",IF(V581&lt;=7,"1-7 Days",IF(V581&lt;=14,"8-14 Days",IF(V581&lt;=21,"15-21 Days","21+ Days"))))))</x:f>
        <x:v>Existing Employee</x:v>
      </x:c>
      <x:c r="AF58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81" s="33" t="n">
        <x:f>--(WorkforceData[[#This Row],[Total Days Worked]]&gt;=121)</x:f>
        <x:v>1</x:v>
      </x:c>
    </x:row>
    <x:row r="582">
      <x:c r="A582" s="236" t="str">
        <x:v>TRN-0581</x:v>
      </x:c>
      <x:c r="B582" s="243"/>
      <x:c r="C582" s="243"/>
      <x:c r="D582" s="243"/>
      <x:c r="E582" s="243"/>
      <x:c r="F582" s="14" t="str">
        <x:v>Recruiter E</x:v>
      </x:c>
      <x:c r="G582" s="14" t="str">
        <x:v>Training Center B</x:v>
      </x:c>
      <x:c r="H582" s="28">
        <x:v>45227</x:v>
      </x:c>
      <x:c r="I582" s="14">
        <x:v>2023</x:v>
      </x:c>
      <x:c r="J582" s="14" t="s">
        <x:v>100</x:v>
      </x:c>
      <x:c r="K582" s="14">
        <x:v>22</x:v>
      </x:c>
      <x:c r="L582" s="29" t="s">
        <x:v>101</x:v>
      </x:c>
      <x:c r="M582" s="28">
        <x:v>45226</x:v>
      </x:c>
      <x:c r="N582" s="14"/>
      <x:c r="O582" s="14">
        <x:v>1025</x:v>
      </x:c>
      <x:c r="P582" s="14" t="s">
        <x:v>122</x:v>
      </x:c>
      <x:c r="Q582" s="14" t="s">
        <x:v>25</x:v>
      </x:c>
      <x:c r="R582" s="14"/>
      <x:c r="S582" s="14" t="s">
        <x:v>108</x:v>
      </x:c>
      <x:c r="T582" s="14" t="str">
        <x:v>Region B</x:v>
      </x:c>
      <x:c r="U582" s="28">
        <x:v>45227</x:v>
      </x:c>
      <x:c r="V582" s="30">
        <x:v>0</x:v>
      </x:c>
      <x:c r="W582" s="14" t="s">
        <x:v>109</x:v>
      </x:c>
      <x:c r="X582" s="14" t="s">
        <x:v>106</x:v>
      </x:c>
      <x:c r="Y582" s="32" t="str">
        <x:v>TRN-0581|20231028</x:v>
      </x:c>
      <x:c r="Z582" s="32" t="str" cm="1">
        <x:f t="array" ref="Z58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582" s="33" t="n">
        <x:f>--OR(WorkforceData[[#This Row],[Status]]="Active",WorkforceData[[#This Row],[Promoted]]="Yes",WorkforceData[[#This Row],[Total Days Worked]]&gt;=121)</x:f>
        <x:v>1</x:v>
      </x:c>
      <x:c r="AB582" s="33" t="n">
        <x:f>IF(AND(Q582="Terminated",R582="",O582=0),1,0)</x:f>
        <x:v>0</x:v>
      </x:c>
      <x:c r="AC582" s="33" t="n">
        <x:f>--OR(WorkforceData[[#This Row],[Status]]="Resigned",WorkforceData[[#This Row],[Status After Training]]="Withdrew")</x:f>
        <x:v>0</x:v>
      </x:c>
      <x:c r="AD582" s="34" t="n">
        <x:f>EOMONTH(WorkforceData[[#This Row],[Training Date]],0)</x:f>
        <x:v>45230</x:v>
      </x:c>
      <x:c r="AE582" s="32" t="str">
        <x:f>IF(M582&lt;H582,"Existing Employee",IF(U582="","No Assignment",IF(V582=0,"0 Days",IF(V582&lt;=7,"1-7 Days",IF(V582&lt;=14,"8-14 Days",IF(V582&lt;=21,"15-21 Days","21+ Days"))))))</x:f>
        <x:v>Existing Employee</x:v>
      </x:c>
      <x:c r="AF58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82" s="33" t="n">
        <x:f>--(WorkforceData[[#This Row],[Total Days Worked]]&gt;=121)</x:f>
        <x:v>1</x:v>
      </x:c>
    </x:row>
    <x:row r="583">
      <x:c r="A583" s="236" t="str">
        <x:v>TRN-0582</x:v>
      </x:c>
      <x:c r="B583" s="243"/>
      <x:c r="C583" s="243"/>
      <x:c r="D583" s="243"/>
      <x:c r="E583" s="243"/>
      <x:c r="F583" s="14" t="str">
        <x:v>Recruiter A</x:v>
      </x:c>
      <x:c r="G583" s="14" t="str">
        <x:v>Training Center B</x:v>
      </x:c>
      <x:c r="H583" s="28">
        <x:v>45227</x:v>
      </x:c>
      <x:c r="I583" s="14">
        <x:v>2023</x:v>
      </x:c>
      <x:c r="J583" s="14" t="s">
        <x:v>100</x:v>
      </x:c>
      <x:c r="K583" s="14">
        <x:v>22</x:v>
      </x:c>
      <x:c r="L583" s="29" t="s">
        <x:v>101</x:v>
      </x:c>
      <x:c r="M583" s="28">
        <x:v>45225</x:v>
      </x:c>
      <x:c r="N583" s="28">
        <x:v>45239</x:v>
      </x:c>
      <x:c r="O583" s="14">
        <x:v>14</x:v>
      </x:c>
      <x:c r="P583" s="14" t="s">
        <x:v>102</x:v>
      </x:c>
      <x:c r="Q583" s="14" t="s">
        <x:v>103</x:v>
      </x:c>
      <x:c r="R583" s="14" t="s">
        <x:v>123</x:v>
      </x:c>
      <x:c r="S583" s="14" t="s">
        <x:v>105</x:v>
      </x:c>
      <x:c r="T583" s="14" t="str">
        <x:v>Region D</x:v>
      </x:c>
      <x:c r="U583" s="28">
        <x:v>45239</x:v>
      </x:c>
      <x:c r="V583" s="30">
        <x:v>12</x:v>
      </x:c>
      <x:c r="W583" s="14" t="s">
        <x:v>45</x:v>
      </x:c>
      <x:c r="X583" s="14" t="s">
        <x:v>106</x:v>
      </x:c>
      <x:c r="Y583" s="32" t="str">
        <x:v>TRN-0582|20231028</x:v>
      </x:c>
      <x:c r="Z583" s="32" t="str" cm="1">
        <x:f t="array" ref="Z58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583" s="33" t="n">
        <x:f>--OR(WorkforceData[[#This Row],[Status]]="Active",WorkforceData[[#This Row],[Promoted]]="Yes",WorkforceData[[#This Row],[Total Days Worked]]&gt;=121)</x:f>
        <x:v>0</x:v>
      </x:c>
      <x:c r="AB583" s="33" t="n">
        <x:f>IF(AND(Q583="Terminated",R583="",O583=0),1,0)</x:f>
        <x:v>0</x:v>
      </x:c>
      <x:c r="AC583" s="33" t="n">
        <x:f>--OR(WorkforceData[[#This Row],[Status]]="Resigned",WorkforceData[[#This Row],[Status After Training]]="Withdrew")</x:f>
        <x:v>1</x:v>
      </x:c>
      <x:c r="AD583" s="34" t="n">
        <x:f>EOMONTH(WorkforceData[[#This Row],[Training Date]],0)</x:f>
        <x:v>45230</x:v>
      </x:c>
      <x:c r="AE583" s="32" t="str">
        <x:f>IF(M583&lt;H583,"Existing Employee",IF(U583="","No Assignment",IF(V583=0,"0 Days",IF(V583&lt;=7,"1-7 Days",IF(V583&lt;=14,"8-14 Days",IF(V583&lt;=21,"15-21 Days","21+ Days"))))))</x:f>
        <x:v>Existing Employee</x:v>
      </x:c>
      <x:c r="AF58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583" s="33" t="n">
        <x:f>--(WorkforceData[[#This Row],[Total Days Worked]]&gt;=121)</x:f>
        <x:v>0</x:v>
      </x:c>
    </x:row>
    <x:row r="584">
      <x:c r="A584" s="236" t="str">
        <x:v>TRN-0583</x:v>
      </x:c>
      <x:c r="B584" s="243"/>
      <x:c r="C584" s="243"/>
      <x:c r="D584" s="243"/>
      <x:c r="E584" s="243"/>
      <x:c r="F584" s="14" t="str">
        <x:v>Recruiter H</x:v>
      </x:c>
      <x:c r="G584" s="14" t="str">
        <x:v>Training Center B</x:v>
      </x:c>
      <x:c r="H584" s="28">
        <x:v>45227</x:v>
      </x:c>
      <x:c r="I584" s="14">
        <x:v>2023</x:v>
      </x:c>
      <x:c r="J584" s="14" t="s">
        <x:v>100</x:v>
      </x:c>
      <x:c r="K584" s="14">
        <x:v>22</x:v>
      </x:c>
      <x:c r="L584" s="29" t="s">
        <x:v>101</x:v>
      </x:c>
      <x:c r="M584" s="28">
        <x:v>45225</x:v>
      </x:c>
      <x:c r="N584" s="14"/>
      <x:c r="O584" s="14">
        <x:v>1026</x:v>
      </x:c>
      <x:c r="P584" s="14" t="s">
        <x:v>122</x:v>
      </x:c>
      <x:c r="Q584" s="14" t="s">
        <x:v>25</x:v>
      </x:c>
      <x:c r="R584" s="14"/>
      <x:c r="S584" s="14" t="s">
        <x:v>108</x:v>
      </x:c>
      <x:c r="T584" s="14" t="str">
        <x:v>Region A</x:v>
      </x:c>
      <x:c r="U584" s="28">
        <x:v>45227</x:v>
      </x:c>
      <x:c r="V584" s="30">
        <x:v>0</x:v>
      </x:c>
      <x:c r="W584" s="14" t="s">
        <x:v>109</x:v>
      </x:c>
      <x:c r="X584" s="14" t="s">
        <x:v>106</x:v>
      </x:c>
      <x:c r="Y584" s="32" t="str">
        <x:v>TRN-0583|20231028</x:v>
      </x:c>
      <x:c r="Z584" s="32" t="str" cm="1">
        <x:f t="array" ref="Z58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584" s="33" t="n">
        <x:f>--OR(WorkforceData[[#This Row],[Status]]="Active",WorkforceData[[#This Row],[Promoted]]="Yes",WorkforceData[[#This Row],[Total Days Worked]]&gt;=121)</x:f>
        <x:v>1</x:v>
      </x:c>
      <x:c r="AB584" s="33" t="n">
        <x:f>IF(AND(Q584="Terminated",R584="",O584=0),1,0)</x:f>
        <x:v>0</x:v>
      </x:c>
      <x:c r="AC584" s="33" t="n">
        <x:f>--OR(WorkforceData[[#This Row],[Status]]="Resigned",WorkforceData[[#This Row],[Status After Training]]="Withdrew")</x:f>
        <x:v>0</x:v>
      </x:c>
      <x:c r="AD584" s="34" t="n">
        <x:f>EOMONTH(WorkforceData[[#This Row],[Training Date]],0)</x:f>
        <x:v>45230</x:v>
      </x:c>
      <x:c r="AE584" s="32" t="str">
        <x:f>IF(M584&lt;H584,"Existing Employee",IF(U584="","No Assignment",IF(V584=0,"0 Days",IF(V584&lt;=7,"1-7 Days",IF(V584&lt;=14,"8-14 Days",IF(V584&lt;=21,"15-21 Days","21+ Days"))))))</x:f>
        <x:v>Existing Employee</x:v>
      </x:c>
      <x:c r="AF58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84" s="33" t="n">
        <x:f>--(WorkforceData[[#This Row],[Total Days Worked]]&gt;=121)</x:f>
        <x:v>1</x:v>
      </x:c>
    </x:row>
    <x:row r="585">
      <x:c r="A585" s="236" t="str">
        <x:v>TRN-0584</x:v>
      </x:c>
      <x:c r="B585" s="243"/>
      <x:c r="C585" s="243"/>
      <x:c r="D585" s="243"/>
      <x:c r="E585" s="243"/>
      <x:c r="F585" s="14" t="str">
        <x:v>Recruiter D</x:v>
      </x:c>
      <x:c r="G585" s="14" t="str">
        <x:v>Training Center B</x:v>
      </x:c>
      <x:c r="H585" s="28">
        <x:v>45227</x:v>
      </x:c>
      <x:c r="I585" s="14">
        <x:v>2023</x:v>
      </x:c>
      <x:c r="J585" s="14" t="s">
        <x:v>100</x:v>
      </x:c>
      <x:c r="K585" s="14">
        <x:v>22</x:v>
      </x:c>
      <x:c r="L585" s="29" t="s">
        <x:v>101</x:v>
      </x:c>
      <x:c r="M585" s="28">
        <x:v>45227</x:v>
      </x:c>
      <x:c r="N585" s="28">
        <x:v>45280</x:v>
      </x:c>
      <x:c r="O585" s="14">
        <x:v>53</x:v>
      </x:c>
      <x:c r="P585" s="14" t="s">
        <x:v>110</x:v>
      </x:c>
      <x:c r="Q585" s="14" t="s">
        <x:v>33</x:v>
      </x:c>
      <x:c r="R585" s="14" t="s">
        <x:v>121</x:v>
      </x:c>
      <x:c r="S585" s="14" t="s">
        <x:v>105</x:v>
      </x:c>
      <x:c r="T585" s="14" t="str">
        <x:v>Region C</x:v>
      </x:c>
      <x:c r="U585" s="28">
        <x:v>45231</x:v>
      </x:c>
      <x:c r="V585" s="30">
        <x:v>4</x:v>
      </x:c>
      <x:c r="W585" s="14" t="s">
        <x:v>109</x:v>
      </x:c>
      <x:c r="X585" s="14" t="s">
        <x:v>106</x:v>
      </x:c>
      <x:c r="Y585" s="32" t="str">
        <x:v>TRN-0584|20231028</x:v>
      </x:c>
      <x:c r="Z585" s="32" t="str" cm="1">
        <x:f t="array" ref="Z58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585" s="33" t="n">
        <x:f>--OR(WorkforceData[[#This Row],[Status]]="Active",WorkforceData[[#This Row],[Promoted]]="Yes",WorkforceData[[#This Row],[Total Days Worked]]&gt;=121)</x:f>
        <x:v>0</x:v>
      </x:c>
      <x:c r="AB585" s="33" t="n">
        <x:f>IF(AND(Q585="Terminated",R585="",O585=0),1,0)</x:f>
        <x:v>0</x:v>
      </x:c>
      <x:c r="AC585" s="33" t="n">
        <x:f>--OR(WorkforceData[[#This Row],[Status]]="Resigned",WorkforceData[[#This Row],[Status After Training]]="Withdrew")</x:f>
        <x:v>0</x:v>
      </x:c>
      <x:c r="AD585" s="34" t="n">
        <x:f>EOMONTH(WorkforceData[[#This Row],[Training Date]],0)</x:f>
        <x:v>45230</x:v>
      </x:c>
      <x:c r="AE585" s="32" t="str">
        <x:f>IF(M585&lt;H585,"Existing Employee",IF(U585="","No Assignment",IF(V585=0,"0 Days",IF(V585&lt;=7,"1-7 Days",IF(V585&lt;=14,"8-14 Days",IF(V585&lt;=21,"15-21 Days","21+ Days"))))))</x:f>
        <x:v>1-7 Days</x:v>
      </x:c>
      <x:c r="AF58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585" s="33" t="n">
        <x:f>--(WorkforceData[[#This Row],[Total Days Worked]]&gt;=121)</x:f>
        <x:v>0</x:v>
      </x:c>
    </x:row>
    <x:row r="586">
      <x:c r="A586" s="236" t="str">
        <x:v>TRN-0585</x:v>
      </x:c>
      <x:c r="B586" s="243"/>
      <x:c r="C586" s="243"/>
      <x:c r="D586" s="243"/>
      <x:c r="E586" s="243"/>
      <x:c r="F586" s="14" t="str">
        <x:v>Recruiter B</x:v>
      </x:c>
      <x:c r="G586" s="14" t="str">
        <x:v>Training Center B</x:v>
      </x:c>
      <x:c r="H586" s="28">
        <x:v>45227</x:v>
      </x:c>
      <x:c r="I586" s="14">
        <x:v>2023</x:v>
      </x:c>
      <x:c r="J586" s="14" t="s">
        <x:v>100</x:v>
      </x:c>
      <x:c r="K586" s="14">
        <x:v>22</x:v>
      </x:c>
      <x:c r="L586" s="29" t="s">
        <x:v>101</x:v>
      </x:c>
      <x:c r="M586" s="28">
        <x:v>45227</x:v>
      </x:c>
      <x:c r="N586" s="28">
        <x:v>45229</x:v>
      </x:c>
      <x:c r="O586" s="14">
        <x:v>2</x:v>
      </x:c>
      <x:c r="P586" s="14" t="s">
        <x:v>102</x:v>
      </x:c>
      <x:c r="Q586" s="14" t="s">
        <x:v>103</x:v>
      </x:c>
      <x:c r="R586" s="14" t="s">
        <x:v>104</x:v>
      </x:c>
      <x:c r="S586" s="14" t="s">
        <x:v>105</x:v>
      </x:c>
      <x:c r="T586" s="14" t="str">
        <x:v>Region D</x:v>
      </x:c>
      <x:c r="U586" s="28">
        <x:v>45229</x:v>
      </x:c>
      <x:c r="V586" s="30">
        <x:v>2</x:v>
      </x:c>
      <x:c r="W586" s="14" t="s">
        <x:v>109</x:v>
      </x:c>
      <x:c r="X586" s="14" t="s">
        <x:v>106</x:v>
      </x:c>
      <x:c r="Y586" s="32" t="str">
        <x:v>TRN-0585|20231028</x:v>
      </x:c>
      <x:c r="Z586" s="32" t="str" cm="1">
        <x:f t="array" ref="Z58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586" s="33" t="n">
        <x:f>--OR(WorkforceData[[#This Row],[Status]]="Active",WorkforceData[[#This Row],[Promoted]]="Yes",WorkforceData[[#This Row],[Total Days Worked]]&gt;=121)</x:f>
        <x:v>0</x:v>
      </x:c>
      <x:c r="AB586" s="33" t="n">
        <x:f>IF(AND(Q586="Terminated",R586="",O586=0),1,0)</x:f>
        <x:v>0</x:v>
      </x:c>
      <x:c r="AC586" s="33" t="n">
        <x:f>--OR(WorkforceData[[#This Row],[Status]]="Resigned",WorkforceData[[#This Row],[Status After Training]]="Withdrew")</x:f>
        <x:v>1</x:v>
      </x:c>
      <x:c r="AD586" s="34" t="n">
        <x:f>EOMONTH(WorkforceData[[#This Row],[Training Date]],0)</x:f>
        <x:v>45230</x:v>
      </x:c>
      <x:c r="AE586" s="32" t="str">
        <x:f>IF(M586&lt;H586,"Existing Employee",IF(U586="","No Assignment",IF(V586=0,"0 Days",IF(V586&lt;=7,"1-7 Days",IF(V586&lt;=14,"8-14 Days",IF(V586&lt;=21,"15-21 Days","21+ Days"))))))</x:f>
        <x:v>1-7 Days</x:v>
      </x:c>
      <x:c r="AF58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1-7 Days</x:v>
      </x:c>
      <x:c r="AG586" s="33" t="n">
        <x:f>--(WorkforceData[[#This Row],[Total Days Worked]]&gt;=121)</x:f>
        <x:v>0</x:v>
      </x:c>
    </x:row>
    <x:row r="587">
      <x:c r="A587" s="236" t="str">
        <x:v>TRN-0586</x:v>
      </x:c>
      <x:c r="B587" s="243"/>
      <x:c r="C587" s="243"/>
      <x:c r="D587" s="243"/>
      <x:c r="E587" s="243"/>
      <x:c r="F587" s="14" t="str">
        <x:v>Recruiter C</x:v>
      </x:c>
      <x:c r="G587" s="14" t="str">
        <x:v>Training Center B</x:v>
      </x:c>
      <x:c r="H587" s="28">
        <x:v>45227</x:v>
      </x:c>
      <x:c r="I587" s="14">
        <x:v>2023</x:v>
      </x:c>
      <x:c r="J587" s="14" t="s">
        <x:v>100</x:v>
      </x:c>
      <x:c r="K587" s="14">
        <x:v>22</x:v>
      </x:c>
      <x:c r="L587" s="29" t="s">
        <x:v>101</x:v>
      </x:c>
      <x:c r="M587" s="28">
        <x:v>45224</x:v>
      </x:c>
      <x:c r="N587" s="14"/>
      <x:c r="O587" s="14">
        <x:v>1027</x:v>
      </x:c>
      <x:c r="P587" s="14" t="s">
        <x:v>122</x:v>
      </x:c>
      <x:c r="Q587" s="14" t="s">
        <x:v>25</x:v>
      </x:c>
      <x:c r="R587" s="14"/>
      <x:c r="S587" s="14" t="s">
        <x:v>108</x:v>
      </x:c>
      <x:c r="T587" s="14" t="str">
        <x:v>Region C</x:v>
      </x:c>
      <x:c r="U587" s="28">
        <x:v>45239</x:v>
      </x:c>
      <x:c r="V587" s="30">
        <x:v>12</x:v>
      </x:c>
      <x:c r="W587" s="14" t="s">
        <x:v>45</x:v>
      </x:c>
      <x:c r="X587" s="14" t="s">
        <x:v>106</x:v>
      </x:c>
      <x:c r="Y587" s="32" t="str">
        <x:v>TRN-0586|20231028</x:v>
      </x:c>
      <x:c r="Z587" s="32" t="str" cm="1">
        <x:f t="array" ref="Z58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587" s="33" t="n">
        <x:f>--OR(WorkforceData[[#This Row],[Status]]="Active",WorkforceData[[#This Row],[Promoted]]="Yes",WorkforceData[[#This Row],[Total Days Worked]]&gt;=121)</x:f>
        <x:v>1</x:v>
      </x:c>
      <x:c r="AB587" s="33" t="n">
        <x:f>IF(AND(Q587="Terminated",R587="",O587=0),1,0)</x:f>
        <x:v>0</x:v>
      </x:c>
      <x:c r="AC587" s="33" t="n">
        <x:f>--OR(WorkforceData[[#This Row],[Status]]="Resigned",WorkforceData[[#This Row],[Status After Training]]="Withdrew")</x:f>
        <x:v>0</x:v>
      </x:c>
      <x:c r="AD587" s="34" t="n">
        <x:f>EOMONTH(WorkforceData[[#This Row],[Training Date]],0)</x:f>
        <x:v>45230</x:v>
      </x:c>
      <x:c r="AE587" s="32" t="str">
        <x:f>IF(M587&lt;H587,"Existing Employee",IF(U587="","No Assignment",IF(V587=0,"0 Days",IF(V587&lt;=7,"1-7 Days",IF(V587&lt;=14,"8-14 Days",IF(V587&lt;=21,"15-21 Days","21+ Days"))))))</x:f>
        <x:v>Existing Employee</x:v>
      </x:c>
      <x:c r="AF58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87" s="33" t="n">
        <x:f>--(WorkforceData[[#This Row],[Total Days Worked]]&gt;=121)</x:f>
        <x:v>1</x:v>
      </x:c>
    </x:row>
    <x:row r="588">
      <x:c r="A588" s="236" t="str">
        <x:v>TRN-0587</x:v>
      </x:c>
      <x:c r="B588" s="243"/>
      <x:c r="C588" s="243"/>
      <x:c r="D588" s="243"/>
      <x:c r="E588" s="243"/>
      <x:c r="F588" s="14" t="str">
        <x:v>Recruiter B</x:v>
      </x:c>
      <x:c r="G588" s="14" t="str">
        <x:v>Training Center B</x:v>
      </x:c>
      <x:c r="H588" s="28">
        <x:v>45227</x:v>
      </x:c>
      <x:c r="I588" s="14">
        <x:v>2023</x:v>
      </x:c>
      <x:c r="J588" s="14" t="s">
        <x:v>100</x:v>
      </x:c>
      <x:c r="K588" s="14">
        <x:v>22</x:v>
      </x:c>
      <x:c r="L588" s="29" t="s">
        <x:v>101</x:v>
      </x:c>
      <x:c r="M588" s="28">
        <x:v>45222</x:v>
      </x:c>
      <x:c r="N588" s="14"/>
      <x:c r="O588" s="14">
        <x:v>1029</x:v>
      </x:c>
      <x:c r="P588" s="14" t="s">
        <x:v>122</x:v>
      </x:c>
      <x:c r="Q588" s="14" t="s">
        <x:v>25</x:v>
      </x:c>
      <x:c r="R588" s="14"/>
      <x:c r="S588" s="14" t="s">
        <x:v>108</x:v>
      </x:c>
      <x:c r="T588" s="14" t="str">
        <x:v>Region E</x:v>
      </x:c>
      <x:c r="U588" s="28">
        <x:v>45290</x:v>
      </x:c>
      <x:c r="V588" s="30">
        <x:v>63</x:v>
      </x:c>
      <x:c r="W588" s="14" t="s">
        <x:v>114</x:v>
      </x:c>
      <x:c r="X588" s="14" t="s">
        <x:v>117</x:v>
      </x:c>
      <x:c r="Y588" s="32" t="str">
        <x:v>TRN-0587|20231028</x:v>
      </x:c>
      <x:c r="Z588" s="32" t="str" cm="1">
        <x:f t="array" ref="Z58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588" s="33" t="n">
        <x:f>--OR(WorkforceData[[#This Row],[Status]]="Active",WorkforceData[[#This Row],[Promoted]]="Yes",WorkforceData[[#This Row],[Total Days Worked]]&gt;=121)</x:f>
        <x:v>1</x:v>
      </x:c>
      <x:c r="AB588" s="33" t="n">
        <x:f>IF(AND(Q588="Terminated",R588="",O588=0),1,0)</x:f>
        <x:v>0</x:v>
      </x:c>
      <x:c r="AC588" s="33" t="n">
        <x:f>--OR(WorkforceData[[#This Row],[Status]]="Resigned",WorkforceData[[#This Row],[Status After Training]]="Withdrew")</x:f>
        <x:v>0</x:v>
      </x:c>
      <x:c r="AD588" s="34" t="n">
        <x:f>EOMONTH(WorkforceData[[#This Row],[Training Date]],0)</x:f>
        <x:v>45230</x:v>
      </x:c>
      <x:c r="AE588" s="32" t="str">
        <x:f>IF(M588&lt;H588,"Existing Employee",IF(U588="","No Assignment",IF(V588=0,"0 Days",IF(V588&lt;=7,"1-7 Days",IF(V588&lt;=14,"8-14 Days",IF(V588&lt;=21,"15-21 Days","21+ Days"))))))</x:f>
        <x:v>Existing Employee</x:v>
      </x:c>
      <x:c r="AF58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88" s="33" t="n">
        <x:f>--(WorkforceData[[#This Row],[Total Days Worked]]&gt;=121)</x:f>
        <x:v>1</x:v>
      </x:c>
    </x:row>
    <x:row r="589">
      <x:c r="A589" s="236" t="str">
        <x:v>TRN-0588</x:v>
      </x:c>
      <x:c r="B589" s="243"/>
      <x:c r="C589" s="243"/>
      <x:c r="D589" s="243"/>
      <x:c r="E589" s="243"/>
      <x:c r="F589" s="14" t="str">
        <x:v>Recruiter H</x:v>
      </x:c>
      <x:c r="G589" s="14" t="str">
        <x:v>Training Center B</x:v>
      </x:c>
      <x:c r="H589" s="28">
        <x:v>45227</x:v>
      </x:c>
      <x:c r="I589" s="14">
        <x:v>2023</x:v>
      </x:c>
      <x:c r="J589" s="14" t="s">
        <x:v>100</x:v>
      </x:c>
      <x:c r="K589" s="14">
        <x:v>22</x:v>
      </x:c>
      <x:c r="L589" s="29" t="s">
        <x:v>101</x:v>
      </x:c>
      <x:c r="M589" s="28">
        <x:v>45217</x:v>
      </x:c>
      <x:c r="N589" s="28">
        <x:v>45219</x:v>
      </x:c>
      <x:c r="O589" s="14">
        <x:v>2</x:v>
      </x:c>
      <x:c r="P589" s="14" t="s">
        <x:v>102</x:v>
      </x:c>
      <x:c r="Q589" s="14" t="s">
        <x:v>103</x:v>
      </x:c>
      <x:c r="R589" s="14" t="s">
        <x:v>104</x:v>
      </x:c>
      <x:c r="S589" s="14" t="s">
        <x:v>105</x:v>
      </x:c>
      <x:c r="T589" s="14"/>
      <x:c r="U589" s="28"/>
      <x:c r="V589" s="30"/>
      <x:c r="W589" s="14"/>
      <x:c r="X589" s="14" t="s">
        <x:v>71</x:v>
      </x:c>
      <x:c r="Y589" s="32" t="str">
        <x:v>TRN-0588|20231028</x:v>
      </x:c>
      <x:c r="Z589" s="32" t="str" cm="1">
        <x:f t="array" ref="Z58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589" s="33" t="n">
        <x:f>--OR(WorkforceData[[#This Row],[Status]]="Active",WorkforceData[[#This Row],[Promoted]]="Yes",WorkforceData[[#This Row],[Total Days Worked]]&gt;=121)</x:f>
        <x:v>0</x:v>
      </x:c>
      <x:c r="AB589" s="33" t="n">
        <x:f>IF(AND(Q589="Terminated",R589="",O589=0),1,0)</x:f>
        <x:v>0</x:v>
      </x:c>
      <x:c r="AC589" s="33" t="n">
        <x:f>--OR(WorkforceData[[#This Row],[Status]]="Resigned",WorkforceData[[#This Row],[Status After Training]]="Withdrew")</x:f>
        <x:v>1</x:v>
      </x:c>
      <x:c r="AD589" s="34" t="n">
        <x:f>EOMONTH(WorkforceData[[#This Row],[Training Date]],0)</x:f>
        <x:v>45230</x:v>
      </x:c>
      <x:c r="AE589" s="32" t="str">
        <x:f>IF(M589&lt;H589,"Existing Employee",IF(U589="","No Assignment",IF(V589=0,"0 Days",IF(V589&lt;=7,"1-7 Days",IF(V589&lt;=14,"8-14 Days",IF(V589&lt;=21,"15-21 Days","21+ Days"))))))</x:f>
        <x:v>Existing Employee</x:v>
      </x:c>
      <x:c r="AF58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1-7 Days</x:v>
      </x:c>
      <x:c r="AG589" s="33" t="n">
        <x:f>--(WorkforceData[[#This Row],[Total Days Worked]]&gt;=121)</x:f>
        <x:v>0</x:v>
      </x:c>
    </x:row>
    <x:row r="590">
      <x:c r="A590" s="236" t="str">
        <x:v>TRN-0589</x:v>
      </x:c>
      <x:c r="B590" s="243"/>
      <x:c r="C590" s="243"/>
      <x:c r="D590" s="243"/>
      <x:c r="E590" s="243"/>
      <x:c r="F590" s="14" t="str">
        <x:v>Recruiter G</x:v>
      </x:c>
      <x:c r="G590" s="14" t="str">
        <x:v>Training Center B</x:v>
      </x:c>
      <x:c r="H590" s="28">
        <x:v>45227</x:v>
      </x:c>
      <x:c r="I590" s="14">
        <x:v>2023</x:v>
      </x:c>
      <x:c r="J590" s="14" t="s">
        <x:v>100</x:v>
      </x:c>
      <x:c r="K590" s="14">
        <x:v>22</x:v>
      </x:c>
      <x:c r="L590" s="29" t="s">
        <x:v>101</x:v>
      </x:c>
      <x:c r="M590" s="28">
        <x:v>45225</x:v>
      </x:c>
      <x:c r="N590" s="14"/>
      <x:c r="O590" s="14">
        <x:v>1026</x:v>
      </x:c>
      <x:c r="P590" s="14" t="s">
        <x:v>122</x:v>
      </x:c>
      <x:c r="Q590" s="14" t="s">
        <x:v>25</x:v>
      </x:c>
      <x:c r="R590" s="14"/>
      <x:c r="S590" s="14" t="s">
        <x:v>108</x:v>
      </x:c>
      <x:c r="T590" s="14" t="str">
        <x:v>Region B</x:v>
      </x:c>
      <x:c r="U590" s="28">
        <x:v>45228</x:v>
      </x:c>
      <x:c r="V590" s="30">
        <x:v>1</x:v>
      </x:c>
      <x:c r="W590" s="14" t="s">
        <x:v>109</x:v>
      </x:c>
      <x:c r="X590" s="14" t="s">
        <x:v>106</x:v>
      </x:c>
      <x:c r="Y590" s="32" t="str">
        <x:v>TRN-0589|20231028</x:v>
      </x:c>
      <x:c r="Z590" s="32" t="str" cm="1">
        <x:f t="array" ref="Z59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590" s="33" t="n">
        <x:f>--OR(WorkforceData[[#This Row],[Status]]="Active",WorkforceData[[#This Row],[Promoted]]="Yes",WorkforceData[[#This Row],[Total Days Worked]]&gt;=121)</x:f>
        <x:v>1</x:v>
      </x:c>
      <x:c r="AB590" s="33" t="n">
        <x:f>IF(AND(Q590="Terminated",R590="",O590=0),1,0)</x:f>
        <x:v>0</x:v>
      </x:c>
      <x:c r="AC590" s="33" t="n">
        <x:f>--OR(WorkforceData[[#This Row],[Status]]="Resigned",WorkforceData[[#This Row],[Status After Training]]="Withdrew")</x:f>
        <x:v>0</x:v>
      </x:c>
      <x:c r="AD590" s="34" t="n">
        <x:f>EOMONTH(WorkforceData[[#This Row],[Training Date]],0)</x:f>
        <x:v>45230</x:v>
      </x:c>
      <x:c r="AE590" s="32" t="str">
        <x:f>IF(M590&lt;H590,"Existing Employee",IF(U590="","No Assignment",IF(V590=0,"0 Days",IF(V590&lt;=7,"1-7 Days",IF(V590&lt;=14,"8-14 Days",IF(V590&lt;=21,"15-21 Days","21+ Days"))))))</x:f>
        <x:v>Existing Employee</x:v>
      </x:c>
      <x:c r="AF59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90" s="33" t="n">
        <x:f>--(WorkforceData[[#This Row],[Total Days Worked]]&gt;=121)</x:f>
        <x:v>1</x:v>
      </x:c>
    </x:row>
    <x:row r="591">
      <x:c r="A591" s="236" t="str">
        <x:v>TRN-0590</x:v>
      </x:c>
      <x:c r="B591" s="243"/>
      <x:c r="C591" s="243"/>
      <x:c r="D591" s="243"/>
      <x:c r="E591" s="243"/>
      <x:c r="F591" s="14" t="str">
        <x:v>Recruiter F</x:v>
      </x:c>
      <x:c r="G591" s="14" t="str">
        <x:v>Training Center B</x:v>
      </x:c>
      <x:c r="H591" s="28">
        <x:v>45227</x:v>
      </x:c>
      <x:c r="I591" s="14">
        <x:v>2023</x:v>
      </x:c>
      <x:c r="J591" s="14" t="s">
        <x:v>100</x:v>
      </x:c>
      <x:c r="K591" s="14">
        <x:v>22</x:v>
      </x:c>
      <x:c r="L591" s="29" t="s">
        <x:v>101</x:v>
      </x:c>
      <x:c r="M591" s="28">
        <x:v>45225</x:v>
      </x:c>
      <x:c r="N591" s="28">
        <x:v>45283</x:v>
      </x:c>
      <x:c r="O591" s="14">
        <x:v>58</x:v>
      </x:c>
      <x:c r="P591" s="14" t="s">
        <x:v>110</x:v>
      </x:c>
      <x:c r="Q591" s="14" t="s">
        <x:v>103</x:v>
      </x:c>
      <x:c r="R591" s="14" t="s">
        <x:v>104</x:v>
      </x:c>
      <x:c r="S591" s="14" t="s">
        <x:v>105</x:v>
      </x:c>
      <x:c r="T591" s="14" t="str">
        <x:v>Region B</x:v>
      </x:c>
      <x:c r="U591" s="28">
        <x:v>45235</x:v>
      </x:c>
      <x:c r="V591" s="30">
        <x:v>8</x:v>
      </x:c>
      <x:c r="W591" s="14" t="s">
        <x:v>45</x:v>
      </x:c>
      <x:c r="X591" s="14" t="s">
        <x:v>106</x:v>
      </x:c>
      <x:c r="Y591" s="32" t="str">
        <x:v>TRN-0590|20231028</x:v>
      </x:c>
      <x:c r="Z591" s="32" t="str" cm="1">
        <x:f t="array" ref="Z59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591" s="33" t="n">
        <x:f>--OR(WorkforceData[[#This Row],[Status]]="Active",WorkforceData[[#This Row],[Promoted]]="Yes",WorkforceData[[#This Row],[Total Days Worked]]&gt;=121)</x:f>
        <x:v>0</x:v>
      </x:c>
      <x:c r="AB591" s="33" t="n">
        <x:f>IF(AND(Q591="Terminated",R591="",O591=0),1,0)</x:f>
        <x:v>0</x:v>
      </x:c>
      <x:c r="AC591" s="33" t="n">
        <x:f>--OR(WorkforceData[[#This Row],[Status]]="Resigned",WorkforceData[[#This Row],[Status After Training]]="Withdrew")</x:f>
        <x:v>1</x:v>
      </x:c>
      <x:c r="AD591" s="34" t="n">
        <x:f>EOMONTH(WorkforceData[[#This Row],[Training Date]],0)</x:f>
        <x:v>45230</x:v>
      </x:c>
      <x:c r="AE591" s="32" t="str">
        <x:f>IF(M591&lt;H591,"Existing Employee",IF(U591="","No Assignment",IF(V591=0,"0 Days",IF(V591&lt;=7,"1-7 Days",IF(V591&lt;=14,"8-14 Days",IF(V591&lt;=21,"15-21 Days","21+ Days"))))))</x:f>
        <x:v>Existing Employee</x:v>
      </x:c>
      <x:c r="AF59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591" s="33" t="n">
        <x:f>--(WorkforceData[[#This Row],[Total Days Worked]]&gt;=121)</x:f>
        <x:v>0</x:v>
      </x:c>
    </x:row>
    <x:row r="592">
      <x:c r="A592" s="236" t="str">
        <x:v>TRN-0591</x:v>
      </x:c>
      <x:c r="B592" s="243"/>
      <x:c r="C592" s="243"/>
      <x:c r="D592" s="243"/>
      <x:c r="E592" s="243"/>
      <x:c r="F592" s="14" t="str">
        <x:v>Recruiter H</x:v>
      </x:c>
      <x:c r="G592" s="14" t="str">
        <x:v>Training Center B</x:v>
      </x:c>
      <x:c r="H592" s="28">
        <x:v>45227</x:v>
      </x:c>
      <x:c r="I592" s="14">
        <x:v>2023</x:v>
      </x:c>
      <x:c r="J592" s="14" t="s">
        <x:v>100</x:v>
      </x:c>
      <x:c r="K592" s="14">
        <x:v>22</x:v>
      </x:c>
      <x:c r="L592" s="29" t="s">
        <x:v>101</x:v>
      </x:c>
      <x:c r="M592" s="28">
        <x:v>45225</x:v>
      </x:c>
      <x:c r="N592" s="14"/>
      <x:c r="O592" s="14">
        <x:v>1026</x:v>
      </x:c>
      <x:c r="P592" s="14" t="s">
        <x:v>122</x:v>
      </x:c>
      <x:c r="Q592" s="14" t="s">
        <x:v>25</x:v>
      </x:c>
      <x:c r="R592" s="14"/>
      <x:c r="S592" s="14" t="s">
        <x:v>108</x:v>
      </x:c>
      <x:c r="T592" s="14" t="str">
        <x:v>Region B</x:v>
      </x:c>
      <x:c r="U592" s="28">
        <x:v>45247</x:v>
      </x:c>
      <x:c r="V592" s="30">
        <x:v>20</x:v>
      </x:c>
      <x:c r="W592" s="14" t="s">
        <x:v>112</x:v>
      </x:c>
      <x:c r="X592" s="14" t="s">
        <x:v>106</x:v>
      </x:c>
      <x:c r="Y592" s="32" t="str">
        <x:v>TRN-0591|20231028</x:v>
      </x:c>
      <x:c r="Z592" s="32" t="str" cm="1">
        <x:f t="array" ref="Z59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592" s="33" t="n">
        <x:f>--OR(WorkforceData[[#This Row],[Status]]="Active",WorkforceData[[#This Row],[Promoted]]="Yes",WorkforceData[[#This Row],[Total Days Worked]]&gt;=121)</x:f>
        <x:v>1</x:v>
      </x:c>
      <x:c r="AB592" s="33" t="n">
        <x:f>IF(AND(Q592="Terminated",R592="",O592=0),1,0)</x:f>
        <x:v>0</x:v>
      </x:c>
      <x:c r="AC592" s="33" t="n">
        <x:f>--OR(WorkforceData[[#This Row],[Status]]="Resigned",WorkforceData[[#This Row],[Status After Training]]="Withdrew")</x:f>
        <x:v>0</x:v>
      </x:c>
      <x:c r="AD592" s="34" t="n">
        <x:f>EOMONTH(WorkforceData[[#This Row],[Training Date]],0)</x:f>
        <x:v>45230</x:v>
      </x:c>
      <x:c r="AE592" s="32" t="str">
        <x:f>IF(M592&lt;H592,"Existing Employee",IF(U592="","No Assignment",IF(V592=0,"0 Days",IF(V592&lt;=7,"1-7 Days",IF(V592&lt;=14,"8-14 Days",IF(V592&lt;=21,"15-21 Days","21+ Days"))))))</x:f>
        <x:v>Existing Employee</x:v>
      </x:c>
      <x:c r="AF59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92" s="33" t="n">
        <x:f>--(WorkforceData[[#This Row],[Total Days Worked]]&gt;=121)</x:f>
        <x:v>1</x:v>
      </x:c>
    </x:row>
    <x:row r="593">
      <x:c r="A593" s="236" t="str">
        <x:v>TRN-0592</x:v>
      </x:c>
      <x:c r="B593" s="243"/>
      <x:c r="C593" s="243"/>
      <x:c r="D593" s="243"/>
      <x:c r="E593" s="243"/>
      <x:c r="F593" s="14" t="str">
        <x:v>Recruiter A</x:v>
      </x:c>
      <x:c r="G593" s="14" t="str">
        <x:v>Training Center B</x:v>
      </x:c>
      <x:c r="H593" s="28">
        <x:v>45227</x:v>
      </x:c>
      <x:c r="I593" s="14">
        <x:v>2023</x:v>
      </x:c>
      <x:c r="J593" s="14" t="s">
        <x:v>100</x:v>
      </x:c>
      <x:c r="K593" s="14">
        <x:v>22</x:v>
      </x:c>
      <x:c r="L593" s="29" t="s">
        <x:v>101</x:v>
      </x:c>
      <x:c r="M593" s="28">
        <x:v>45227</x:v>
      </x:c>
      <x:c r="N593" s="14"/>
      <x:c r="O593" s="14">
        <x:v>1024</x:v>
      </x:c>
      <x:c r="P593" s="14" t="s">
        <x:v>122</x:v>
      </x:c>
      <x:c r="Q593" s="14" t="s">
        <x:v>25</x:v>
      </x:c>
      <x:c r="R593" s="14"/>
      <x:c r="S593" s="14" t="s">
        <x:v>108</x:v>
      </x:c>
      <x:c r="T593" s="14" t="str">
        <x:v>Region D</x:v>
      </x:c>
      <x:c r="U593" s="28">
        <x:v>45227</x:v>
      </x:c>
      <x:c r="V593" s="30">
        <x:v>0</x:v>
      </x:c>
      <x:c r="W593" s="14" t="s">
        <x:v>109</x:v>
      </x:c>
      <x:c r="X593" s="14" t="s">
        <x:v>106</x:v>
      </x:c>
      <x:c r="Y593" s="32" t="str">
        <x:v>TRN-0592|20231028</x:v>
      </x:c>
      <x:c r="Z593" s="32" t="str" cm="1">
        <x:f t="array" ref="Z59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593" s="33" t="n">
        <x:f>--OR(WorkforceData[[#This Row],[Status]]="Active",WorkforceData[[#This Row],[Promoted]]="Yes",WorkforceData[[#This Row],[Total Days Worked]]&gt;=121)</x:f>
        <x:v>1</x:v>
      </x:c>
      <x:c r="AB593" s="33" t="n">
        <x:f>IF(AND(Q593="Terminated",R593="",O593=0),1,0)</x:f>
        <x:v>0</x:v>
      </x:c>
      <x:c r="AC593" s="33" t="n">
        <x:f>--OR(WorkforceData[[#This Row],[Status]]="Resigned",WorkforceData[[#This Row],[Status After Training]]="Withdrew")</x:f>
        <x:v>0</x:v>
      </x:c>
      <x:c r="AD593" s="34" t="n">
        <x:f>EOMONTH(WorkforceData[[#This Row],[Training Date]],0)</x:f>
        <x:v>45230</x:v>
      </x:c>
      <x:c r="AE593" s="32" t="str">
        <x:f>IF(M593&lt;H593,"Existing Employee",IF(U593="","No Assignment",IF(V593=0,"0 Days",IF(V593&lt;=7,"1-7 Days",IF(V593&lt;=14,"8-14 Days",IF(V593&lt;=21,"15-21 Days","21+ Days"))))))</x:f>
        <x:v>0 Days</x:v>
      </x:c>
      <x:c r="AF59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93" s="33" t="n">
        <x:f>--(WorkforceData[[#This Row],[Total Days Worked]]&gt;=121)</x:f>
        <x:v>1</x:v>
      </x:c>
    </x:row>
    <x:row r="594">
      <x:c r="A594" s="236" t="str">
        <x:v>TRN-0593</x:v>
      </x:c>
      <x:c r="B594" s="243"/>
      <x:c r="C594" s="243"/>
      <x:c r="D594" s="243"/>
      <x:c r="E594" s="243"/>
      <x:c r="F594" s="14" t="str">
        <x:v>Recruiter E</x:v>
      </x:c>
      <x:c r="G594" s="14" t="str">
        <x:v>Training Center B</x:v>
      </x:c>
      <x:c r="H594" s="28">
        <x:v>45227</x:v>
      </x:c>
      <x:c r="I594" s="14">
        <x:v>2023</x:v>
      </x:c>
      <x:c r="J594" s="14" t="s">
        <x:v>100</x:v>
      </x:c>
      <x:c r="K594" s="14">
        <x:v>22</x:v>
      </x:c>
      <x:c r="L594" s="29" t="s">
        <x:v>101</x:v>
      </x:c>
      <x:c r="M594" s="28">
        <x:v>45224</x:v>
      </x:c>
      <x:c r="N594" s="14"/>
      <x:c r="O594" s="14">
        <x:v>1027</x:v>
      </x:c>
      <x:c r="P594" s="14" t="s">
        <x:v>122</x:v>
      </x:c>
      <x:c r="Q594" s="14" t="s">
        <x:v>25</x:v>
      </x:c>
      <x:c r="R594" s="14"/>
      <x:c r="S594" s="14" t="s">
        <x:v>108</x:v>
      </x:c>
      <x:c r="T594" s="14" t="str">
        <x:v>Region B</x:v>
      </x:c>
      <x:c r="U594" s="28">
        <x:v>45233</x:v>
      </x:c>
      <x:c r="V594" s="30">
        <x:v>6</x:v>
      </x:c>
      <x:c r="W594" s="14" t="s">
        <x:v>109</x:v>
      </x:c>
      <x:c r="X594" s="14" t="s">
        <x:v>106</x:v>
      </x:c>
      <x:c r="Y594" s="32" t="str">
        <x:v>TRN-0593|20231028</x:v>
      </x:c>
      <x:c r="Z594" s="32" t="str" cm="1">
        <x:f t="array" ref="Z59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594" s="33" t="n">
        <x:f>--OR(WorkforceData[[#This Row],[Status]]="Active",WorkforceData[[#This Row],[Promoted]]="Yes",WorkforceData[[#This Row],[Total Days Worked]]&gt;=121)</x:f>
        <x:v>1</x:v>
      </x:c>
      <x:c r="AB594" s="33" t="n">
        <x:f>IF(AND(Q594="Terminated",R594="",O594=0),1,0)</x:f>
        <x:v>0</x:v>
      </x:c>
      <x:c r="AC594" s="33" t="n">
        <x:f>--OR(WorkforceData[[#This Row],[Status]]="Resigned",WorkforceData[[#This Row],[Status After Training]]="Withdrew")</x:f>
        <x:v>0</x:v>
      </x:c>
      <x:c r="AD594" s="34" t="n">
        <x:f>EOMONTH(WorkforceData[[#This Row],[Training Date]],0)</x:f>
        <x:v>45230</x:v>
      </x:c>
      <x:c r="AE594" s="32" t="str">
        <x:f>IF(M594&lt;H594,"Existing Employee",IF(U594="","No Assignment",IF(V594=0,"0 Days",IF(V594&lt;=7,"1-7 Days",IF(V594&lt;=14,"8-14 Days",IF(V594&lt;=21,"15-21 Days","21+ Days"))))))</x:f>
        <x:v>Existing Employee</x:v>
      </x:c>
      <x:c r="AF59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594" s="33" t="n">
        <x:f>--(WorkforceData[[#This Row],[Total Days Worked]]&gt;=121)</x:f>
        <x:v>1</x:v>
      </x:c>
    </x:row>
    <x:row r="595">
      <x:c r="A595" s="236" t="str">
        <x:v>TRN-0594</x:v>
      </x:c>
      <x:c r="B595" s="243"/>
      <x:c r="C595" s="243"/>
      <x:c r="D595" s="243"/>
      <x:c r="E595" s="243"/>
      <x:c r="F595" s="14" t="str">
        <x:v>Recruiter A</x:v>
      </x:c>
      <x:c r="G595" s="14" t="str">
        <x:v>Training Center B</x:v>
      </x:c>
      <x:c r="H595" s="28">
        <x:v>45227</x:v>
      </x:c>
      <x:c r="I595" s="14">
        <x:v>2023</x:v>
      </x:c>
      <x:c r="J595" s="14" t="s">
        <x:v>100</x:v>
      </x:c>
      <x:c r="K595" s="14">
        <x:v>22</x:v>
      </x:c>
      <x:c r="L595" s="29" t="s">
        <x:v>101</x:v>
      </x:c>
      <x:c r="M595" s="28">
        <x:v>45226</x:v>
      </x:c>
      <x:c r="N595" s="28">
        <x:v>45316</x:v>
      </x:c>
      <x:c r="O595" s="14">
        <x:v>90</x:v>
      </x:c>
      <x:c r="P595" s="14" t="s">
        <x:v>110</x:v>
      </x:c>
      <x:c r="Q595" s="14" t="s">
        <x:v>33</x:v>
      </x:c>
      <x:c r="R595" s="14" t="s">
        <x:v>116</x:v>
      </x:c>
      <x:c r="S595" s="14" t="s">
        <x:v>105</x:v>
      </x:c>
      <x:c r="T595" s="14" t="str">
        <x:v>Region B</x:v>
      </x:c>
      <x:c r="U595" s="28">
        <x:v>45229</x:v>
      </x:c>
      <x:c r="V595" s="30">
        <x:v>2</x:v>
      </x:c>
      <x:c r="W595" s="14" t="s">
        <x:v>109</x:v>
      </x:c>
      <x:c r="X595" s="14" t="s">
        <x:v>106</x:v>
      </x:c>
      <x:c r="Y595" s="32" t="str">
        <x:v>TRN-0594|20231028</x:v>
      </x:c>
      <x:c r="Z595" s="32" t="str" cm="1">
        <x:f t="array" ref="Z59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595" s="33" t="n">
        <x:f>--OR(WorkforceData[[#This Row],[Status]]="Active",WorkforceData[[#This Row],[Promoted]]="Yes",WorkforceData[[#This Row],[Total Days Worked]]&gt;=121)</x:f>
        <x:v>0</x:v>
      </x:c>
      <x:c r="AB595" s="33" t="n">
        <x:f>IF(AND(Q595="Terminated",R595="",O595=0),1,0)</x:f>
        <x:v>0</x:v>
      </x:c>
      <x:c r="AC595" s="33" t="n">
        <x:f>--OR(WorkforceData[[#This Row],[Status]]="Resigned",WorkforceData[[#This Row],[Status After Training]]="Withdrew")</x:f>
        <x:v>0</x:v>
      </x:c>
      <x:c r="AD595" s="34" t="n">
        <x:f>EOMONTH(WorkforceData[[#This Row],[Training Date]],0)</x:f>
        <x:v>45230</x:v>
      </x:c>
      <x:c r="AE595" s="32" t="str">
        <x:f>IF(M595&lt;H595,"Existing Employee",IF(U595="","No Assignment",IF(V595=0,"0 Days",IF(V595&lt;=7,"1-7 Days",IF(V595&lt;=14,"8-14 Days",IF(V595&lt;=21,"15-21 Days","21+ Days"))))))</x:f>
        <x:v>Existing Employee</x:v>
      </x:c>
      <x:c r="AF59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61-90 Days</x:v>
      </x:c>
      <x:c r="AG595" s="33" t="n">
        <x:f>--(WorkforceData[[#This Row],[Total Days Worked]]&gt;=121)</x:f>
        <x:v>0</x:v>
      </x:c>
    </x:row>
    <x:row r="596">
      <x:c r="A596" s="236" t="str">
        <x:v>TRN-0595</x:v>
      </x:c>
      <x:c r="B596" s="243"/>
      <x:c r="C596" s="243"/>
      <x:c r="D596" s="243"/>
      <x:c r="E596" s="243"/>
      <x:c r="F596" s="14" t="str">
        <x:v>Recruiter G</x:v>
      </x:c>
      <x:c r="G596" s="14" t="str">
        <x:v>Training Center A</x:v>
      </x:c>
      <x:c r="H596" s="28">
        <x:v>46229</x:v>
      </x:c>
      <x:c r="I596" s="14">
        <x:v>2026</x:v>
      </x:c>
      <x:c r="J596" s="14" t="s">
        <x:v>133</x:v>
      </x:c>
      <x:c r="K596" s="14">
        <x:v>16</x:v>
      </x:c>
      <x:c r="L596" s="29" t="s">
        <x:v>119</x:v>
      </x:c>
      <x:c r="M596" s="28">
        <x:v>46229</x:v>
      </x:c>
      <x:c r="N596" s="28">
        <x:v>46251</x:v>
      </x:c>
      <x:c r="O596" s="14">
        <x:v>22</x:v>
      </x:c>
      <x:c r="P596" s="14" t="s">
        <x:v>102</x:v>
      </x:c>
      <x:c r="Q596" s="14" t="s">
        <x:v>103</x:v>
      </x:c>
      <x:c r="R596" s="14" t="s">
        <x:v>123</x:v>
      </x:c>
      <x:c r="S596" s="14" t="s">
        <x:v>105</x:v>
      </x:c>
      <x:c r="T596" s="14" t="str">
        <x:v>Region A</x:v>
      </x:c>
      <x:c r="U596" s="28">
        <x:v>46242</x:v>
      </x:c>
      <x:c r="V596" s="30">
        <x:v>13</x:v>
      </x:c>
      <x:c r="W596" s="14" t="s">
        <x:v>45</x:v>
      </x:c>
      <x:c r="X596" s="14" t="s">
        <x:v>125</x:v>
      </x:c>
      <x:c r="Y596" s="32" t="str">
        <x:v>TRN-0595|20260726</x:v>
      </x:c>
      <x:c r="Z596" s="32" t="str" cm="1">
        <x:f t="array" ref="Z59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596" s="33" t="n">
        <x:f>--OR(WorkforceData[[#This Row],[Status]]="Active",WorkforceData[[#This Row],[Promoted]]="Yes",WorkforceData[[#This Row],[Total Days Worked]]&gt;=121)</x:f>
        <x:v>0</x:v>
      </x:c>
      <x:c r="AB596" s="33" t="n">
        <x:f>IF(AND(Q596="Terminated",R596="",O596=0),1,0)</x:f>
        <x:v>0</x:v>
      </x:c>
      <x:c r="AC596" s="33" t="n">
        <x:f>--OR(WorkforceData[[#This Row],[Status]]="Resigned",WorkforceData[[#This Row],[Status After Training]]="Withdrew")</x:f>
        <x:v>1</x:v>
      </x:c>
      <x:c r="AD596" s="34" t="n">
        <x:f>EOMONTH(WorkforceData[[#This Row],[Training Date]],0)</x:f>
        <x:v>46234</x:v>
      </x:c>
      <x:c r="AE596" s="32" t="str">
        <x:f>IF(M596&lt;H596,"Existing Employee",IF(U596="","No Assignment",IF(V596=0,"0 Days",IF(V596&lt;=7,"1-7 Days",IF(V596&lt;=14,"8-14 Days",IF(V596&lt;=21,"15-21 Days","21+ Days"))))))</x:f>
        <x:v>8-14 Days</x:v>
      </x:c>
      <x:c r="AF59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596" s="33" t="n">
        <x:f>--(WorkforceData[[#This Row],[Total Days Worked]]&gt;=121)</x:f>
        <x:v>0</x:v>
      </x:c>
    </x:row>
    <x:row r="597">
      <x:c r="A597" s="236" t="str">
        <x:v>TRN-0596</x:v>
      </x:c>
      <x:c r="B597" s="243"/>
      <x:c r="C597" s="243"/>
      <x:c r="D597" s="243"/>
      <x:c r="E597" s="243"/>
      <x:c r="F597" s="14" t="str">
        <x:v>Recruiter A</x:v>
      </x:c>
      <x:c r="G597" s="14" t="str">
        <x:v>Training Center A</x:v>
      </x:c>
      <x:c r="H597" s="28">
        <x:v>46229</x:v>
      </x:c>
      <x:c r="I597" s="14">
        <x:v>2026</x:v>
      </x:c>
      <x:c r="J597" s="14" t="s">
        <x:v>133</x:v>
      </x:c>
      <x:c r="K597" s="14">
        <x:v>16</x:v>
      </x:c>
      <x:c r="L597" s="29" t="s">
        <x:v>119</x:v>
      </x:c>
      <x:c r="M597" s="28">
        <x:v>46226</x:v>
      </x:c>
      <x:c r="N597" s="14"/>
      <x:c r="O597" s="14">
        <x:v>25</x:v>
      </x:c>
      <x:c r="P597" s="14" t="s">
        <x:v>102</x:v>
      </x:c>
      <x:c r="Q597" s="14" t="s">
        <x:v>25</x:v>
      </x:c>
      <x:c r="R597" s="14"/>
      <x:c r="S597" s="14" t="s">
        <x:v>105</x:v>
      </x:c>
      <x:c r="T597" s="14"/>
      <x:c r="U597" s="28"/>
      <x:c r="V597" s="30"/>
      <x:c r="W597" s="14"/>
      <x:c r="X597" s="14" t="s">
        <x:v>71</x:v>
      </x:c>
      <x:c r="Y597" s="32" t="str">
        <x:v>TRN-0596|20260726</x:v>
      </x:c>
      <x:c r="Z597" s="32" t="str" cm="1">
        <x:f t="array" ref="Z59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597" s="33" t="n">
        <x:f>--OR(WorkforceData[[#This Row],[Status]]="Active",WorkforceData[[#This Row],[Promoted]]="Yes",WorkforceData[[#This Row],[Total Days Worked]]&gt;=121)</x:f>
        <x:v>1</x:v>
      </x:c>
      <x:c r="AB597" s="33" t="n">
        <x:f>IF(AND(Q597="Terminated",R597="",O597=0),1,0)</x:f>
        <x:v>0</x:v>
      </x:c>
      <x:c r="AC597" s="33" t="n">
        <x:f>--OR(WorkforceData[[#This Row],[Status]]="Resigned",WorkforceData[[#This Row],[Status After Training]]="Withdrew")</x:f>
        <x:v>0</x:v>
      </x:c>
      <x:c r="AD597" s="34" t="n">
        <x:f>EOMONTH(WorkforceData[[#This Row],[Training Date]],0)</x:f>
        <x:v>46234</x:v>
      </x:c>
      <x:c r="AE597" s="32" t="str">
        <x:f>IF(M597&lt;H597,"Existing Employee",IF(U597="","No Assignment",IF(V597=0,"0 Days",IF(V597&lt;=7,"1-7 Days",IF(V597&lt;=14,"8-14 Days",IF(V597&lt;=21,"15-21 Days","21+ Days"))))))</x:f>
        <x:v>Existing Employee</x:v>
      </x:c>
      <x:c r="AF59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597" s="33" t="n">
        <x:f>--(WorkforceData[[#This Row],[Total Days Worked]]&gt;=121)</x:f>
        <x:v>0</x:v>
      </x:c>
    </x:row>
    <x:row r="598">
      <x:c r="A598" s="236" t="str">
        <x:v>TRN-0597</x:v>
      </x:c>
      <x:c r="B598" s="243"/>
      <x:c r="C598" s="243"/>
      <x:c r="D598" s="243"/>
      <x:c r="E598" s="243"/>
      <x:c r="F598" s="14" t="str">
        <x:v>Recruiter H</x:v>
      </x:c>
      <x:c r="G598" s="14" t="str">
        <x:v>Training Center A</x:v>
      </x:c>
      <x:c r="H598" s="28">
        <x:v>46229</x:v>
      </x:c>
      <x:c r="I598" s="14">
        <x:v>2026</x:v>
      </x:c>
      <x:c r="J598" s="14" t="s">
        <x:v>133</x:v>
      </x:c>
      <x:c r="K598" s="14">
        <x:v>16</x:v>
      </x:c>
      <x:c r="L598" s="29" t="s">
        <x:v>119</x:v>
      </x:c>
      <x:c r="M598" s="28">
        <x:v>46219</x:v>
      </x:c>
      <x:c r="N598" s="14"/>
      <x:c r="O598" s="14">
        <x:v>32</x:v>
      </x:c>
      <x:c r="P598" s="14" t="s">
        <x:v>110</x:v>
      </x:c>
      <x:c r="Q598" s="14" t="s">
        <x:v>25</x:v>
      </x:c>
      <x:c r="R598" s="14"/>
      <x:c r="S598" s="14" t="s">
        <x:v>105</x:v>
      </x:c>
      <x:c r="T598" s="14" t="str">
        <x:v>Region B</x:v>
      </x:c>
      <x:c r="U598" s="28">
        <x:v>46229</x:v>
      </x:c>
      <x:c r="V598" s="30">
        <x:v>0</x:v>
      </x:c>
      <x:c r="W598" s="14" t="s">
        <x:v>109</x:v>
      </x:c>
      <x:c r="X598" s="14" t="s">
        <x:v>106</x:v>
      </x:c>
      <x:c r="Y598" s="32" t="str">
        <x:v>TRN-0597|20260726</x:v>
      </x:c>
      <x:c r="Z598" s="32" t="str" cm="1">
        <x:f t="array" ref="Z59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598" s="33" t="n">
        <x:f>--OR(WorkforceData[[#This Row],[Status]]="Active",WorkforceData[[#This Row],[Promoted]]="Yes",WorkforceData[[#This Row],[Total Days Worked]]&gt;=121)</x:f>
        <x:v>1</x:v>
      </x:c>
      <x:c r="AB598" s="33" t="n">
        <x:f>IF(AND(Q598="Terminated",R598="",O598=0),1,0)</x:f>
        <x:v>0</x:v>
      </x:c>
      <x:c r="AC598" s="33" t="n">
        <x:f>--OR(WorkforceData[[#This Row],[Status]]="Resigned",WorkforceData[[#This Row],[Status After Training]]="Withdrew")</x:f>
        <x:v>0</x:v>
      </x:c>
      <x:c r="AD598" s="34" t="n">
        <x:f>EOMONTH(WorkforceData[[#This Row],[Training Date]],0)</x:f>
        <x:v>46234</x:v>
      </x:c>
      <x:c r="AE598" s="32" t="str">
        <x:f>IF(M598&lt;H598,"Existing Employee",IF(U598="","No Assignment",IF(V598=0,"0 Days",IF(V598&lt;=7,"1-7 Days",IF(V598&lt;=14,"8-14 Days",IF(V598&lt;=21,"15-21 Days","21+ Days"))))))</x:f>
        <x:v>Existing Employee</x:v>
      </x:c>
      <x:c r="AF59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598" s="33" t="n">
        <x:f>--(WorkforceData[[#This Row],[Total Days Worked]]&gt;=121)</x:f>
        <x:v>0</x:v>
      </x:c>
    </x:row>
    <x:row r="599">
      <x:c r="A599" s="236" t="str">
        <x:v>TRN-0598</x:v>
      </x:c>
      <x:c r="B599" s="243"/>
      <x:c r="C599" s="243"/>
      <x:c r="D599" s="243"/>
      <x:c r="E599" s="243"/>
      <x:c r="F599" s="14" t="str">
        <x:v>Recruiter D</x:v>
      </x:c>
      <x:c r="G599" s="14" t="str">
        <x:v>Training Center A</x:v>
      </x:c>
      <x:c r="H599" s="28">
        <x:v>46229</x:v>
      </x:c>
      <x:c r="I599" s="14">
        <x:v>2026</x:v>
      </x:c>
      <x:c r="J599" s="14" t="s">
        <x:v>133</x:v>
      </x:c>
      <x:c r="K599" s="14">
        <x:v>16</x:v>
      </x:c>
      <x:c r="L599" s="29" t="s">
        <x:v>119</x:v>
      </x:c>
      <x:c r="M599" s="28">
        <x:v>46229</x:v>
      </x:c>
      <x:c r="N599" s="14"/>
      <x:c r="O599" s="14">
        <x:v>22</x:v>
      </x:c>
      <x:c r="P599" s="14" t="s">
        <x:v>102</x:v>
      </x:c>
      <x:c r="Q599" s="14" t="s">
        <x:v>25</x:v>
      </x:c>
      <x:c r="R599" s="14"/>
      <x:c r="S599" s="14" t="s">
        <x:v>105</x:v>
      </x:c>
      <x:c r="T599" s="14" t="str">
        <x:v>Region C</x:v>
      </x:c>
      <x:c r="U599" s="28">
        <x:v>46235</x:v>
      </x:c>
      <x:c r="V599" s="30">
        <x:v>6</x:v>
      </x:c>
      <x:c r="W599" s="14" t="s">
        <x:v>109</x:v>
      </x:c>
      <x:c r="X599" s="14" t="s">
        <x:v>106</x:v>
      </x:c>
      <x:c r="Y599" s="32" t="str">
        <x:v>TRN-0598|20260726</x:v>
      </x:c>
      <x:c r="Z599" s="32" t="str" cm="1">
        <x:f t="array" ref="Z59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599" s="33" t="n">
        <x:f>--OR(WorkforceData[[#This Row],[Status]]="Active",WorkforceData[[#This Row],[Promoted]]="Yes",WorkforceData[[#This Row],[Total Days Worked]]&gt;=121)</x:f>
        <x:v>1</x:v>
      </x:c>
      <x:c r="AB599" s="33" t="n">
        <x:f>IF(AND(Q599="Terminated",R599="",O599=0),1,0)</x:f>
        <x:v>0</x:v>
      </x:c>
      <x:c r="AC599" s="33" t="n">
        <x:f>--OR(WorkforceData[[#This Row],[Status]]="Resigned",WorkforceData[[#This Row],[Status After Training]]="Withdrew")</x:f>
        <x:v>0</x:v>
      </x:c>
      <x:c r="AD599" s="34" t="n">
        <x:f>EOMONTH(WorkforceData[[#This Row],[Training Date]],0)</x:f>
        <x:v>46234</x:v>
      </x:c>
      <x:c r="AE599" s="32" t="str">
        <x:f>IF(M599&lt;H599,"Existing Employee",IF(U599="","No Assignment",IF(V599=0,"0 Days",IF(V599&lt;=7,"1-7 Days",IF(V599&lt;=14,"8-14 Days",IF(V599&lt;=21,"15-21 Days","21+ Days"))))))</x:f>
        <x:v>1-7 Days</x:v>
      </x:c>
      <x:c r="AF59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599" s="33" t="n">
        <x:f>--(WorkforceData[[#This Row],[Total Days Worked]]&gt;=121)</x:f>
        <x:v>0</x:v>
      </x:c>
    </x:row>
    <x:row r="600">
      <x:c r="A600" s="236" t="str">
        <x:v>TRN-0599</x:v>
      </x:c>
      <x:c r="B600" s="243"/>
      <x:c r="C600" s="243"/>
      <x:c r="D600" s="243"/>
      <x:c r="E600" s="243"/>
      <x:c r="F600" s="14" t="str">
        <x:v>Recruiter H</x:v>
      </x:c>
      <x:c r="G600" s="14" t="str">
        <x:v>Training Center A</x:v>
      </x:c>
      <x:c r="H600" s="28">
        <x:v>46229</x:v>
      </x:c>
      <x:c r="I600" s="14">
        <x:v>2026</x:v>
      </x:c>
      <x:c r="J600" s="14" t="s">
        <x:v>133</x:v>
      </x:c>
      <x:c r="K600" s="14">
        <x:v>16</x:v>
      </x:c>
      <x:c r="L600" s="29" t="s">
        <x:v>119</x:v>
      </x:c>
      <x:c r="M600" s="28">
        <x:v>46226</x:v>
      </x:c>
      <x:c r="N600" s="28">
        <x:v>46251</x:v>
      </x:c>
      <x:c r="O600" s="14">
        <x:v>25</x:v>
      </x:c>
      <x:c r="P600" s="14" t="s">
        <x:v>102</x:v>
      </x:c>
      <x:c r="Q600" s="14" t="s">
        <x:v>103</x:v>
      </x:c>
      <x:c r="R600" s="14" t="s">
        <x:v>104</x:v>
      </x:c>
      <x:c r="S600" s="14" t="s">
        <x:v>105</x:v>
      </x:c>
      <x:c r="T600" s="14" t="str">
        <x:v>Region B</x:v>
      </x:c>
      <x:c r="U600" s="28">
        <x:v>46251</x:v>
      </x:c>
      <x:c r="V600" s="30">
        <x:v>22</x:v>
      </x:c>
      <x:c r="W600" s="14" t="s">
        <x:v>112</x:v>
      </x:c>
      <x:c r="X600" s="14" t="s">
        <x:v>117</x:v>
      </x:c>
      <x:c r="Y600" s="32" t="str">
        <x:v>TRN-0599|20260726</x:v>
      </x:c>
      <x:c r="Z600" s="32" t="str" cm="1">
        <x:f t="array" ref="Z60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600" s="33" t="n">
        <x:f>--OR(WorkforceData[[#This Row],[Status]]="Active",WorkforceData[[#This Row],[Promoted]]="Yes",WorkforceData[[#This Row],[Total Days Worked]]&gt;=121)</x:f>
        <x:v>0</x:v>
      </x:c>
      <x:c r="AB600" s="33" t="n">
        <x:f>IF(AND(Q600="Terminated",R600="",O600=0),1,0)</x:f>
        <x:v>0</x:v>
      </x:c>
      <x:c r="AC600" s="33" t="n">
        <x:f>--OR(WorkforceData[[#This Row],[Status]]="Resigned",WorkforceData[[#This Row],[Status After Training]]="Withdrew")</x:f>
        <x:v>1</x:v>
      </x:c>
      <x:c r="AD600" s="34" t="n">
        <x:f>EOMONTH(WorkforceData[[#This Row],[Training Date]],0)</x:f>
        <x:v>46234</x:v>
      </x:c>
      <x:c r="AE600" s="32" t="str">
        <x:f>IF(M600&lt;H600,"Existing Employee",IF(U600="","No Assignment",IF(V600=0,"0 Days",IF(V600&lt;=7,"1-7 Days",IF(V600&lt;=14,"8-14 Days",IF(V600&lt;=21,"15-21 Days","21+ Days"))))))</x:f>
        <x:v>Existing Employee</x:v>
      </x:c>
      <x:c r="AF60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600" s="33" t="n">
        <x:f>--(WorkforceData[[#This Row],[Total Days Worked]]&gt;=121)</x:f>
        <x:v>0</x:v>
      </x:c>
    </x:row>
    <x:row r="601">
      <x:c r="A601" s="236" t="str">
        <x:v>TRN-0600</x:v>
      </x:c>
      <x:c r="B601" s="243"/>
      <x:c r="C601" s="243"/>
      <x:c r="D601" s="243"/>
      <x:c r="E601" s="243"/>
      <x:c r="F601" s="14" t="str">
        <x:v>Recruiter H</x:v>
      </x:c>
      <x:c r="G601" s="14" t="str">
        <x:v>Training Center A</x:v>
      </x:c>
      <x:c r="H601" s="28">
        <x:v>46229</x:v>
      </x:c>
      <x:c r="I601" s="14">
        <x:v>2026</x:v>
      </x:c>
      <x:c r="J601" s="14" t="s">
        <x:v>133</x:v>
      </x:c>
      <x:c r="K601" s="14">
        <x:v>16</x:v>
      </x:c>
      <x:c r="L601" s="29" t="s">
        <x:v>119</x:v>
      </x:c>
      <x:c r="M601" s="28">
        <x:v>46229</x:v>
      </x:c>
      <x:c r="N601" s="28">
        <x:v>46251</x:v>
      </x:c>
      <x:c r="O601" s="14">
        <x:v>22</x:v>
      </x:c>
      <x:c r="P601" s="14" t="s">
        <x:v>102</x:v>
      </x:c>
      <x:c r="Q601" s="14" t="s">
        <x:v>103</x:v>
      </x:c>
      <x:c r="R601" s="14" t="s">
        <x:v>111</x:v>
      </x:c>
      <x:c r="S601" s="14" t="s">
        <x:v>105</x:v>
      </x:c>
      <x:c r="T601" s="14" t="str">
        <x:v>Region A</x:v>
      </x:c>
      <x:c r="U601" s="28">
        <x:v>46251</x:v>
      </x:c>
      <x:c r="V601" s="30">
        <x:v>22</x:v>
      </x:c>
      <x:c r="W601" s="14" t="s">
        <x:v>112</x:v>
      </x:c>
      <x:c r="X601" s="14" t="s">
        <x:v>115</x:v>
      </x:c>
      <x:c r="Y601" s="32" t="str">
        <x:v>TRN-0600|20260726</x:v>
      </x:c>
      <x:c r="Z601" s="32" t="str" cm="1">
        <x:f t="array" ref="Z60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601" s="33" t="n">
        <x:f>--OR(WorkforceData[[#This Row],[Status]]="Active",WorkforceData[[#This Row],[Promoted]]="Yes",WorkforceData[[#This Row],[Total Days Worked]]&gt;=121)</x:f>
        <x:v>0</x:v>
      </x:c>
      <x:c r="AB601" s="33" t="n">
        <x:f>IF(AND(Q601="Terminated",R601="",O601=0),1,0)</x:f>
        <x:v>0</x:v>
      </x:c>
      <x:c r="AC601" s="33" t="n">
        <x:f>--OR(WorkforceData[[#This Row],[Status]]="Resigned",WorkforceData[[#This Row],[Status After Training]]="Withdrew")</x:f>
        <x:v>1</x:v>
      </x:c>
      <x:c r="AD601" s="34" t="n">
        <x:f>EOMONTH(WorkforceData[[#This Row],[Training Date]],0)</x:f>
        <x:v>46234</x:v>
      </x:c>
      <x:c r="AE601" s="32" t="str">
        <x:f>IF(M601&lt;H601,"Existing Employee",IF(U601="","No Assignment",IF(V601=0,"0 Days",IF(V601&lt;=7,"1-7 Days",IF(V601&lt;=14,"8-14 Days",IF(V601&lt;=21,"15-21 Days","21+ Days"))))))</x:f>
        <x:v>21+ Days</x:v>
      </x:c>
      <x:c r="AF60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601" s="33" t="n">
        <x:f>--(WorkforceData[[#This Row],[Total Days Worked]]&gt;=121)</x:f>
        <x:v>0</x:v>
      </x:c>
    </x:row>
    <x:row r="602">
      <x:c r="A602" s="236" t="str">
        <x:v>TRN-0601</x:v>
      </x:c>
      <x:c r="B602" s="243"/>
      <x:c r="C602" s="243"/>
      <x:c r="D602" s="243"/>
      <x:c r="E602" s="243"/>
      <x:c r="F602" s="14" t="str">
        <x:v>Recruiter C</x:v>
      </x:c>
      <x:c r="G602" s="14" t="str">
        <x:v>Training Center A</x:v>
      </x:c>
      <x:c r="H602" s="28">
        <x:v>46229</x:v>
      </x:c>
      <x:c r="I602" s="14">
        <x:v>2026</x:v>
      </x:c>
      <x:c r="J602" s="14" t="s">
        <x:v>133</x:v>
      </x:c>
      <x:c r="K602" s="14">
        <x:v>16</x:v>
      </x:c>
      <x:c r="L602" s="29" t="s">
        <x:v>119</x:v>
      </x:c>
      <x:c r="M602" s="28">
        <x:v>46228</x:v>
      </x:c>
      <x:c r="N602" s="14"/>
      <x:c r="O602" s="14">
        <x:v>23</x:v>
      </x:c>
      <x:c r="P602" s="14" t="s">
        <x:v>102</x:v>
      </x:c>
      <x:c r="Q602" s="14" t="s">
        <x:v>38</x:v>
      </x:c>
      <x:c r="R602" s="14"/>
      <x:c r="S602" s="14" t="s">
        <x:v>105</x:v>
      </x:c>
      <x:c r="T602" s="14" t="str">
        <x:v>Region D</x:v>
      </x:c>
      <x:c r="U602" s="28">
        <x:v>46236</x:v>
      </x:c>
      <x:c r="V602" s="30">
        <x:v>7</x:v>
      </x:c>
      <x:c r="W602" s="14" t="s">
        <x:v>109</x:v>
      </x:c>
      <x:c r="X602" s="14" t="s">
        <x:v>106</x:v>
      </x:c>
      <x:c r="Y602" s="32" t="str">
        <x:v>TRN-0601|20260726</x:v>
      </x:c>
      <x:c r="Z602" s="32" t="str" cm="1">
        <x:f t="array" ref="Z60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602" s="33" t="n">
        <x:f>--OR(WorkforceData[[#This Row],[Status]]="Active",WorkforceData[[#This Row],[Promoted]]="Yes",WorkforceData[[#This Row],[Total Days Worked]]&gt;=121)</x:f>
        <x:v>0</x:v>
      </x:c>
      <x:c r="AB602" s="33" t="n">
        <x:f>IF(AND(Q602="Terminated",R602="",O602=0),1,0)</x:f>
        <x:v>0</x:v>
      </x:c>
      <x:c r="AC602" s="33" t="n">
        <x:f>--OR(WorkforceData[[#This Row],[Status]]="Resigned",WorkforceData[[#This Row],[Status After Training]]="Withdrew")</x:f>
        <x:v>0</x:v>
      </x:c>
      <x:c r="AD602" s="34" t="n">
        <x:f>EOMONTH(WorkforceData[[#This Row],[Training Date]],0)</x:f>
        <x:v>46234</x:v>
      </x:c>
      <x:c r="AE602" s="32" t="str">
        <x:f>IF(M602&lt;H602,"Existing Employee",IF(U602="","No Assignment",IF(V602=0,"0 Days",IF(V602&lt;=7,"1-7 Days",IF(V602&lt;=14,"8-14 Days",IF(V602&lt;=21,"15-21 Days","21+ Days"))))))</x:f>
        <x:v>Existing Employee</x:v>
      </x:c>
      <x:c r="AF60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602" s="33" t="n">
        <x:f>--(WorkforceData[[#This Row],[Total Days Worked]]&gt;=121)</x:f>
        <x:v>0</x:v>
      </x:c>
    </x:row>
    <x:row r="603">
      <x:c r="A603" s="236" t="str">
        <x:v>TRN-0602</x:v>
      </x:c>
      <x:c r="B603" s="243"/>
      <x:c r="C603" s="243"/>
      <x:c r="D603" s="243"/>
      <x:c r="E603" s="243"/>
      <x:c r="F603" s="14" t="str">
        <x:v>Recruiter E</x:v>
      </x:c>
      <x:c r="G603" s="14" t="str">
        <x:v>Training Center A</x:v>
      </x:c>
      <x:c r="H603" s="28">
        <x:v>46229</x:v>
      </x:c>
      <x:c r="I603" s="14">
        <x:v>2026</x:v>
      </x:c>
      <x:c r="J603" s="14" t="s">
        <x:v>133</x:v>
      </x:c>
      <x:c r="K603" s="14">
        <x:v>16</x:v>
      </x:c>
      <x:c r="L603" s="29" t="s">
        <x:v>119</x:v>
      </x:c>
      <x:c r="M603" s="28">
        <x:v>46226</x:v>
      </x:c>
      <x:c r="N603" s="28">
        <x:v>46233</x:v>
      </x:c>
      <x:c r="O603" s="14">
        <x:v>7</x:v>
      </x:c>
      <x:c r="P603" s="14" t="s">
        <x:v>102</x:v>
      </x:c>
      <x:c r="Q603" s="14" t="s">
        <x:v>103</x:v>
      </x:c>
      <x:c r="R603" s="14" t="s">
        <x:v>104</x:v>
      </x:c>
      <x:c r="S603" s="14" t="s">
        <x:v>105</x:v>
      </x:c>
      <x:c r="T603" s="14" t="str">
        <x:v>Region E</x:v>
      </x:c>
      <x:c r="U603" s="28">
        <x:v>46233</x:v>
      </x:c>
      <x:c r="V603" s="30">
        <x:v>4</x:v>
      </x:c>
      <x:c r="W603" s="14" t="s">
        <x:v>109</x:v>
      </x:c>
      <x:c r="X603" s="14" t="s">
        <x:v>106</x:v>
      </x:c>
      <x:c r="Y603" s="32" t="str">
        <x:v>TRN-0602|20260726</x:v>
      </x:c>
      <x:c r="Z603" s="32" t="str" cm="1">
        <x:f t="array" ref="Z60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603" s="33" t="n">
        <x:f>--OR(WorkforceData[[#This Row],[Status]]="Active",WorkforceData[[#This Row],[Promoted]]="Yes",WorkforceData[[#This Row],[Total Days Worked]]&gt;=121)</x:f>
        <x:v>0</x:v>
      </x:c>
      <x:c r="AB603" s="33" t="n">
        <x:f>IF(AND(Q603="Terminated",R603="",O603=0),1,0)</x:f>
        <x:v>0</x:v>
      </x:c>
      <x:c r="AC603" s="33" t="n">
        <x:f>--OR(WorkforceData[[#This Row],[Status]]="Resigned",WorkforceData[[#This Row],[Status After Training]]="Withdrew")</x:f>
        <x:v>1</x:v>
      </x:c>
      <x:c r="AD603" s="34" t="n">
        <x:f>EOMONTH(WorkforceData[[#This Row],[Training Date]],0)</x:f>
        <x:v>46234</x:v>
      </x:c>
      <x:c r="AE603" s="32" t="str">
        <x:f>IF(M603&lt;H603,"Existing Employee",IF(U603="","No Assignment",IF(V603=0,"0 Days",IF(V603&lt;=7,"1-7 Days",IF(V603&lt;=14,"8-14 Days",IF(V603&lt;=21,"15-21 Days","21+ Days"))))))</x:f>
        <x:v>Existing Employee</x:v>
      </x:c>
      <x:c r="AF60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1-7 Days</x:v>
      </x:c>
      <x:c r="AG603" s="33" t="n">
        <x:f>--(WorkforceData[[#This Row],[Total Days Worked]]&gt;=121)</x:f>
        <x:v>0</x:v>
      </x:c>
    </x:row>
    <x:row r="604">
      <x:c r="A604" s="236" t="str">
        <x:v>TRN-0603</x:v>
      </x:c>
      <x:c r="B604" s="243"/>
      <x:c r="C604" s="243"/>
      <x:c r="D604" s="243"/>
      <x:c r="E604" s="243"/>
      <x:c r="F604" s="14" t="str">
        <x:v>Recruiter F</x:v>
      </x:c>
      <x:c r="G604" s="14" t="str">
        <x:v>Training Center A</x:v>
      </x:c>
      <x:c r="H604" s="28">
        <x:v>46229</x:v>
      </x:c>
      <x:c r="I604" s="14">
        <x:v>2026</x:v>
      </x:c>
      <x:c r="J604" s="14" t="s">
        <x:v>133</x:v>
      </x:c>
      <x:c r="K604" s="14">
        <x:v>16</x:v>
      </x:c>
      <x:c r="L604" s="29" t="s">
        <x:v>119</x:v>
      </x:c>
      <x:c r="M604" s="28">
        <x:v>46229</x:v>
      </x:c>
      <x:c r="N604" s="28">
        <x:v>46251</x:v>
      </x:c>
      <x:c r="O604" s="14">
        <x:v>22</x:v>
      </x:c>
      <x:c r="P604" s="14" t="s">
        <x:v>102</x:v>
      </x:c>
      <x:c r="Q604" s="14" t="s">
        <x:v>103</x:v>
      </x:c>
      <x:c r="R604" s="14" t="s">
        <x:v>104</x:v>
      </x:c>
      <x:c r="S604" s="14" t="s">
        <x:v>105</x:v>
      </x:c>
      <x:c r="T604" s="14" t="str">
        <x:v>Region E</x:v>
      </x:c>
      <x:c r="U604" s="28">
        <x:v>46251</x:v>
      </x:c>
      <x:c r="V604" s="30">
        <x:v>22</x:v>
      </x:c>
      <x:c r="W604" s="14" t="s">
        <x:v>112</x:v>
      </x:c>
      <x:c r="X604" s="14" t="s">
        <x:v>117</x:v>
      </x:c>
      <x:c r="Y604" s="32" t="str">
        <x:v>TRN-0603|20260726</x:v>
      </x:c>
      <x:c r="Z604" s="32" t="str" cm="1">
        <x:f t="array" ref="Z60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604" s="33" t="n">
        <x:f>--OR(WorkforceData[[#This Row],[Status]]="Active",WorkforceData[[#This Row],[Promoted]]="Yes",WorkforceData[[#This Row],[Total Days Worked]]&gt;=121)</x:f>
        <x:v>0</x:v>
      </x:c>
      <x:c r="AB604" s="33" t="n">
        <x:f>IF(AND(Q604="Terminated",R604="",O604=0),1,0)</x:f>
        <x:v>0</x:v>
      </x:c>
      <x:c r="AC604" s="33" t="n">
        <x:f>--OR(WorkforceData[[#This Row],[Status]]="Resigned",WorkforceData[[#This Row],[Status After Training]]="Withdrew")</x:f>
        <x:v>1</x:v>
      </x:c>
      <x:c r="AD604" s="34" t="n">
        <x:f>EOMONTH(WorkforceData[[#This Row],[Training Date]],0)</x:f>
        <x:v>46234</x:v>
      </x:c>
      <x:c r="AE604" s="32" t="str">
        <x:f>IF(M604&lt;H604,"Existing Employee",IF(U604="","No Assignment",IF(V604=0,"0 Days",IF(V604&lt;=7,"1-7 Days",IF(V604&lt;=14,"8-14 Days",IF(V604&lt;=21,"15-21 Days","21+ Days"))))))</x:f>
        <x:v>21+ Days</x:v>
      </x:c>
      <x:c r="AF60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604" s="33" t="n">
        <x:f>--(WorkforceData[[#This Row],[Total Days Worked]]&gt;=121)</x:f>
        <x:v>0</x:v>
      </x:c>
    </x:row>
    <x:row r="605">
      <x:c r="A605" s="236" t="str">
        <x:v>TRN-0604</x:v>
      </x:c>
      <x:c r="B605" s="243"/>
      <x:c r="C605" s="243"/>
      <x:c r="D605" s="243"/>
      <x:c r="E605" s="243"/>
      <x:c r="F605" s="14" t="str">
        <x:v>Recruiter B</x:v>
      </x:c>
      <x:c r="G605" s="14" t="str">
        <x:v>Training Center A</x:v>
      </x:c>
      <x:c r="H605" s="28">
        <x:v>46229</x:v>
      </x:c>
      <x:c r="I605" s="14">
        <x:v>2026</x:v>
      </x:c>
      <x:c r="J605" s="14" t="s">
        <x:v>133</x:v>
      </x:c>
      <x:c r="K605" s="14">
        <x:v>16</x:v>
      </x:c>
      <x:c r="L605" s="29" t="s">
        <x:v>119</x:v>
      </x:c>
      <x:c r="M605" s="28">
        <x:v>46219</x:v>
      </x:c>
      <x:c r="N605" s="14"/>
      <x:c r="O605" s="14">
        <x:v>32</x:v>
      </x:c>
      <x:c r="P605" s="14" t="s">
        <x:v>110</x:v>
      </x:c>
      <x:c r="Q605" s="14" t="s">
        <x:v>25</x:v>
      </x:c>
      <x:c r="R605" s="14"/>
      <x:c r="S605" s="14" t="s">
        <x:v>105</x:v>
      </x:c>
      <x:c r="T605" s="14"/>
      <x:c r="U605" s="28"/>
      <x:c r="V605" s="30"/>
      <x:c r="W605" s="14"/>
      <x:c r="X605" s="14" t="s">
        <x:v>71</x:v>
      </x:c>
      <x:c r="Y605" s="32" t="str">
        <x:v>TRN-0604|20260726</x:v>
      </x:c>
      <x:c r="Z605" s="32" t="str" cm="1">
        <x:f t="array" ref="Z60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605" s="33" t="n">
        <x:f>--OR(WorkforceData[[#This Row],[Status]]="Active",WorkforceData[[#This Row],[Promoted]]="Yes",WorkforceData[[#This Row],[Total Days Worked]]&gt;=121)</x:f>
        <x:v>1</x:v>
      </x:c>
      <x:c r="AB605" s="33" t="n">
        <x:f>IF(AND(Q605="Terminated",R605="",O605=0),1,0)</x:f>
        <x:v>0</x:v>
      </x:c>
      <x:c r="AC605" s="33" t="n">
        <x:f>--OR(WorkforceData[[#This Row],[Status]]="Resigned",WorkforceData[[#This Row],[Status After Training]]="Withdrew")</x:f>
        <x:v>0</x:v>
      </x:c>
      <x:c r="AD605" s="34" t="n">
        <x:f>EOMONTH(WorkforceData[[#This Row],[Training Date]],0)</x:f>
        <x:v>46234</x:v>
      </x:c>
      <x:c r="AE605" s="32" t="str">
        <x:f>IF(M605&lt;H605,"Existing Employee",IF(U605="","No Assignment",IF(V605=0,"0 Days",IF(V605&lt;=7,"1-7 Days",IF(V605&lt;=14,"8-14 Days",IF(V605&lt;=21,"15-21 Days","21+ Days"))))))</x:f>
        <x:v>Existing Employee</x:v>
      </x:c>
      <x:c r="AF60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605" s="33" t="n">
        <x:f>--(WorkforceData[[#This Row],[Total Days Worked]]&gt;=121)</x:f>
        <x:v>0</x:v>
      </x:c>
    </x:row>
    <x:row r="606">
      <x:c r="A606" s="236" t="str">
        <x:v>TRN-0605</x:v>
      </x:c>
      <x:c r="B606" s="243"/>
      <x:c r="C606" s="243"/>
      <x:c r="D606" s="243"/>
      <x:c r="E606" s="243"/>
      <x:c r="F606" s="14" t="str">
        <x:v>Recruiter F</x:v>
      </x:c>
      <x:c r="G606" s="14" t="str">
        <x:v>Training Center A</x:v>
      </x:c>
      <x:c r="H606" s="28">
        <x:v>46229</x:v>
      </x:c>
      <x:c r="I606" s="14">
        <x:v>2026</x:v>
      </x:c>
      <x:c r="J606" s="14" t="s">
        <x:v>133</x:v>
      </x:c>
      <x:c r="K606" s="14">
        <x:v>16</x:v>
      </x:c>
      <x:c r="L606" s="29" t="s">
        <x:v>119</x:v>
      </x:c>
      <x:c r="M606" s="28">
        <x:v>46229</x:v>
      </x:c>
      <x:c r="N606" s="28">
        <x:v>46251</x:v>
      </x:c>
      <x:c r="O606" s="14">
        <x:v>22</x:v>
      </x:c>
      <x:c r="P606" s="14" t="s">
        <x:v>102</x:v>
      </x:c>
      <x:c r="Q606" s="14" t="s">
        <x:v>103</x:v>
      </x:c>
      <x:c r="R606" s="14" t="s">
        <x:v>123</x:v>
      </x:c>
      <x:c r="S606" s="14" t="s">
        <x:v>105</x:v>
      </x:c>
      <x:c r="T606" s="14" t="str">
        <x:v>Region A</x:v>
      </x:c>
      <x:c r="U606" s="28">
        <x:v>46236</x:v>
      </x:c>
      <x:c r="V606" s="30">
        <x:v>7</x:v>
      </x:c>
      <x:c r="W606" s="14" t="s">
        <x:v>109</x:v>
      </x:c>
      <x:c r="X606" s="14" t="s">
        <x:v>106</x:v>
      </x:c>
      <x:c r="Y606" s="32" t="str">
        <x:v>TRN-0605|20260726</x:v>
      </x:c>
      <x:c r="Z606" s="32" t="str" cm="1">
        <x:f t="array" ref="Z60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606" s="33" t="n">
        <x:f>--OR(WorkforceData[[#This Row],[Status]]="Active",WorkforceData[[#This Row],[Promoted]]="Yes",WorkforceData[[#This Row],[Total Days Worked]]&gt;=121)</x:f>
        <x:v>0</x:v>
      </x:c>
      <x:c r="AB606" s="33" t="n">
        <x:f>IF(AND(Q606="Terminated",R606="",O606=0),1,0)</x:f>
        <x:v>0</x:v>
      </x:c>
      <x:c r="AC606" s="33" t="n">
        <x:f>--OR(WorkforceData[[#This Row],[Status]]="Resigned",WorkforceData[[#This Row],[Status After Training]]="Withdrew")</x:f>
        <x:v>1</x:v>
      </x:c>
      <x:c r="AD606" s="34" t="n">
        <x:f>EOMONTH(WorkforceData[[#This Row],[Training Date]],0)</x:f>
        <x:v>46234</x:v>
      </x:c>
      <x:c r="AE606" s="32" t="str">
        <x:f>IF(M606&lt;H606,"Existing Employee",IF(U606="","No Assignment",IF(V606=0,"0 Days",IF(V606&lt;=7,"1-7 Days",IF(V606&lt;=14,"8-14 Days",IF(V606&lt;=21,"15-21 Days","21+ Days"))))))</x:f>
        <x:v>1-7 Days</x:v>
      </x:c>
      <x:c r="AF60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606" s="33" t="n">
        <x:f>--(WorkforceData[[#This Row],[Total Days Worked]]&gt;=121)</x:f>
        <x:v>0</x:v>
      </x:c>
    </x:row>
    <x:row r="607">
      <x:c r="A607" s="236" t="str">
        <x:v>TRN-0606</x:v>
      </x:c>
      <x:c r="B607" s="243"/>
      <x:c r="C607" s="243"/>
      <x:c r="D607" s="243"/>
      <x:c r="E607" s="243"/>
      <x:c r="F607" s="14" t="str">
        <x:v>Recruiter G</x:v>
      </x:c>
      <x:c r="G607" s="14" t="str">
        <x:v>Training Center A</x:v>
      </x:c>
      <x:c r="H607" s="28">
        <x:v>46229</x:v>
      </x:c>
      <x:c r="I607" s="14">
        <x:v>2026</x:v>
      </x:c>
      <x:c r="J607" s="14" t="s">
        <x:v>133</x:v>
      </x:c>
      <x:c r="K607" s="14">
        <x:v>16</x:v>
      </x:c>
      <x:c r="L607" s="29" t="s">
        <x:v>119</x:v>
      </x:c>
      <x:c r="M607" s="28">
        <x:v>46229</x:v>
      </x:c>
      <x:c r="N607" s="14"/>
      <x:c r="O607" s="14">
        <x:v>22</x:v>
      </x:c>
      <x:c r="P607" s="14" t="s">
        <x:v>102</x:v>
      </x:c>
      <x:c r="Q607" s="14" t="s">
        <x:v>25</x:v>
      </x:c>
      <x:c r="R607" s="14"/>
      <x:c r="S607" s="14" t="s">
        <x:v>105</x:v>
      </x:c>
      <x:c r="T607" s="14" t="str">
        <x:v>Region C</x:v>
      </x:c>
      <x:c r="U607" s="28">
        <x:v>46239</x:v>
      </x:c>
      <x:c r="V607" s="30">
        <x:v>10</x:v>
      </x:c>
      <x:c r="W607" s="14" t="s">
        <x:v>45</x:v>
      </x:c>
      <x:c r="X607" s="14" t="s">
        <x:v>106</x:v>
      </x:c>
      <x:c r="Y607" s="32" t="str">
        <x:v>TRN-0606|20260726</x:v>
      </x:c>
      <x:c r="Z607" s="32" t="str" cm="1">
        <x:f t="array" ref="Z60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607" s="33" t="n">
        <x:f>--OR(WorkforceData[[#This Row],[Status]]="Active",WorkforceData[[#This Row],[Promoted]]="Yes",WorkforceData[[#This Row],[Total Days Worked]]&gt;=121)</x:f>
        <x:v>1</x:v>
      </x:c>
      <x:c r="AB607" s="33" t="n">
        <x:f>IF(AND(Q607="Terminated",R607="",O607=0),1,0)</x:f>
        <x:v>0</x:v>
      </x:c>
      <x:c r="AC607" s="33" t="n">
        <x:f>--OR(WorkforceData[[#This Row],[Status]]="Resigned",WorkforceData[[#This Row],[Status After Training]]="Withdrew")</x:f>
        <x:v>0</x:v>
      </x:c>
      <x:c r="AD607" s="34" t="n">
        <x:f>EOMONTH(WorkforceData[[#This Row],[Training Date]],0)</x:f>
        <x:v>46234</x:v>
      </x:c>
      <x:c r="AE607" s="32" t="str">
        <x:f>IF(M607&lt;H607,"Existing Employee",IF(U607="","No Assignment",IF(V607=0,"0 Days",IF(V607&lt;=7,"1-7 Days",IF(V607&lt;=14,"8-14 Days",IF(V607&lt;=21,"15-21 Days","21+ Days"))))))</x:f>
        <x:v>8-14 Days</x:v>
      </x:c>
      <x:c r="AF60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607" s="33" t="n">
        <x:f>--(WorkforceData[[#This Row],[Total Days Worked]]&gt;=121)</x:f>
        <x:v>0</x:v>
      </x:c>
    </x:row>
    <x:row r="608">
      <x:c r="A608" s="236" t="str">
        <x:v>TRN-0607</x:v>
      </x:c>
      <x:c r="B608" s="243"/>
      <x:c r="C608" s="243"/>
      <x:c r="D608" s="243"/>
      <x:c r="E608" s="243"/>
      <x:c r="F608" s="14" t="str">
        <x:v>Recruiter D</x:v>
      </x:c>
      <x:c r="G608" s="14" t="str">
        <x:v>Training Center A</x:v>
      </x:c>
      <x:c r="H608" s="28">
        <x:v>46229</x:v>
      </x:c>
      <x:c r="I608" s="14">
        <x:v>2026</x:v>
      </x:c>
      <x:c r="J608" s="14" t="s">
        <x:v>133</x:v>
      </x:c>
      <x:c r="K608" s="14">
        <x:v>16</x:v>
      </x:c>
      <x:c r="L608" s="29" t="s">
        <x:v>119</x:v>
      </x:c>
      <x:c r="M608" s="28">
        <x:v>46229</x:v>
      </x:c>
      <x:c r="N608" s="14"/>
      <x:c r="O608" s="14">
        <x:v>22</x:v>
      </x:c>
      <x:c r="P608" s="14" t="s">
        <x:v>102</x:v>
      </x:c>
      <x:c r="Q608" s="14" t="s">
        <x:v>25</x:v>
      </x:c>
      <x:c r="R608" s="14"/>
      <x:c r="S608" s="14" t="s">
        <x:v>105</x:v>
      </x:c>
      <x:c r="T608" s="14" t="str">
        <x:v>Region D</x:v>
      </x:c>
      <x:c r="U608" s="28">
        <x:v>46235</x:v>
      </x:c>
      <x:c r="V608" s="30">
        <x:v>6</x:v>
      </x:c>
      <x:c r="W608" s="14" t="s">
        <x:v>109</x:v>
      </x:c>
      <x:c r="X608" s="14" t="s">
        <x:v>106</x:v>
      </x:c>
      <x:c r="Y608" s="32" t="str">
        <x:v>TRN-0607|20260726</x:v>
      </x:c>
      <x:c r="Z608" s="32" t="str" cm="1">
        <x:f t="array" ref="Z60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608" s="33" t="n">
        <x:f>--OR(WorkforceData[[#This Row],[Status]]="Active",WorkforceData[[#This Row],[Promoted]]="Yes",WorkforceData[[#This Row],[Total Days Worked]]&gt;=121)</x:f>
        <x:v>1</x:v>
      </x:c>
      <x:c r="AB608" s="33" t="n">
        <x:f>IF(AND(Q608="Terminated",R608="",O608=0),1,0)</x:f>
        <x:v>0</x:v>
      </x:c>
      <x:c r="AC608" s="33" t="n">
        <x:f>--OR(WorkforceData[[#This Row],[Status]]="Resigned",WorkforceData[[#This Row],[Status After Training]]="Withdrew")</x:f>
        <x:v>0</x:v>
      </x:c>
      <x:c r="AD608" s="34" t="n">
        <x:f>EOMONTH(WorkforceData[[#This Row],[Training Date]],0)</x:f>
        <x:v>46234</x:v>
      </x:c>
      <x:c r="AE608" s="32" t="str">
        <x:f>IF(M608&lt;H608,"Existing Employee",IF(U608="","No Assignment",IF(V608=0,"0 Days",IF(V608&lt;=7,"1-7 Days",IF(V608&lt;=14,"8-14 Days",IF(V608&lt;=21,"15-21 Days","21+ Days"))))))</x:f>
        <x:v>1-7 Days</x:v>
      </x:c>
      <x:c r="AF60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608" s="33" t="n">
        <x:f>--(WorkforceData[[#This Row],[Total Days Worked]]&gt;=121)</x:f>
        <x:v>0</x:v>
      </x:c>
    </x:row>
    <x:row r="609">
      <x:c r="A609" s="236" t="str">
        <x:v>TRN-0608</x:v>
      </x:c>
      <x:c r="B609" s="243"/>
      <x:c r="C609" s="243"/>
      <x:c r="D609" s="243"/>
      <x:c r="E609" s="243"/>
      <x:c r="F609" s="14" t="str">
        <x:v>Recruiter A</x:v>
      </x:c>
      <x:c r="G609" s="14" t="str">
        <x:v>Training Center A</x:v>
      </x:c>
      <x:c r="H609" s="28">
        <x:v>46229</x:v>
      </x:c>
      <x:c r="I609" s="14">
        <x:v>2026</x:v>
      </x:c>
      <x:c r="J609" s="14" t="s">
        <x:v>133</x:v>
      </x:c>
      <x:c r="K609" s="14">
        <x:v>16</x:v>
      </x:c>
      <x:c r="L609" s="29" t="s">
        <x:v>119</x:v>
      </x:c>
      <x:c r="M609" s="28">
        <x:v>46222</x:v>
      </x:c>
      <x:c r="N609" s="28">
        <x:v>46235</x:v>
      </x:c>
      <x:c r="O609" s="14">
        <x:v>13</x:v>
      </x:c>
      <x:c r="P609" s="14" t="s">
        <x:v>102</x:v>
      </x:c>
      <x:c r="Q609" s="14" t="s">
        <x:v>103</x:v>
      </x:c>
      <x:c r="R609" s="14" t="s">
        <x:v>111</x:v>
      </x:c>
      <x:c r="S609" s="14" t="s">
        <x:v>105</x:v>
      </x:c>
      <x:c r="T609" s="14" t="str">
        <x:v>Region B</x:v>
      </x:c>
      <x:c r="U609" s="28">
        <x:v>46235</x:v>
      </x:c>
      <x:c r="V609" s="30">
        <x:v>6</x:v>
      </x:c>
      <x:c r="W609" s="14" t="s">
        <x:v>109</x:v>
      </x:c>
      <x:c r="X609" s="14" t="s">
        <x:v>106</x:v>
      </x:c>
      <x:c r="Y609" s="32" t="str">
        <x:v>TRN-0608|20260726</x:v>
      </x:c>
      <x:c r="Z609" s="32" t="str" cm="1">
        <x:f t="array" ref="Z60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609" s="33" t="n">
        <x:f>--OR(WorkforceData[[#This Row],[Status]]="Active",WorkforceData[[#This Row],[Promoted]]="Yes",WorkforceData[[#This Row],[Total Days Worked]]&gt;=121)</x:f>
        <x:v>0</x:v>
      </x:c>
      <x:c r="AB609" s="33" t="n">
        <x:f>IF(AND(Q609="Terminated",R609="",O609=0),1,0)</x:f>
        <x:v>0</x:v>
      </x:c>
      <x:c r="AC609" s="33" t="n">
        <x:f>--OR(WorkforceData[[#This Row],[Status]]="Resigned",WorkforceData[[#This Row],[Status After Training]]="Withdrew")</x:f>
        <x:v>1</x:v>
      </x:c>
      <x:c r="AD609" s="34" t="n">
        <x:f>EOMONTH(WorkforceData[[#This Row],[Training Date]],0)</x:f>
        <x:v>46234</x:v>
      </x:c>
      <x:c r="AE609" s="32" t="str">
        <x:f>IF(M609&lt;H609,"Existing Employee",IF(U609="","No Assignment",IF(V609=0,"0 Days",IF(V609&lt;=7,"1-7 Days",IF(V609&lt;=14,"8-14 Days",IF(V609&lt;=21,"15-21 Days","21+ Days"))))))</x:f>
        <x:v>Existing Employee</x:v>
      </x:c>
      <x:c r="AF60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609" s="33" t="n">
        <x:f>--(WorkforceData[[#This Row],[Total Days Worked]]&gt;=121)</x:f>
        <x:v>0</x:v>
      </x:c>
    </x:row>
    <x:row r="610">
      <x:c r="A610" s="236" t="str">
        <x:v>TRN-0609</x:v>
      </x:c>
      <x:c r="B610" s="243"/>
      <x:c r="C610" s="243"/>
      <x:c r="D610" s="243"/>
      <x:c r="E610" s="243"/>
      <x:c r="F610" s="14" t="str">
        <x:v>Recruiter A</x:v>
      </x:c>
      <x:c r="G610" s="14" t="str">
        <x:v>Training Center A</x:v>
      </x:c>
      <x:c r="H610" s="28">
        <x:v>46229</x:v>
      </x:c>
      <x:c r="I610" s="14">
        <x:v>2026</x:v>
      </x:c>
      <x:c r="J610" s="14" t="s">
        <x:v>133</x:v>
      </x:c>
      <x:c r="K610" s="14">
        <x:v>16</x:v>
      </x:c>
      <x:c r="L610" s="29" t="s">
        <x:v>119</x:v>
      </x:c>
      <x:c r="M610" s="28">
        <x:v>46219</x:v>
      </x:c>
      <x:c r="N610" s="14"/>
      <x:c r="O610" s="14">
        <x:v>32</x:v>
      </x:c>
      <x:c r="P610" s="14" t="s">
        <x:v>110</x:v>
      </x:c>
      <x:c r="Q610" s="14" t="s">
        <x:v>25</x:v>
      </x:c>
      <x:c r="R610" s="14"/>
      <x:c r="S610" s="14" t="s">
        <x:v>105</x:v>
      </x:c>
      <x:c r="T610" s="14" t="str">
        <x:v>Region D</x:v>
      </x:c>
      <x:c r="U610" s="28">
        <x:v>46235</x:v>
      </x:c>
      <x:c r="V610" s="30">
        <x:v>6</x:v>
      </x:c>
      <x:c r="W610" s="14" t="s">
        <x:v>109</x:v>
      </x:c>
      <x:c r="X610" s="14" t="s">
        <x:v>106</x:v>
      </x:c>
      <x:c r="Y610" s="32" t="str">
        <x:v>TRN-0609|20260726</x:v>
      </x:c>
      <x:c r="Z610" s="32" t="str" cm="1">
        <x:f t="array" ref="Z61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610" s="33" t="n">
        <x:f>--OR(WorkforceData[[#This Row],[Status]]="Active",WorkforceData[[#This Row],[Promoted]]="Yes",WorkforceData[[#This Row],[Total Days Worked]]&gt;=121)</x:f>
        <x:v>1</x:v>
      </x:c>
      <x:c r="AB610" s="33" t="n">
        <x:f>IF(AND(Q610="Terminated",R610="",O610=0),1,0)</x:f>
        <x:v>0</x:v>
      </x:c>
      <x:c r="AC610" s="33" t="n">
        <x:f>--OR(WorkforceData[[#This Row],[Status]]="Resigned",WorkforceData[[#This Row],[Status After Training]]="Withdrew")</x:f>
        <x:v>0</x:v>
      </x:c>
      <x:c r="AD610" s="34" t="n">
        <x:f>EOMONTH(WorkforceData[[#This Row],[Training Date]],0)</x:f>
        <x:v>46234</x:v>
      </x:c>
      <x:c r="AE610" s="32" t="str">
        <x:f>IF(M610&lt;H610,"Existing Employee",IF(U610="","No Assignment",IF(V610=0,"0 Days",IF(V610&lt;=7,"1-7 Days",IF(V610&lt;=14,"8-14 Days",IF(V610&lt;=21,"15-21 Days","21+ Days"))))))</x:f>
        <x:v>Existing Employee</x:v>
      </x:c>
      <x:c r="AF61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610" s="33" t="n">
        <x:f>--(WorkforceData[[#This Row],[Total Days Worked]]&gt;=121)</x:f>
        <x:v>0</x:v>
      </x:c>
    </x:row>
    <x:row r="611">
      <x:c r="A611" s="236" t="str">
        <x:v>TRN-0610</x:v>
      </x:c>
      <x:c r="B611" s="243"/>
      <x:c r="C611" s="243"/>
      <x:c r="D611" s="243"/>
      <x:c r="E611" s="243"/>
      <x:c r="F611" s="14" t="str">
        <x:v>Recruiter G</x:v>
      </x:c>
      <x:c r="G611" s="14" t="str">
        <x:v>Training Center A</x:v>
      </x:c>
      <x:c r="H611" s="28">
        <x:v>46229</x:v>
      </x:c>
      <x:c r="I611" s="14">
        <x:v>2026</x:v>
      </x:c>
      <x:c r="J611" s="14" t="s">
        <x:v>133</x:v>
      </x:c>
      <x:c r="K611" s="14">
        <x:v>16</x:v>
      </x:c>
      <x:c r="L611" s="29" t="s">
        <x:v>119</x:v>
      </x:c>
      <x:c r="M611" s="28">
        <x:v>46222</x:v>
      </x:c>
      <x:c r="N611" s="28">
        <x:v>46233</x:v>
      </x:c>
      <x:c r="O611" s="14">
        <x:v>11</x:v>
      </x:c>
      <x:c r="P611" s="14" t="s">
        <x:v>102</x:v>
      </x:c>
      <x:c r="Q611" s="14" t="s">
        <x:v>33</x:v>
      </x:c>
      <x:c r="R611" s="14" t="s">
        <x:v>121</x:v>
      </x:c>
      <x:c r="S611" s="14" t="s">
        <x:v>105</x:v>
      </x:c>
      <x:c r="T611" s="14" t="str">
        <x:v>Region B</x:v>
      </x:c>
      <x:c r="U611" s="28">
        <x:v>46233</x:v>
      </x:c>
      <x:c r="V611" s="30">
        <x:v>4</x:v>
      </x:c>
      <x:c r="W611" s="14" t="s">
        <x:v>109</x:v>
      </x:c>
      <x:c r="X611" s="14" t="s">
        <x:v>106</x:v>
      </x:c>
      <x:c r="Y611" s="32" t="str">
        <x:v>TRN-0610|20260726</x:v>
      </x:c>
      <x:c r="Z611" s="32" t="str" cm="1">
        <x:f t="array" ref="Z61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611" s="33" t="n">
        <x:f>--OR(WorkforceData[[#This Row],[Status]]="Active",WorkforceData[[#This Row],[Promoted]]="Yes",WorkforceData[[#This Row],[Total Days Worked]]&gt;=121)</x:f>
        <x:v>0</x:v>
      </x:c>
      <x:c r="AB611" s="33" t="n">
        <x:f>IF(AND(Q611="Terminated",R611="",O611=0),1,0)</x:f>
        <x:v>0</x:v>
      </x:c>
      <x:c r="AC611" s="33" t="n">
        <x:f>--OR(WorkforceData[[#This Row],[Status]]="Resigned",WorkforceData[[#This Row],[Status After Training]]="Withdrew")</x:f>
        <x:v>0</x:v>
      </x:c>
      <x:c r="AD611" s="34" t="n">
        <x:f>EOMONTH(WorkforceData[[#This Row],[Training Date]],0)</x:f>
        <x:v>46234</x:v>
      </x:c>
      <x:c r="AE611" s="32" t="str">
        <x:f>IF(M611&lt;H611,"Existing Employee",IF(U611="","No Assignment",IF(V611=0,"0 Days",IF(V611&lt;=7,"1-7 Days",IF(V611&lt;=14,"8-14 Days",IF(V611&lt;=21,"15-21 Days","21+ Days"))))))</x:f>
        <x:v>Existing Employee</x:v>
      </x:c>
      <x:c r="AF61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611" s="33" t="n">
        <x:f>--(WorkforceData[[#This Row],[Total Days Worked]]&gt;=121)</x:f>
        <x:v>0</x:v>
      </x:c>
    </x:row>
    <x:row r="612">
      <x:c r="A612" s="236" t="str">
        <x:v>TRN-0611</x:v>
      </x:c>
      <x:c r="B612" s="243"/>
      <x:c r="C612" s="243"/>
      <x:c r="D612" s="243"/>
      <x:c r="E612" s="243"/>
      <x:c r="F612" s="14" t="str">
        <x:v>Recruiter G</x:v>
      </x:c>
      <x:c r="G612" s="14" t="str">
        <x:v>Training Center B</x:v>
      </x:c>
      <x:c r="H612" s="28">
        <x:v>45165</x:v>
      </x:c>
      <x:c r="I612" s="14">
        <x:v>2023</x:v>
      </x:c>
      <x:c r="J612" s="14" t="s">
        <x:v>135</x:v>
      </x:c>
      <x:c r="K612" s="14">
        <x:v>14</x:v>
      </x:c>
      <x:c r="L612" s="29" t="s">
        <x:v>119</x:v>
      </x:c>
      <x:c r="M612" s="28">
        <x:v>45165</x:v>
      </x:c>
      <x:c r="N612" s="28">
        <x:v>45215</x:v>
      </x:c>
      <x:c r="O612" s="14">
        <x:v>50</x:v>
      </x:c>
      <x:c r="P612" s="14" t="s">
        <x:v>110</x:v>
      </x:c>
      <x:c r="Q612" s="14" t="s">
        <x:v>103</x:v>
      </x:c>
      <x:c r="R612" s="14" t="s">
        <x:v>104</x:v>
      </x:c>
      <x:c r="S612" s="14" t="s">
        <x:v>105</x:v>
      </x:c>
      <x:c r="T612" s="14" t="str">
        <x:v>Region B</x:v>
      </x:c>
      <x:c r="U612" s="28">
        <x:v>45215</x:v>
      </x:c>
      <x:c r="V612" s="30">
        <x:v>50</x:v>
      </x:c>
      <x:c r="W612" s="14" t="s">
        <x:v>63</x:v>
      </x:c>
      <x:c r="X612" s="14" t="s">
        <x:v>117</x:v>
      </x:c>
      <x:c r="Y612" s="32" t="str">
        <x:v>TRN-0611|20230827</x:v>
      </x:c>
      <x:c r="Z612" s="32" t="str" cm="1">
        <x:f t="array" ref="Z61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612" s="33" t="n">
        <x:f>--OR(WorkforceData[[#This Row],[Status]]="Active",WorkforceData[[#This Row],[Promoted]]="Yes",WorkforceData[[#This Row],[Total Days Worked]]&gt;=121)</x:f>
        <x:v>0</x:v>
      </x:c>
      <x:c r="AB612" s="33" t="n">
        <x:f>IF(AND(Q612="Terminated",R612="",O612=0),1,0)</x:f>
        <x:v>0</x:v>
      </x:c>
      <x:c r="AC612" s="33" t="n">
        <x:f>--OR(WorkforceData[[#This Row],[Status]]="Resigned",WorkforceData[[#This Row],[Status After Training]]="Withdrew")</x:f>
        <x:v>1</x:v>
      </x:c>
      <x:c r="AD612" s="34" t="n">
        <x:f>EOMONTH(WorkforceData[[#This Row],[Training Date]],0)</x:f>
        <x:v>45169</x:v>
      </x:c>
      <x:c r="AE612" s="32" t="str">
        <x:f>IF(M612&lt;H612,"Existing Employee",IF(U612="","No Assignment",IF(V612=0,"0 Days",IF(V612&lt;=7,"1-7 Days",IF(V612&lt;=14,"8-14 Days",IF(V612&lt;=21,"15-21 Days","21+ Days"))))))</x:f>
        <x:v>21+ Days</x:v>
      </x:c>
      <x:c r="AF61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612" s="33" t="n">
        <x:f>--(WorkforceData[[#This Row],[Total Days Worked]]&gt;=121)</x:f>
        <x:v>0</x:v>
      </x:c>
    </x:row>
    <x:row r="613">
      <x:c r="A613" s="236" t="str">
        <x:v>TRN-0612</x:v>
      </x:c>
      <x:c r="B613" s="243"/>
      <x:c r="C613" s="243"/>
      <x:c r="D613" s="243"/>
      <x:c r="E613" s="243"/>
      <x:c r="F613" s="14" t="str">
        <x:v>Recruiter D</x:v>
      </x:c>
      <x:c r="G613" s="14" t="str">
        <x:v>Training Center B</x:v>
      </x:c>
      <x:c r="H613" s="28">
        <x:v>45165</x:v>
      </x:c>
      <x:c r="I613" s="14">
        <x:v>2023</x:v>
      </x:c>
      <x:c r="J613" s="14" t="s">
        <x:v>135</x:v>
      </x:c>
      <x:c r="K613" s="14">
        <x:v>14</x:v>
      </x:c>
      <x:c r="L613" s="29" t="s">
        <x:v>119</x:v>
      </x:c>
      <x:c r="M613" s="28">
        <x:v>45163</x:v>
      </x:c>
      <x:c r="N613" s="28">
        <x:v>45253</x:v>
      </x:c>
      <x:c r="O613" s="14">
        <x:v>90</x:v>
      </x:c>
      <x:c r="P613" s="14" t="s">
        <x:v>110</x:v>
      </x:c>
      <x:c r="Q613" s="14" t="s">
        <x:v>103</x:v>
      </x:c>
      <x:c r="R613" s="14" t="s">
        <x:v>123</x:v>
      </x:c>
      <x:c r="S613" s="14" t="s">
        <x:v>105</x:v>
      </x:c>
      <x:c r="T613" s="14" t="str">
        <x:v>Region E</x:v>
      </x:c>
      <x:c r="U613" s="28">
        <x:v>45181</x:v>
      </x:c>
      <x:c r="V613" s="30">
        <x:v>16</x:v>
      </x:c>
      <x:c r="W613" s="14" t="s">
        <x:v>112</x:v>
      </x:c>
      <x:c r="X613" s="14" t="s">
        <x:v>106</x:v>
      </x:c>
      <x:c r="Y613" s="32" t="str">
        <x:v>TRN-0612|20230827</x:v>
      </x:c>
      <x:c r="Z613" s="32" t="str" cm="1">
        <x:f t="array" ref="Z61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613" s="33" t="n">
        <x:f>--OR(WorkforceData[[#This Row],[Status]]="Active",WorkforceData[[#This Row],[Promoted]]="Yes",WorkforceData[[#This Row],[Total Days Worked]]&gt;=121)</x:f>
        <x:v>0</x:v>
      </x:c>
      <x:c r="AB613" s="33" t="n">
        <x:f>IF(AND(Q613="Terminated",R613="",O613=0),1,0)</x:f>
        <x:v>0</x:v>
      </x:c>
      <x:c r="AC613" s="33" t="n">
        <x:f>--OR(WorkforceData[[#This Row],[Status]]="Resigned",WorkforceData[[#This Row],[Status After Training]]="Withdrew")</x:f>
        <x:v>1</x:v>
      </x:c>
      <x:c r="AD613" s="34" t="n">
        <x:f>EOMONTH(WorkforceData[[#This Row],[Training Date]],0)</x:f>
        <x:v>45169</x:v>
      </x:c>
      <x:c r="AE613" s="32" t="str">
        <x:f>IF(M613&lt;H613,"Existing Employee",IF(U613="","No Assignment",IF(V613=0,"0 Days",IF(V613&lt;=7,"1-7 Days",IF(V613&lt;=14,"8-14 Days",IF(V613&lt;=21,"15-21 Days","21+ Days"))))))</x:f>
        <x:v>Existing Employee</x:v>
      </x:c>
      <x:c r="AF61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61-90 Days</x:v>
      </x:c>
      <x:c r="AG613" s="33" t="n">
        <x:f>--(WorkforceData[[#This Row],[Total Days Worked]]&gt;=121)</x:f>
        <x:v>0</x:v>
      </x:c>
    </x:row>
    <x:row r="614">
      <x:c r="A614" s="236" t="str">
        <x:v>TRN-0613</x:v>
      </x:c>
      <x:c r="B614" s="243"/>
      <x:c r="C614" s="243"/>
      <x:c r="D614" s="243"/>
      <x:c r="E614" s="243"/>
      <x:c r="F614" s="14" t="str">
        <x:v>Recruiter E</x:v>
      </x:c>
      <x:c r="G614" s="14" t="str">
        <x:v>Training Center B</x:v>
      </x:c>
      <x:c r="H614" s="28">
        <x:v>45165</x:v>
      </x:c>
      <x:c r="I614" s="14">
        <x:v>2023</x:v>
      </x:c>
      <x:c r="J614" s="14" t="s">
        <x:v>135</x:v>
      </x:c>
      <x:c r="K614" s="14">
        <x:v>14</x:v>
      </x:c>
      <x:c r="L614" s="29" t="s">
        <x:v>119</x:v>
      </x:c>
      <x:c r="M614" s="28">
        <x:v>45165</x:v>
      </x:c>
      <x:c r="N614" s="14"/>
      <x:c r="O614" s="14">
        <x:v>1086</x:v>
      </x:c>
      <x:c r="P614" s="14" t="s">
        <x:v>122</x:v>
      </x:c>
      <x:c r="Q614" s="14" t="s">
        <x:v>25</x:v>
      </x:c>
      <x:c r="R614" s="14"/>
      <x:c r="S614" s="14" t="s">
        <x:v>108</x:v>
      </x:c>
      <x:c r="T614" s="14" t="str">
        <x:v>Region B</x:v>
      </x:c>
      <x:c r="U614" s="28">
        <x:v>45187</x:v>
      </x:c>
      <x:c r="V614" s="30">
        <x:v>22</x:v>
      </x:c>
      <x:c r="W614" s="14" t="s">
        <x:v>112</x:v>
      </x:c>
      <x:c r="X614" s="14" t="s">
        <x:v>106</x:v>
      </x:c>
      <x:c r="Y614" s="32" t="str">
        <x:v>TRN-0613|20230827</x:v>
      </x:c>
      <x:c r="Z614" s="32" t="str" cm="1">
        <x:f t="array" ref="Z61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614" s="33" t="n">
        <x:f>--OR(WorkforceData[[#This Row],[Status]]="Active",WorkforceData[[#This Row],[Promoted]]="Yes",WorkforceData[[#This Row],[Total Days Worked]]&gt;=121)</x:f>
        <x:v>1</x:v>
      </x:c>
      <x:c r="AB614" s="33" t="n">
        <x:f>IF(AND(Q614="Terminated",R614="",O614=0),1,0)</x:f>
        <x:v>0</x:v>
      </x:c>
      <x:c r="AC614" s="33" t="n">
        <x:f>--OR(WorkforceData[[#This Row],[Status]]="Resigned",WorkforceData[[#This Row],[Status After Training]]="Withdrew")</x:f>
        <x:v>0</x:v>
      </x:c>
      <x:c r="AD614" s="34" t="n">
        <x:f>EOMONTH(WorkforceData[[#This Row],[Training Date]],0)</x:f>
        <x:v>45169</x:v>
      </x:c>
      <x:c r="AE614" s="32" t="str">
        <x:f>IF(M614&lt;H614,"Existing Employee",IF(U614="","No Assignment",IF(V614=0,"0 Days",IF(V614&lt;=7,"1-7 Days",IF(V614&lt;=14,"8-14 Days",IF(V614&lt;=21,"15-21 Days","21+ Days"))))))</x:f>
        <x:v>21+ Days</x:v>
      </x:c>
      <x:c r="AF61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14" s="33" t="n">
        <x:f>--(WorkforceData[[#This Row],[Total Days Worked]]&gt;=121)</x:f>
        <x:v>1</x:v>
      </x:c>
    </x:row>
    <x:row r="615">
      <x:c r="A615" s="236" t="str">
        <x:v>TRN-0614</x:v>
      </x:c>
      <x:c r="B615" s="243"/>
      <x:c r="C615" s="243"/>
      <x:c r="D615" s="243"/>
      <x:c r="E615" s="243"/>
      <x:c r="F615" s="14" t="str">
        <x:v>Recruiter G</x:v>
      </x:c>
      <x:c r="G615" s="14" t="str">
        <x:v>Training Center B</x:v>
      </x:c>
      <x:c r="H615" s="28">
        <x:v>45165</x:v>
      </x:c>
      <x:c r="I615" s="14">
        <x:v>2023</x:v>
      </x:c>
      <x:c r="J615" s="14" t="s">
        <x:v>135</x:v>
      </x:c>
      <x:c r="K615" s="14">
        <x:v>14</x:v>
      </x:c>
      <x:c r="L615" s="29" t="s">
        <x:v>119</x:v>
      </x:c>
      <x:c r="M615" s="28">
        <x:v>45155</x:v>
      </x:c>
      <x:c r="N615" s="14"/>
      <x:c r="O615" s="14">
        <x:v>1096</x:v>
      </x:c>
      <x:c r="P615" s="14" t="s">
        <x:v>122</x:v>
      </x:c>
      <x:c r="Q615" s="14" t="s">
        <x:v>25</x:v>
      </x:c>
      <x:c r="R615" s="14"/>
      <x:c r="S615" s="14" t="s">
        <x:v>108</x:v>
      </x:c>
      <x:c r="T615" s="14" t="str">
        <x:v>Region B</x:v>
      </x:c>
      <x:c r="U615" s="28">
        <x:v>45175</x:v>
      </x:c>
      <x:c r="V615" s="30">
        <x:v>10</x:v>
      </x:c>
      <x:c r="W615" s="14" t="s">
        <x:v>45</x:v>
      </x:c>
      <x:c r="X615" s="14" t="s">
        <x:v>106</x:v>
      </x:c>
      <x:c r="Y615" s="32" t="str">
        <x:v>TRN-0614|20230827</x:v>
      </x:c>
      <x:c r="Z615" s="32" t="str" cm="1">
        <x:f t="array" ref="Z61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615" s="33" t="n">
        <x:f>--OR(WorkforceData[[#This Row],[Status]]="Active",WorkforceData[[#This Row],[Promoted]]="Yes",WorkforceData[[#This Row],[Total Days Worked]]&gt;=121)</x:f>
        <x:v>1</x:v>
      </x:c>
      <x:c r="AB615" s="33" t="n">
        <x:f>IF(AND(Q615="Terminated",R615="",O615=0),1,0)</x:f>
        <x:v>0</x:v>
      </x:c>
      <x:c r="AC615" s="33" t="n">
        <x:f>--OR(WorkforceData[[#This Row],[Status]]="Resigned",WorkforceData[[#This Row],[Status After Training]]="Withdrew")</x:f>
        <x:v>0</x:v>
      </x:c>
      <x:c r="AD615" s="34" t="n">
        <x:f>EOMONTH(WorkforceData[[#This Row],[Training Date]],0)</x:f>
        <x:v>45169</x:v>
      </x:c>
      <x:c r="AE615" s="32" t="str">
        <x:f>IF(M615&lt;H615,"Existing Employee",IF(U615="","No Assignment",IF(V615=0,"0 Days",IF(V615&lt;=7,"1-7 Days",IF(V615&lt;=14,"8-14 Days",IF(V615&lt;=21,"15-21 Days","21+ Days"))))))</x:f>
        <x:v>Existing Employee</x:v>
      </x:c>
      <x:c r="AF61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15" s="33" t="n">
        <x:f>--(WorkforceData[[#This Row],[Total Days Worked]]&gt;=121)</x:f>
        <x:v>1</x:v>
      </x:c>
    </x:row>
    <x:row r="616">
      <x:c r="A616" s="236" t="str">
        <x:v>TRN-0615</x:v>
      </x:c>
      <x:c r="B616" s="243"/>
      <x:c r="C616" s="243"/>
      <x:c r="D616" s="243"/>
      <x:c r="E616" s="243"/>
      <x:c r="F616" s="14" t="str">
        <x:v>Recruiter B</x:v>
      </x:c>
      <x:c r="G616" s="14" t="str">
        <x:v>Training Center B</x:v>
      </x:c>
      <x:c r="H616" s="28">
        <x:v>45165</x:v>
      </x:c>
      <x:c r="I616" s="14">
        <x:v>2023</x:v>
      </x:c>
      <x:c r="J616" s="14" t="s">
        <x:v>135</x:v>
      </x:c>
      <x:c r="K616" s="14">
        <x:v>14</x:v>
      </x:c>
      <x:c r="L616" s="29" t="s">
        <x:v>119</x:v>
      </x:c>
      <x:c r="M616" s="28">
        <x:v>45165</x:v>
      </x:c>
      <x:c r="N616" s="14"/>
      <x:c r="O616" s="14">
        <x:v>1086</x:v>
      </x:c>
      <x:c r="P616" s="14" t="s">
        <x:v>122</x:v>
      </x:c>
      <x:c r="Q616" s="14" t="s">
        <x:v>25</x:v>
      </x:c>
      <x:c r="R616" s="14"/>
      <x:c r="S616" s="14" t="s">
        <x:v>108</x:v>
      </x:c>
      <x:c r="T616" s="14" t="str">
        <x:v>Region D</x:v>
      </x:c>
      <x:c r="U616" s="28">
        <x:v>45167</x:v>
      </x:c>
      <x:c r="V616" s="30">
        <x:v>2</x:v>
      </x:c>
      <x:c r="W616" s="14" t="s">
        <x:v>109</x:v>
      </x:c>
      <x:c r="X616" s="14" t="s">
        <x:v>106</x:v>
      </x:c>
      <x:c r="Y616" s="32" t="str">
        <x:v>TRN-0615|20230827</x:v>
      </x:c>
      <x:c r="Z616" s="32" t="str" cm="1">
        <x:f t="array" ref="Z61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616" s="33" t="n">
        <x:f>--OR(WorkforceData[[#This Row],[Status]]="Active",WorkforceData[[#This Row],[Promoted]]="Yes",WorkforceData[[#This Row],[Total Days Worked]]&gt;=121)</x:f>
        <x:v>1</x:v>
      </x:c>
      <x:c r="AB616" s="33" t="n">
        <x:f>IF(AND(Q616="Terminated",R616="",O616=0),1,0)</x:f>
        <x:v>0</x:v>
      </x:c>
      <x:c r="AC616" s="33" t="n">
        <x:f>--OR(WorkforceData[[#This Row],[Status]]="Resigned",WorkforceData[[#This Row],[Status After Training]]="Withdrew")</x:f>
        <x:v>0</x:v>
      </x:c>
      <x:c r="AD616" s="34" t="n">
        <x:f>EOMONTH(WorkforceData[[#This Row],[Training Date]],0)</x:f>
        <x:v>45169</x:v>
      </x:c>
      <x:c r="AE616" s="32" t="str">
        <x:f>IF(M616&lt;H616,"Existing Employee",IF(U616="","No Assignment",IF(V616=0,"0 Days",IF(V616&lt;=7,"1-7 Days",IF(V616&lt;=14,"8-14 Days",IF(V616&lt;=21,"15-21 Days","21+ Days"))))))</x:f>
        <x:v>1-7 Days</x:v>
      </x:c>
      <x:c r="AF61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16" s="33" t="n">
        <x:f>--(WorkforceData[[#This Row],[Total Days Worked]]&gt;=121)</x:f>
        <x:v>1</x:v>
      </x:c>
    </x:row>
    <x:row r="617">
      <x:c r="A617" s="236" t="str">
        <x:v>TRN-0616</x:v>
      </x:c>
      <x:c r="B617" s="243"/>
      <x:c r="C617" s="243"/>
      <x:c r="D617" s="243"/>
      <x:c r="E617" s="243"/>
      <x:c r="F617" s="14" t="str">
        <x:v>Recruiter E</x:v>
      </x:c>
      <x:c r="G617" s="14" t="str">
        <x:v>Training Center B</x:v>
      </x:c>
      <x:c r="H617" s="28">
        <x:v>45165</x:v>
      </x:c>
      <x:c r="I617" s="14">
        <x:v>2023</x:v>
      </x:c>
      <x:c r="J617" s="14" t="s">
        <x:v>135</x:v>
      </x:c>
      <x:c r="K617" s="14">
        <x:v>14</x:v>
      </x:c>
      <x:c r="L617" s="29" t="s">
        <x:v>119</x:v>
      </x:c>
      <x:c r="M617" s="28">
        <x:v>45158</x:v>
      </x:c>
      <x:c r="N617" s="28">
        <x:v>45228</x:v>
      </x:c>
      <x:c r="O617" s="14">
        <x:v>70</x:v>
      </x:c>
      <x:c r="P617" s="14" t="s">
        <x:v>110</x:v>
      </x:c>
      <x:c r="Q617" s="14" t="s">
        <x:v>103</x:v>
      </x:c>
      <x:c r="R617" s="14" t="s">
        <x:v>104</x:v>
      </x:c>
      <x:c r="S617" s="14" t="s">
        <x:v>105</x:v>
      </x:c>
      <x:c r="T617" s="14" t="str">
        <x:v>Region B</x:v>
      </x:c>
      <x:c r="U617" s="28">
        <x:v>45172</x:v>
      </x:c>
      <x:c r="V617" s="30">
        <x:v>7</x:v>
      </x:c>
      <x:c r="W617" s="14" t="s">
        <x:v>109</x:v>
      </x:c>
      <x:c r="X617" s="14" t="s">
        <x:v>106</x:v>
      </x:c>
      <x:c r="Y617" s="32" t="str">
        <x:v>TRN-0616|20230827</x:v>
      </x:c>
      <x:c r="Z617" s="32" t="str" cm="1">
        <x:f t="array" ref="Z61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617" s="33" t="n">
        <x:f>--OR(WorkforceData[[#This Row],[Status]]="Active",WorkforceData[[#This Row],[Promoted]]="Yes",WorkforceData[[#This Row],[Total Days Worked]]&gt;=121)</x:f>
        <x:v>0</x:v>
      </x:c>
      <x:c r="AB617" s="33" t="n">
        <x:f>IF(AND(Q617="Terminated",R617="",O617=0),1,0)</x:f>
        <x:v>0</x:v>
      </x:c>
      <x:c r="AC617" s="33" t="n">
        <x:f>--OR(WorkforceData[[#This Row],[Status]]="Resigned",WorkforceData[[#This Row],[Status After Training]]="Withdrew")</x:f>
        <x:v>1</x:v>
      </x:c>
      <x:c r="AD617" s="34" t="n">
        <x:f>EOMONTH(WorkforceData[[#This Row],[Training Date]],0)</x:f>
        <x:v>45169</x:v>
      </x:c>
      <x:c r="AE617" s="32" t="str">
        <x:f>IF(M617&lt;H617,"Existing Employee",IF(U617="","No Assignment",IF(V617=0,"0 Days",IF(V617&lt;=7,"1-7 Days",IF(V617&lt;=14,"8-14 Days",IF(V617&lt;=21,"15-21 Days","21+ Days"))))))</x:f>
        <x:v>Existing Employee</x:v>
      </x:c>
      <x:c r="AF61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61-90 Days</x:v>
      </x:c>
      <x:c r="AG617" s="33" t="n">
        <x:f>--(WorkforceData[[#This Row],[Total Days Worked]]&gt;=121)</x:f>
        <x:v>0</x:v>
      </x:c>
    </x:row>
    <x:row r="618">
      <x:c r="A618" s="236" t="str">
        <x:v>TRN-0617</x:v>
      </x:c>
      <x:c r="B618" s="243"/>
      <x:c r="C618" s="243"/>
      <x:c r="D618" s="243"/>
      <x:c r="E618" s="243"/>
      <x:c r="F618" s="14" t="str">
        <x:v>Recruiter D</x:v>
      </x:c>
      <x:c r="G618" s="14" t="str">
        <x:v>Training Center B</x:v>
      </x:c>
      <x:c r="H618" s="28">
        <x:v>45165</x:v>
      </x:c>
      <x:c r="I618" s="14">
        <x:v>2023</x:v>
      </x:c>
      <x:c r="J618" s="14" t="s">
        <x:v>135</x:v>
      </x:c>
      <x:c r="K618" s="14">
        <x:v>14</x:v>
      </x:c>
      <x:c r="L618" s="29" t="s">
        <x:v>119</x:v>
      </x:c>
      <x:c r="M618" s="28">
        <x:v>45158</x:v>
      </x:c>
      <x:c r="N618" s="28">
        <x:v>45188</x:v>
      </x:c>
      <x:c r="O618" s="14">
        <x:v>30</x:v>
      </x:c>
      <x:c r="P618" s="14" t="s">
        <x:v>102</x:v>
      </x:c>
      <x:c r="Q618" s="14" t="s">
        <x:v>103</x:v>
      </x:c>
      <x:c r="R618" s="14" t="s">
        <x:v>104</x:v>
      </x:c>
      <x:c r="S618" s="14" t="s">
        <x:v>105</x:v>
      </x:c>
      <x:c r="T618" s="14" t="str">
        <x:v>Region D</x:v>
      </x:c>
      <x:c r="U618" s="28">
        <x:v>45177</x:v>
      </x:c>
      <x:c r="V618" s="30">
        <x:v>12</x:v>
      </x:c>
      <x:c r="W618" s="14" t="s">
        <x:v>45</x:v>
      </x:c>
      <x:c r="X618" s="14" t="s">
        <x:v>106</x:v>
      </x:c>
      <x:c r="Y618" s="32" t="str">
        <x:v>TRN-0617|20230827</x:v>
      </x:c>
      <x:c r="Z618" s="32" t="str" cm="1">
        <x:f t="array" ref="Z61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618" s="33" t="n">
        <x:f>--OR(WorkforceData[[#This Row],[Status]]="Active",WorkforceData[[#This Row],[Promoted]]="Yes",WorkforceData[[#This Row],[Total Days Worked]]&gt;=121)</x:f>
        <x:v>0</x:v>
      </x:c>
      <x:c r="AB618" s="33" t="n">
        <x:f>IF(AND(Q618="Terminated",R618="",O618=0),1,0)</x:f>
        <x:v>0</x:v>
      </x:c>
      <x:c r="AC618" s="33" t="n">
        <x:f>--OR(WorkforceData[[#This Row],[Status]]="Resigned",WorkforceData[[#This Row],[Status After Training]]="Withdrew")</x:f>
        <x:v>1</x:v>
      </x:c>
      <x:c r="AD618" s="34" t="n">
        <x:f>EOMONTH(WorkforceData[[#This Row],[Training Date]],0)</x:f>
        <x:v>45169</x:v>
      </x:c>
      <x:c r="AE618" s="32" t="str">
        <x:f>IF(M618&lt;H618,"Existing Employee",IF(U618="","No Assignment",IF(V618=0,"0 Days",IF(V618&lt;=7,"1-7 Days",IF(V618&lt;=14,"8-14 Days",IF(V618&lt;=21,"15-21 Days","21+ Days"))))))</x:f>
        <x:v>Existing Employee</x:v>
      </x:c>
      <x:c r="AF61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618" s="33" t="n">
        <x:f>--(WorkforceData[[#This Row],[Total Days Worked]]&gt;=121)</x:f>
        <x:v>0</x:v>
      </x:c>
    </x:row>
    <x:row r="619">
      <x:c r="A619" s="236" t="str">
        <x:v>TRN-0618</x:v>
      </x:c>
      <x:c r="B619" s="243"/>
      <x:c r="C619" s="243"/>
      <x:c r="D619" s="243"/>
      <x:c r="E619" s="243"/>
      <x:c r="F619" s="14" t="str">
        <x:v>Recruiter B</x:v>
      </x:c>
      <x:c r="G619" s="14" t="str">
        <x:v>Training Center B</x:v>
      </x:c>
      <x:c r="H619" s="28">
        <x:v>45165</x:v>
      </x:c>
      <x:c r="I619" s="14">
        <x:v>2023</x:v>
      </x:c>
      <x:c r="J619" s="14" t="s">
        <x:v>135</x:v>
      </x:c>
      <x:c r="K619" s="14">
        <x:v>14</x:v>
      </x:c>
      <x:c r="L619" s="29" t="s">
        <x:v>119</x:v>
      </x:c>
      <x:c r="M619" s="28">
        <x:v>45162</x:v>
      </x:c>
      <x:c r="N619" s="14"/>
      <x:c r="O619" s="14">
        <x:v>1089</x:v>
      </x:c>
      <x:c r="P619" s="14" t="s">
        <x:v>122</x:v>
      </x:c>
      <x:c r="Q619" s="14" t="s">
        <x:v>25</x:v>
      </x:c>
      <x:c r="R619" s="14"/>
      <x:c r="S619" s="14" t="s">
        <x:v>108</x:v>
      </x:c>
      <x:c r="T619" s="14" t="str">
        <x:v>Region D</x:v>
      </x:c>
      <x:c r="U619" s="28">
        <x:v>45170</x:v>
      </x:c>
      <x:c r="V619" s="30">
        <x:v>5</x:v>
      </x:c>
      <x:c r="W619" s="14" t="s">
        <x:v>109</x:v>
      </x:c>
      <x:c r="X619" s="14" t="s">
        <x:v>106</x:v>
      </x:c>
      <x:c r="Y619" s="32" t="str">
        <x:v>TRN-0618|20230827</x:v>
      </x:c>
      <x:c r="Z619" s="32" t="str" cm="1">
        <x:f t="array" ref="Z61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619" s="33" t="n">
        <x:f>--OR(WorkforceData[[#This Row],[Status]]="Active",WorkforceData[[#This Row],[Promoted]]="Yes",WorkforceData[[#This Row],[Total Days Worked]]&gt;=121)</x:f>
        <x:v>1</x:v>
      </x:c>
      <x:c r="AB619" s="33" t="n">
        <x:f>IF(AND(Q619="Terminated",R619="",O619=0),1,0)</x:f>
        <x:v>0</x:v>
      </x:c>
      <x:c r="AC619" s="33" t="n">
        <x:f>--OR(WorkforceData[[#This Row],[Status]]="Resigned",WorkforceData[[#This Row],[Status After Training]]="Withdrew")</x:f>
        <x:v>0</x:v>
      </x:c>
      <x:c r="AD619" s="34" t="n">
        <x:f>EOMONTH(WorkforceData[[#This Row],[Training Date]],0)</x:f>
        <x:v>45169</x:v>
      </x:c>
      <x:c r="AE619" s="32" t="str">
        <x:f>IF(M619&lt;H619,"Existing Employee",IF(U619="","No Assignment",IF(V619=0,"0 Days",IF(V619&lt;=7,"1-7 Days",IF(V619&lt;=14,"8-14 Days",IF(V619&lt;=21,"15-21 Days","21+ Days"))))))</x:f>
        <x:v>Existing Employee</x:v>
      </x:c>
      <x:c r="AF61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19" s="33" t="n">
        <x:f>--(WorkforceData[[#This Row],[Total Days Worked]]&gt;=121)</x:f>
        <x:v>1</x:v>
      </x:c>
    </x:row>
    <x:row r="620">
      <x:c r="A620" s="236" t="str">
        <x:v>TRN-0619</x:v>
      </x:c>
      <x:c r="B620" s="243"/>
      <x:c r="C620" s="243"/>
      <x:c r="D620" s="243"/>
      <x:c r="E620" s="243"/>
      <x:c r="F620" s="14" t="str">
        <x:v>Recruiter E</x:v>
      </x:c>
      <x:c r="G620" s="14" t="str">
        <x:v>Training Center B</x:v>
      </x:c>
      <x:c r="H620" s="28">
        <x:v>45165</x:v>
      </x:c>
      <x:c r="I620" s="14">
        <x:v>2023</x:v>
      </x:c>
      <x:c r="J620" s="14" t="s">
        <x:v>135</x:v>
      </x:c>
      <x:c r="K620" s="14">
        <x:v>14</x:v>
      </x:c>
      <x:c r="L620" s="29" t="s">
        <x:v>119</x:v>
      </x:c>
      <x:c r="M620" s="28">
        <x:v>45163</x:v>
      </x:c>
      <x:c r="N620" s="14"/>
      <x:c r="O620" s="14">
        <x:v>1088</x:v>
      </x:c>
      <x:c r="P620" s="14" t="s">
        <x:v>122</x:v>
      </x:c>
      <x:c r="Q620" s="14" t="s">
        <x:v>25</x:v>
      </x:c>
      <x:c r="R620" s="14"/>
      <x:c r="S620" s="14" t="s">
        <x:v>108</x:v>
      </x:c>
      <x:c r="T620" s="14" t="str">
        <x:v>Region D</x:v>
      </x:c>
      <x:c r="U620" s="28">
        <x:v>45213</x:v>
      </x:c>
      <x:c r="V620" s="30">
        <x:v>48</x:v>
      </x:c>
      <x:c r="W620" s="14" t="s">
        <x:v>63</x:v>
      </x:c>
      <x:c r="X620" s="14" t="s">
        <x:v>117</x:v>
      </x:c>
      <x:c r="Y620" s="32" t="str">
        <x:v>TRN-0619|20230827</x:v>
      </x:c>
      <x:c r="Z620" s="32" t="str" cm="1">
        <x:f t="array" ref="Z62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620" s="33" t="n">
        <x:f>--OR(WorkforceData[[#This Row],[Status]]="Active",WorkforceData[[#This Row],[Promoted]]="Yes",WorkforceData[[#This Row],[Total Days Worked]]&gt;=121)</x:f>
        <x:v>1</x:v>
      </x:c>
      <x:c r="AB620" s="33" t="n">
        <x:f>IF(AND(Q620="Terminated",R620="",O620=0),1,0)</x:f>
        <x:v>0</x:v>
      </x:c>
      <x:c r="AC620" s="33" t="n">
        <x:f>--OR(WorkforceData[[#This Row],[Status]]="Resigned",WorkforceData[[#This Row],[Status After Training]]="Withdrew")</x:f>
        <x:v>0</x:v>
      </x:c>
      <x:c r="AD620" s="34" t="n">
        <x:f>EOMONTH(WorkforceData[[#This Row],[Training Date]],0)</x:f>
        <x:v>45169</x:v>
      </x:c>
      <x:c r="AE620" s="32" t="str">
        <x:f>IF(M620&lt;H620,"Existing Employee",IF(U620="","No Assignment",IF(V620=0,"0 Days",IF(V620&lt;=7,"1-7 Days",IF(V620&lt;=14,"8-14 Days",IF(V620&lt;=21,"15-21 Days","21+ Days"))))))</x:f>
        <x:v>Existing Employee</x:v>
      </x:c>
      <x:c r="AF62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20" s="33" t="n">
        <x:f>--(WorkforceData[[#This Row],[Total Days Worked]]&gt;=121)</x:f>
        <x:v>1</x:v>
      </x:c>
    </x:row>
    <x:row r="621">
      <x:c r="A621" s="236" t="str">
        <x:v>TRN-0620</x:v>
      </x:c>
      <x:c r="B621" s="243"/>
      <x:c r="C621" s="243"/>
      <x:c r="D621" s="243"/>
      <x:c r="E621" s="243"/>
      <x:c r="F621" s="14" t="str">
        <x:v>Recruiter H</x:v>
      </x:c>
      <x:c r="G621" s="14" t="str">
        <x:v>Training Center B</x:v>
      </x:c>
      <x:c r="H621" s="28">
        <x:v>45165</x:v>
      </x:c>
      <x:c r="I621" s="14">
        <x:v>2023</x:v>
      </x:c>
      <x:c r="J621" s="14" t="s">
        <x:v>135</x:v>
      </x:c>
      <x:c r="K621" s="14">
        <x:v>14</x:v>
      </x:c>
      <x:c r="L621" s="29" t="s">
        <x:v>119</x:v>
      </x:c>
      <x:c r="M621" s="28">
        <x:v>45162</x:v>
      </x:c>
      <x:c r="N621" s="28">
        <x:v>45398</x:v>
      </x:c>
      <x:c r="O621" s="14">
        <x:v>236</x:v>
      </x:c>
      <x:c r="P621" s="14" t="s">
        <x:v>107</x:v>
      </x:c>
      <x:c r="Q621" s="14" t="s">
        <x:v>103</x:v>
      </x:c>
      <x:c r="R621" s="14" t="s">
        <x:v>111</x:v>
      </x:c>
      <x:c r="S621" s="14" t="s">
        <x:v>108</x:v>
      </x:c>
      <x:c r="T621" s="14" t="str">
        <x:v>Region B</x:v>
      </x:c>
      <x:c r="U621" s="28">
        <x:v>45179</x:v>
      </x:c>
      <x:c r="V621" s="30">
        <x:v>14</x:v>
      </x:c>
      <x:c r="W621" s="14" t="s">
        <x:v>45</x:v>
      </x:c>
      <x:c r="X621" s="14" t="s">
        <x:v>106</x:v>
      </x:c>
      <x:c r="Y621" s="32" t="str">
        <x:v>TRN-0620|20230827</x:v>
      </x:c>
      <x:c r="Z621" s="32" t="str" cm="1">
        <x:f t="array" ref="Z62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621" s="33" t="n">
        <x:f>--OR(WorkforceData[[#This Row],[Status]]="Active",WorkforceData[[#This Row],[Promoted]]="Yes",WorkforceData[[#This Row],[Total Days Worked]]&gt;=121)</x:f>
        <x:v>1</x:v>
      </x:c>
      <x:c r="AB621" s="33" t="n">
        <x:f>IF(AND(Q621="Terminated",R621="",O621=0),1,0)</x:f>
        <x:v>0</x:v>
      </x:c>
      <x:c r="AC621" s="33" t="n">
        <x:f>--OR(WorkforceData[[#This Row],[Status]]="Resigned",WorkforceData[[#This Row],[Status After Training]]="Withdrew")</x:f>
        <x:v>1</x:v>
      </x:c>
      <x:c r="AD621" s="34" t="n">
        <x:f>EOMONTH(WorkforceData[[#This Row],[Training Date]],0)</x:f>
        <x:v>45169</x:v>
      </x:c>
      <x:c r="AE621" s="32" t="str">
        <x:f>IF(M621&lt;H621,"Existing Employee",IF(U621="","No Assignment",IF(V621=0,"0 Days",IF(V621&lt;=7,"1-7 Days",IF(V621&lt;=14,"8-14 Days",IF(V621&lt;=21,"15-21 Days","21+ Days"))))))</x:f>
        <x:v>Existing Employee</x:v>
      </x:c>
      <x:c r="AF62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21" s="33" t="n">
        <x:f>--(WorkforceData[[#This Row],[Total Days Worked]]&gt;=121)</x:f>
        <x:v>1</x:v>
      </x:c>
    </x:row>
    <x:row r="622">
      <x:c r="A622" s="236" t="str">
        <x:v>TRN-0621</x:v>
      </x:c>
      <x:c r="B622" s="243"/>
      <x:c r="C622" s="243"/>
      <x:c r="D622" s="243"/>
      <x:c r="E622" s="243"/>
      <x:c r="F622" s="14" t="str">
        <x:v>Recruiter B</x:v>
      </x:c>
      <x:c r="G622" s="14" t="str">
        <x:v>Training Center B</x:v>
      </x:c>
      <x:c r="H622" s="28">
        <x:v>45165</x:v>
      </x:c>
      <x:c r="I622" s="14">
        <x:v>2023</x:v>
      </x:c>
      <x:c r="J622" s="14" t="s">
        <x:v>135</x:v>
      </x:c>
      <x:c r="K622" s="14">
        <x:v>14</x:v>
      </x:c>
      <x:c r="L622" s="29" t="s">
        <x:v>119</x:v>
      </x:c>
      <x:c r="M622" s="28">
        <x:v>45160</x:v>
      </x:c>
      <x:c r="N622" s="28">
        <x:v>45162</x:v>
      </x:c>
      <x:c r="O622" s="14">
        <x:v>2</x:v>
      </x:c>
      <x:c r="P622" s="14" t="s">
        <x:v>102</x:v>
      </x:c>
      <x:c r="Q622" s="14" t="s">
        <x:v>33</x:v>
      </x:c>
      <x:c r="R622" s="14" t="s">
        <x:v>121</x:v>
      </x:c>
      <x:c r="S622" s="14" t="s">
        <x:v>105</x:v>
      </x:c>
      <x:c r="T622" s="14"/>
      <x:c r="U622" s="28"/>
      <x:c r="V622" s="30"/>
      <x:c r="W622" s="14"/>
      <x:c r="X622" s="14" t="s">
        <x:v>71</x:v>
      </x:c>
      <x:c r="Y622" s="32" t="str">
        <x:v>TRN-0621|20230827</x:v>
      </x:c>
      <x:c r="Z622" s="32" t="str" cm="1">
        <x:f t="array" ref="Z62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622" s="33" t="n">
        <x:f>--OR(WorkforceData[[#This Row],[Status]]="Active",WorkforceData[[#This Row],[Promoted]]="Yes",WorkforceData[[#This Row],[Total Days Worked]]&gt;=121)</x:f>
        <x:v>0</x:v>
      </x:c>
      <x:c r="AB622" s="33" t="n">
        <x:f>IF(AND(Q622="Terminated",R622="",O622=0),1,0)</x:f>
        <x:v>0</x:v>
      </x:c>
      <x:c r="AC622" s="33" t="n">
        <x:f>--OR(WorkforceData[[#This Row],[Status]]="Resigned",WorkforceData[[#This Row],[Status After Training]]="Withdrew")</x:f>
        <x:v>0</x:v>
      </x:c>
      <x:c r="AD622" s="34" t="n">
        <x:f>EOMONTH(WorkforceData[[#This Row],[Training Date]],0)</x:f>
        <x:v>45169</x:v>
      </x:c>
      <x:c r="AE622" s="32" t="str">
        <x:f>IF(M622&lt;H622,"Existing Employee",IF(U622="","No Assignment",IF(V622=0,"0 Days",IF(V622&lt;=7,"1-7 Days",IF(V622&lt;=14,"8-14 Days",IF(V622&lt;=21,"15-21 Days","21+ Days"))))))</x:f>
        <x:v>Existing Employee</x:v>
      </x:c>
      <x:c r="AF62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1-7 Days</x:v>
      </x:c>
      <x:c r="AG622" s="33" t="n">
        <x:f>--(WorkforceData[[#This Row],[Total Days Worked]]&gt;=121)</x:f>
        <x:v>0</x:v>
      </x:c>
    </x:row>
    <x:row r="623">
      <x:c r="A623" s="236" t="str">
        <x:v>TRN-0622</x:v>
      </x:c>
      <x:c r="B623" s="243"/>
      <x:c r="C623" s="243"/>
      <x:c r="D623" s="243"/>
      <x:c r="E623" s="243"/>
      <x:c r="F623" s="14" t="str">
        <x:v>Recruiter B</x:v>
      </x:c>
      <x:c r="G623" s="14" t="str">
        <x:v>Training Center B</x:v>
      </x:c>
      <x:c r="H623" s="28">
        <x:v>45165</x:v>
      </x:c>
      <x:c r="I623" s="14">
        <x:v>2023</x:v>
      </x:c>
      <x:c r="J623" s="14" t="s">
        <x:v>135</x:v>
      </x:c>
      <x:c r="K623" s="14">
        <x:v>14</x:v>
      </x:c>
      <x:c r="L623" s="29" t="s">
        <x:v>119</x:v>
      </x:c>
      <x:c r="M623" s="28">
        <x:v>45155</x:v>
      </x:c>
      <x:c r="N623" s="14"/>
      <x:c r="O623" s="14">
        <x:v>1096</x:v>
      </x:c>
      <x:c r="P623" s="14" t="s">
        <x:v>122</x:v>
      </x:c>
      <x:c r="Q623" s="14" t="s">
        <x:v>25</x:v>
      </x:c>
      <x:c r="R623" s="14"/>
      <x:c r="S623" s="14" t="s">
        <x:v>108</x:v>
      </x:c>
      <x:c r="T623" s="14" t="str">
        <x:v>Region C</x:v>
      </x:c>
      <x:c r="U623" s="28">
        <x:v>45165</x:v>
      </x:c>
      <x:c r="V623" s="30">
        <x:v>0</x:v>
      </x:c>
      <x:c r="W623" s="14" t="s">
        <x:v>109</x:v>
      </x:c>
      <x:c r="X623" s="14" t="s">
        <x:v>106</x:v>
      </x:c>
      <x:c r="Y623" s="32" t="str">
        <x:v>TRN-0622|20230827</x:v>
      </x:c>
      <x:c r="Z623" s="32" t="str" cm="1">
        <x:f t="array" ref="Z62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623" s="33" t="n">
        <x:f>--OR(WorkforceData[[#This Row],[Status]]="Active",WorkforceData[[#This Row],[Promoted]]="Yes",WorkforceData[[#This Row],[Total Days Worked]]&gt;=121)</x:f>
        <x:v>1</x:v>
      </x:c>
      <x:c r="AB623" s="33" t="n">
        <x:f>IF(AND(Q623="Terminated",R623="",O623=0),1,0)</x:f>
        <x:v>0</x:v>
      </x:c>
      <x:c r="AC623" s="33" t="n">
        <x:f>--OR(WorkforceData[[#This Row],[Status]]="Resigned",WorkforceData[[#This Row],[Status After Training]]="Withdrew")</x:f>
        <x:v>0</x:v>
      </x:c>
      <x:c r="AD623" s="34" t="n">
        <x:f>EOMONTH(WorkforceData[[#This Row],[Training Date]],0)</x:f>
        <x:v>45169</x:v>
      </x:c>
      <x:c r="AE623" s="32" t="str">
        <x:f>IF(M623&lt;H623,"Existing Employee",IF(U623="","No Assignment",IF(V623=0,"0 Days",IF(V623&lt;=7,"1-7 Days",IF(V623&lt;=14,"8-14 Days",IF(V623&lt;=21,"15-21 Days","21+ Days"))))))</x:f>
        <x:v>Existing Employee</x:v>
      </x:c>
      <x:c r="AF62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23" s="33" t="n">
        <x:f>--(WorkforceData[[#This Row],[Total Days Worked]]&gt;=121)</x:f>
        <x:v>1</x:v>
      </x:c>
    </x:row>
    <x:row r="624">
      <x:c r="A624" s="236" t="str">
        <x:v>TRN-0623</x:v>
      </x:c>
      <x:c r="B624" s="243"/>
      <x:c r="C624" s="243"/>
      <x:c r="D624" s="243"/>
      <x:c r="E624" s="243"/>
      <x:c r="F624" s="14" t="str">
        <x:v>Recruiter A</x:v>
      </x:c>
      <x:c r="G624" s="14" t="str">
        <x:v>Training Center B</x:v>
      </x:c>
      <x:c r="H624" s="28">
        <x:v>45165</x:v>
      </x:c>
      <x:c r="I624" s="14">
        <x:v>2023</x:v>
      </x:c>
      <x:c r="J624" s="14" t="s">
        <x:v>135</x:v>
      </x:c>
      <x:c r="K624" s="14">
        <x:v>14</x:v>
      </x:c>
      <x:c r="L624" s="29" t="s">
        <x:v>119</x:v>
      </x:c>
      <x:c r="M624" s="28">
        <x:v>45163</x:v>
      </x:c>
      <x:c r="N624" s="14"/>
      <x:c r="O624" s="14">
        <x:v>1088</x:v>
      </x:c>
      <x:c r="P624" s="14" t="s">
        <x:v>122</x:v>
      </x:c>
      <x:c r="Q624" s="14" t="s">
        <x:v>25</x:v>
      </x:c>
      <x:c r="R624" s="14"/>
      <x:c r="S624" s="14" t="s">
        <x:v>108</x:v>
      </x:c>
      <x:c r="T624" s="14" t="str">
        <x:v>Region C</x:v>
      </x:c>
      <x:c r="U624" s="28">
        <x:v>45194</x:v>
      </x:c>
      <x:c r="V624" s="30">
        <x:v>29</x:v>
      </x:c>
      <x:c r="W624" s="14" t="s">
        <x:v>112</x:v>
      </x:c>
      <x:c r="X624" s="14" t="s">
        <x:v>106</x:v>
      </x:c>
      <x:c r="Y624" s="32" t="str">
        <x:v>TRN-0623|20230827</x:v>
      </x:c>
      <x:c r="Z624" s="32" t="str" cm="1">
        <x:f t="array" ref="Z62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624" s="33" t="n">
        <x:f>--OR(WorkforceData[[#This Row],[Status]]="Active",WorkforceData[[#This Row],[Promoted]]="Yes",WorkforceData[[#This Row],[Total Days Worked]]&gt;=121)</x:f>
        <x:v>1</x:v>
      </x:c>
      <x:c r="AB624" s="33" t="n">
        <x:f>IF(AND(Q624="Terminated",R624="",O624=0),1,0)</x:f>
        <x:v>0</x:v>
      </x:c>
      <x:c r="AC624" s="33" t="n">
        <x:f>--OR(WorkforceData[[#This Row],[Status]]="Resigned",WorkforceData[[#This Row],[Status After Training]]="Withdrew")</x:f>
        <x:v>0</x:v>
      </x:c>
      <x:c r="AD624" s="34" t="n">
        <x:f>EOMONTH(WorkforceData[[#This Row],[Training Date]],0)</x:f>
        <x:v>45169</x:v>
      </x:c>
      <x:c r="AE624" s="32" t="str">
        <x:f>IF(M624&lt;H624,"Existing Employee",IF(U624="","No Assignment",IF(V624=0,"0 Days",IF(V624&lt;=7,"1-7 Days",IF(V624&lt;=14,"8-14 Days",IF(V624&lt;=21,"15-21 Days","21+ Days"))))))</x:f>
        <x:v>Existing Employee</x:v>
      </x:c>
      <x:c r="AF62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24" s="33" t="n">
        <x:f>--(WorkforceData[[#This Row],[Total Days Worked]]&gt;=121)</x:f>
        <x:v>1</x:v>
      </x:c>
    </x:row>
    <x:row r="625">
      <x:c r="A625" s="236" t="str">
        <x:v>TRN-0624</x:v>
      </x:c>
      <x:c r="B625" s="243"/>
      <x:c r="C625" s="243"/>
      <x:c r="D625" s="243"/>
      <x:c r="E625" s="243"/>
      <x:c r="F625" s="14" t="str">
        <x:v>Recruiter A</x:v>
      </x:c>
      <x:c r="G625" s="14" t="str">
        <x:v>Training Center B</x:v>
      </x:c>
      <x:c r="H625" s="28">
        <x:v>45165</x:v>
      </x:c>
      <x:c r="I625" s="14">
        <x:v>2023</x:v>
      </x:c>
      <x:c r="J625" s="14" t="s">
        <x:v>135</x:v>
      </x:c>
      <x:c r="K625" s="14">
        <x:v>14</x:v>
      </x:c>
      <x:c r="L625" s="29" t="s">
        <x:v>119</x:v>
      </x:c>
      <x:c r="M625" s="28">
        <x:v>45162</x:v>
      </x:c>
      <x:c r="N625" s="14"/>
      <x:c r="O625" s="14">
        <x:v>1089</x:v>
      </x:c>
      <x:c r="P625" s="14" t="s">
        <x:v>122</x:v>
      </x:c>
      <x:c r="Q625" s="14" t="s">
        <x:v>25</x:v>
      </x:c>
      <x:c r="R625" s="14"/>
      <x:c r="S625" s="14" t="s">
        <x:v>108</x:v>
      </x:c>
      <x:c r="T625" s="14" t="str">
        <x:v>Region D</x:v>
      </x:c>
      <x:c r="U625" s="28">
        <x:v>45208</x:v>
      </x:c>
      <x:c r="V625" s="30">
        <x:v>43</x:v>
      </x:c>
      <x:c r="W625" s="14" t="s">
        <x:v>63</x:v>
      </x:c>
      <x:c r="X625" s="14" t="s">
        <x:v>117</x:v>
      </x:c>
      <x:c r="Y625" s="32" t="str">
        <x:v>TRN-0624|20230827</x:v>
      </x:c>
      <x:c r="Z625" s="32" t="str" cm="1">
        <x:f t="array" ref="Z62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625" s="33" t="n">
        <x:f>--OR(WorkforceData[[#This Row],[Status]]="Active",WorkforceData[[#This Row],[Promoted]]="Yes",WorkforceData[[#This Row],[Total Days Worked]]&gt;=121)</x:f>
        <x:v>1</x:v>
      </x:c>
      <x:c r="AB625" s="33" t="n">
        <x:f>IF(AND(Q625="Terminated",R625="",O625=0),1,0)</x:f>
        <x:v>0</x:v>
      </x:c>
      <x:c r="AC625" s="33" t="n">
        <x:f>--OR(WorkforceData[[#This Row],[Status]]="Resigned",WorkforceData[[#This Row],[Status After Training]]="Withdrew")</x:f>
        <x:v>0</x:v>
      </x:c>
      <x:c r="AD625" s="34" t="n">
        <x:f>EOMONTH(WorkforceData[[#This Row],[Training Date]],0)</x:f>
        <x:v>45169</x:v>
      </x:c>
      <x:c r="AE625" s="32" t="str">
        <x:f>IF(M625&lt;H625,"Existing Employee",IF(U625="","No Assignment",IF(V625=0,"0 Days",IF(V625&lt;=7,"1-7 Days",IF(V625&lt;=14,"8-14 Days",IF(V625&lt;=21,"15-21 Days","21+ Days"))))))</x:f>
        <x:v>Existing Employee</x:v>
      </x:c>
      <x:c r="AF62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25" s="33" t="n">
        <x:f>--(WorkforceData[[#This Row],[Total Days Worked]]&gt;=121)</x:f>
        <x:v>1</x:v>
      </x:c>
    </x:row>
    <x:row r="626">
      <x:c r="A626" s="236" t="str">
        <x:v>TRN-0625</x:v>
      </x:c>
      <x:c r="B626" s="243"/>
      <x:c r="C626" s="243"/>
      <x:c r="D626" s="243"/>
      <x:c r="E626" s="243"/>
      <x:c r="F626" s="14" t="str">
        <x:v>Recruiter C</x:v>
      </x:c>
      <x:c r="G626" s="14" t="str">
        <x:v>Training Center B</x:v>
      </x:c>
      <x:c r="H626" s="28">
        <x:v>46074</x:v>
      </x:c>
      <x:c r="I626" s="14">
        <x:v>2026</x:v>
      </x:c>
      <x:c r="J626" s="14" t="s">
        <x:v>136</x:v>
      </x:c>
      <x:c r="K626" s="14">
        <x:v>24</x:v>
      </x:c>
      <x:c r="L626" s="29" t="s">
        <x:v>101</x:v>
      </x:c>
      <x:c r="M626" s="28">
        <x:v>46074</x:v>
      </x:c>
      <x:c r="N626" s="28">
        <x:v>46245</x:v>
      </x:c>
      <x:c r="O626" s="14">
        <x:v>171</x:v>
      </x:c>
      <x:c r="P626" s="14" t="s">
        <x:v>113</x:v>
      </x:c>
      <x:c r="Q626" s="14" t="s">
        <x:v>33</x:v>
      </x:c>
      <x:c r="R626" s="14" t="s">
        <x:v>121</x:v>
      </x:c>
      <x:c r="S626" s="14" t="s">
        <x:v>105</x:v>
      </x:c>
      <x:c r="T626" s="14" t="str">
        <x:v>Region B</x:v>
      </x:c>
      <x:c r="U626" s="28">
        <x:v>46075</x:v>
      </x:c>
      <x:c r="V626" s="30">
        <x:v>1</x:v>
      </x:c>
      <x:c r="W626" s="14" t="s">
        <x:v>109</x:v>
      </x:c>
      <x:c r="X626" s="14" t="s">
        <x:v>106</x:v>
      </x:c>
      <x:c r="Y626" s="32" t="str">
        <x:v>TRN-0625|20260221</x:v>
      </x:c>
      <x:c r="Z626" s="32" t="str" cm="1">
        <x:f t="array" ref="Z62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Complete</x:v>
      </x:c>
      <x:c r="AA626" s="33" t="n">
        <x:f>--OR(WorkforceData[[#This Row],[Status]]="Active",WorkforceData[[#This Row],[Promoted]]="Yes",WorkforceData[[#This Row],[Total Days Worked]]&gt;=121)</x:f>
        <x:v>1</x:v>
      </x:c>
      <x:c r="AB626" s="33" t="n">
        <x:f>IF(AND(Q626="Terminated",R626="",O626=0),1,0)</x:f>
        <x:v>0</x:v>
      </x:c>
      <x:c r="AC626" s="33" t="n">
        <x:f>--OR(WorkforceData[[#This Row],[Status]]="Resigned",WorkforceData[[#This Row],[Status After Training]]="Withdrew")</x:f>
        <x:v>0</x:v>
      </x:c>
      <x:c r="AD626" s="34" t="n">
        <x:f>EOMONTH(WorkforceData[[#This Row],[Training Date]],0)</x:f>
        <x:v>46081</x:v>
      </x:c>
      <x:c r="AE626" s="32" t="str">
        <x:f>IF(M626&lt;H626,"Existing Employee",IF(U626="","No Assignment",IF(V626=0,"0 Days",IF(V626&lt;=7,"1-7 Days",IF(V626&lt;=14,"8-14 Days",IF(V626&lt;=21,"15-21 Days","21+ Days"))))))</x:f>
        <x:v>1-7 Days</x:v>
      </x:c>
      <x:c r="AF62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26" s="33" t="n">
        <x:f>--(WorkforceData[[#This Row],[Total Days Worked]]&gt;=121)</x:f>
        <x:v>1</x:v>
      </x:c>
    </x:row>
    <x:row r="627">
      <x:c r="A627" s="236" t="str">
        <x:v>TRN-0626</x:v>
      </x:c>
      <x:c r="B627" s="243"/>
      <x:c r="C627" s="243"/>
      <x:c r="D627" s="243"/>
      <x:c r="E627" s="243"/>
      <x:c r="F627" s="14" t="str">
        <x:v>Recruiter B</x:v>
      </x:c>
      <x:c r="G627" s="14" t="str">
        <x:v>Training Center B</x:v>
      </x:c>
      <x:c r="H627" s="28">
        <x:v>46074</x:v>
      </x:c>
      <x:c r="I627" s="14">
        <x:v>2026</x:v>
      </x:c>
      <x:c r="J627" s="14" t="s">
        <x:v>136</x:v>
      </x:c>
      <x:c r="K627" s="14">
        <x:v>24</x:v>
      </x:c>
      <x:c r="L627" s="29" t="s">
        <x:v>101</x:v>
      </x:c>
      <x:c r="M627" s="28">
        <x:v>46071</x:v>
      </x:c>
      <x:c r="N627" s="14"/>
      <x:c r="O627" s="14">
        <x:v>180</x:v>
      </x:c>
      <x:c r="P627" s="14" t="s">
        <x:v>113</x:v>
      </x:c>
      <x:c r="Q627" s="14" t="s">
        <x:v>25</x:v>
      </x:c>
      <x:c r="R627" s="14"/>
      <x:c r="S627" s="14" t="s">
        <x:v>105</x:v>
      </x:c>
      <x:c r="T627" s="14" t="str">
        <x:v>Region D</x:v>
      </x:c>
      <x:c r="U627" s="28">
        <x:v>46079</x:v>
      </x:c>
      <x:c r="V627" s="30">
        <x:v>5</x:v>
      </x:c>
      <x:c r="W627" s="14" t="s">
        <x:v>109</x:v>
      </x:c>
      <x:c r="X627" s="14" t="s">
        <x:v>106</x:v>
      </x:c>
      <x:c r="Y627" s="32" t="str">
        <x:v>TRN-0626|20260221</x:v>
      </x:c>
      <x:c r="Z627" s="32" t="str" cm="1">
        <x:f t="array" ref="Z62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627" s="33" t="n">
        <x:f>--OR(WorkforceData[[#This Row],[Status]]="Active",WorkforceData[[#This Row],[Promoted]]="Yes",WorkforceData[[#This Row],[Total Days Worked]]&gt;=121)</x:f>
        <x:v>1</x:v>
      </x:c>
      <x:c r="AB627" s="33" t="n">
        <x:f>IF(AND(Q627="Terminated",R627="",O627=0),1,0)</x:f>
        <x:v>0</x:v>
      </x:c>
      <x:c r="AC627" s="33" t="n">
        <x:f>--OR(WorkforceData[[#This Row],[Status]]="Resigned",WorkforceData[[#This Row],[Status After Training]]="Withdrew")</x:f>
        <x:v>0</x:v>
      </x:c>
      <x:c r="AD627" s="34" t="n">
        <x:f>EOMONTH(WorkforceData[[#This Row],[Training Date]],0)</x:f>
        <x:v>46081</x:v>
      </x:c>
      <x:c r="AE627" s="32" t="str">
        <x:f>IF(M627&lt;H627,"Existing Employee",IF(U627="","No Assignment",IF(V627=0,"0 Days",IF(V627&lt;=7,"1-7 Days",IF(V627&lt;=14,"8-14 Days",IF(V627&lt;=21,"15-21 Days","21+ Days"))))))</x:f>
        <x:v>Existing Employee</x:v>
      </x:c>
      <x:c r="AF62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27" s="33" t="n">
        <x:f>--(WorkforceData[[#This Row],[Total Days Worked]]&gt;=121)</x:f>
        <x:v>1</x:v>
      </x:c>
    </x:row>
    <x:row r="628">
      <x:c r="A628" s="236" t="str">
        <x:v>TRN-0627</x:v>
      </x:c>
      <x:c r="B628" s="243"/>
      <x:c r="C628" s="243"/>
      <x:c r="D628" s="243"/>
      <x:c r="E628" s="243"/>
      <x:c r="F628" s="14" t="str">
        <x:v>Recruiter H</x:v>
      </x:c>
      <x:c r="G628" s="14" t="str">
        <x:v>Training Center B</x:v>
      </x:c>
      <x:c r="H628" s="28">
        <x:v>46074</x:v>
      </x:c>
      <x:c r="I628" s="14">
        <x:v>2026</x:v>
      </x:c>
      <x:c r="J628" s="14" t="s">
        <x:v>136</x:v>
      </x:c>
      <x:c r="K628" s="14">
        <x:v>24</x:v>
      </x:c>
      <x:c r="L628" s="29" t="s">
        <x:v>101</x:v>
      </x:c>
      <x:c r="M628" s="28">
        <x:v>46064</x:v>
      </x:c>
      <x:c r="N628" s="14"/>
      <x:c r="O628" s="14">
        <x:v>187</x:v>
      </x:c>
      <x:c r="P628" s="14" t="s">
        <x:v>107</x:v>
      </x:c>
      <x:c r="Q628" s="14" t="s">
        <x:v>25</x:v>
      </x:c>
      <x:c r="R628" s="14"/>
      <x:c r="S628" s="14" t="s">
        <x:v>108</x:v>
      </x:c>
      <x:c r="T628" s="14" t="str">
        <x:v>Region D</x:v>
      </x:c>
      <x:c r="U628" s="28">
        <x:v>46080</x:v>
      </x:c>
      <x:c r="V628" s="30">
        <x:v>6</x:v>
      </x:c>
      <x:c r="W628" s="14" t="s">
        <x:v>109</x:v>
      </x:c>
      <x:c r="X628" s="14" t="s">
        <x:v>106</x:v>
      </x:c>
      <x:c r="Y628" s="32" t="str">
        <x:v>TRN-0627|20260221</x:v>
      </x:c>
      <x:c r="Z628" s="32" t="str" cm="1">
        <x:f t="array" ref="Z62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628" s="33" t="n">
        <x:f>--OR(WorkforceData[[#This Row],[Status]]="Active",WorkforceData[[#This Row],[Promoted]]="Yes",WorkforceData[[#This Row],[Total Days Worked]]&gt;=121)</x:f>
        <x:v>1</x:v>
      </x:c>
      <x:c r="AB628" s="33" t="n">
        <x:f>IF(AND(Q628="Terminated",R628="",O628=0),1,0)</x:f>
        <x:v>0</x:v>
      </x:c>
      <x:c r="AC628" s="33" t="n">
        <x:f>--OR(WorkforceData[[#This Row],[Status]]="Resigned",WorkforceData[[#This Row],[Status After Training]]="Withdrew")</x:f>
        <x:v>0</x:v>
      </x:c>
      <x:c r="AD628" s="34" t="n">
        <x:f>EOMONTH(WorkforceData[[#This Row],[Training Date]],0)</x:f>
        <x:v>46081</x:v>
      </x:c>
      <x:c r="AE628" s="32" t="str">
        <x:f>IF(M628&lt;H628,"Existing Employee",IF(U628="","No Assignment",IF(V628=0,"0 Days",IF(V628&lt;=7,"1-7 Days",IF(V628&lt;=14,"8-14 Days",IF(V628&lt;=21,"15-21 Days","21+ Days"))))))</x:f>
        <x:v>Existing Employee</x:v>
      </x:c>
      <x:c r="AF62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28" s="33" t="n">
        <x:f>--(WorkforceData[[#This Row],[Total Days Worked]]&gt;=121)</x:f>
        <x:v>1</x:v>
      </x:c>
    </x:row>
    <x:row r="629">
      <x:c r="A629" s="236" t="str">
        <x:v>TRN-0628</x:v>
      </x:c>
      <x:c r="B629" s="243"/>
      <x:c r="C629" s="243"/>
      <x:c r="D629" s="243"/>
      <x:c r="E629" s="243"/>
      <x:c r="F629" s="14" t="str">
        <x:v>Recruiter D</x:v>
      </x:c>
      <x:c r="G629" s="14" t="str">
        <x:v>Training Center B</x:v>
      </x:c>
      <x:c r="H629" s="28">
        <x:v>46074</x:v>
      </x:c>
      <x:c r="I629" s="14">
        <x:v>2026</x:v>
      </x:c>
      <x:c r="J629" s="14" t="s">
        <x:v>136</x:v>
      </x:c>
      <x:c r="K629" s="14">
        <x:v>24</x:v>
      </x:c>
      <x:c r="L629" s="29" t="s">
        <x:v>101</x:v>
      </x:c>
      <x:c r="M629" s="28">
        <x:v>46074</x:v>
      </x:c>
      <x:c r="N629" s="14"/>
      <x:c r="O629" s="14">
        <x:v>177</x:v>
      </x:c>
      <x:c r="P629" s="14" t="s">
        <x:v>113</x:v>
      </x:c>
      <x:c r="Q629" s="14" t="s">
        <x:v>25</x:v>
      </x:c>
      <x:c r="R629" s="14"/>
      <x:c r="S629" s="14" t="s">
        <x:v>105</x:v>
      </x:c>
      <x:c r="T629" s="14" t="str">
        <x:v>Region A</x:v>
      </x:c>
      <x:c r="U629" s="28">
        <x:v>46075</x:v>
      </x:c>
      <x:c r="V629" s="30">
        <x:v>1</x:v>
      </x:c>
      <x:c r="W629" s="14" t="s">
        <x:v>109</x:v>
      </x:c>
      <x:c r="X629" s="14" t="s">
        <x:v>106</x:v>
      </x:c>
      <x:c r="Y629" s="32" t="str">
        <x:v>TRN-0628|20260221</x:v>
      </x:c>
      <x:c r="Z629" s="32" t="str" cm="1">
        <x:f t="array" ref="Z62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629" s="33" t="n">
        <x:f>--OR(WorkforceData[[#This Row],[Status]]="Active",WorkforceData[[#This Row],[Promoted]]="Yes",WorkforceData[[#This Row],[Total Days Worked]]&gt;=121)</x:f>
        <x:v>1</x:v>
      </x:c>
      <x:c r="AB629" s="33" t="n">
        <x:f>IF(AND(Q629="Terminated",R629="",O629=0),1,0)</x:f>
        <x:v>0</x:v>
      </x:c>
      <x:c r="AC629" s="33" t="n">
        <x:f>--OR(WorkforceData[[#This Row],[Status]]="Resigned",WorkforceData[[#This Row],[Status After Training]]="Withdrew")</x:f>
        <x:v>0</x:v>
      </x:c>
      <x:c r="AD629" s="34" t="n">
        <x:f>EOMONTH(WorkforceData[[#This Row],[Training Date]],0)</x:f>
        <x:v>46081</x:v>
      </x:c>
      <x:c r="AE629" s="32" t="str">
        <x:f>IF(M629&lt;H629,"Existing Employee",IF(U629="","No Assignment",IF(V629=0,"0 Days",IF(V629&lt;=7,"1-7 Days",IF(V629&lt;=14,"8-14 Days",IF(V629&lt;=21,"15-21 Days","21+ Days"))))))</x:f>
        <x:v>1-7 Days</x:v>
      </x:c>
      <x:c r="AF62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29" s="33" t="n">
        <x:f>--(WorkforceData[[#This Row],[Total Days Worked]]&gt;=121)</x:f>
        <x:v>1</x:v>
      </x:c>
    </x:row>
    <x:row r="630">
      <x:c r="A630" s="236" t="str">
        <x:v>TRN-0629</x:v>
      </x:c>
      <x:c r="B630" s="243"/>
      <x:c r="C630" s="243"/>
      <x:c r="D630" s="243"/>
      <x:c r="E630" s="243"/>
      <x:c r="F630" s="14" t="str">
        <x:v>Recruiter C</x:v>
      </x:c>
      <x:c r="G630" s="14" t="str">
        <x:v>Training Center B</x:v>
      </x:c>
      <x:c r="H630" s="28">
        <x:v>46074</x:v>
      </x:c>
      <x:c r="I630" s="14">
        <x:v>2026</x:v>
      </x:c>
      <x:c r="J630" s="14" t="s">
        <x:v>136</x:v>
      </x:c>
      <x:c r="K630" s="14">
        <x:v>24</x:v>
      </x:c>
      <x:c r="L630" s="29" t="s">
        <x:v>101</x:v>
      </x:c>
      <x:c r="M630" s="28">
        <x:v>46071</x:v>
      </x:c>
      <x:c r="N630" s="28">
        <x:v>46137</x:v>
      </x:c>
      <x:c r="O630" s="14">
        <x:v>66</x:v>
      </x:c>
      <x:c r="P630" s="14" t="s">
        <x:v>110</x:v>
      </x:c>
      <x:c r="Q630" s="14" t="s">
        <x:v>103</x:v>
      </x:c>
      <x:c r="R630" s="14" t="s">
        <x:v>123</x:v>
      </x:c>
      <x:c r="S630" s="14" t="s">
        <x:v>105</x:v>
      </x:c>
      <x:c r="T630" s="14" t="str">
        <x:v>Region C</x:v>
      </x:c>
      <x:c r="U630" s="28">
        <x:v>46088</x:v>
      </x:c>
      <x:c r="V630" s="30">
        <x:v>14</x:v>
      </x:c>
      <x:c r="W630" s="14" t="s">
        <x:v>45</x:v>
      </x:c>
      <x:c r="X630" s="14" t="s">
        <x:v>106</x:v>
      </x:c>
      <x:c r="Y630" s="32" t="str">
        <x:v>TRN-0629|20260221</x:v>
      </x:c>
      <x:c r="Z630" s="32" t="str" cm="1">
        <x:f t="array" ref="Z63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630" s="33" t="n">
        <x:f>--OR(WorkforceData[[#This Row],[Status]]="Active",WorkforceData[[#This Row],[Promoted]]="Yes",WorkforceData[[#This Row],[Total Days Worked]]&gt;=121)</x:f>
        <x:v>0</x:v>
      </x:c>
      <x:c r="AB630" s="33" t="n">
        <x:f>IF(AND(Q630="Terminated",R630="",O630=0),1,0)</x:f>
        <x:v>0</x:v>
      </x:c>
      <x:c r="AC630" s="33" t="n">
        <x:f>--OR(WorkforceData[[#This Row],[Status]]="Resigned",WorkforceData[[#This Row],[Status After Training]]="Withdrew")</x:f>
        <x:v>1</x:v>
      </x:c>
      <x:c r="AD630" s="34" t="n">
        <x:f>EOMONTH(WorkforceData[[#This Row],[Training Date]],0)</x:f>
        <x:v>46081</x:v>
      </x:c>
      <x:c r="AE630" s="32" t="str">
        <x:f>IF(M630&lt;H630,"Existing Employee",IF(U630="","No Assignment",IF(V630=0,"0 Days",IF(V630&lt;=7,"1-7 Days",IF(V630&lt;=14,"8-14 Days",IF(V630&lt;=21,"15-21 Days","21+ Days"))))))</x:f>
        <x:v>Existing Employee</x:v>
      </x:c>
      <x:c r="AF63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61-90 Days</x:v>
      </x:c>
      <x:c r="AG630" s="33" t="n">
        <x:f>--(WorkforceData[[#This Row],[Total Days Worked]]&gt;=121)</x:f>
        <x:v>0</x:v>
      </x:c>
    </x:row>
    <x:row r="631">
      <x:c r="A631" s="236" t="str">
        <x:v>TRN-0630</x:v>
      </x:c>
      <x:c r="B631" s="243"/>
      <x:c r="C631" s="243"/>
      <x:c r="D631" s="243"/>
      <x:c r="E631" s="243"/>
      <x:c r="F631" s="14" t="str">
        <x:v>Recruiter C</x:v>
      </x:c>
      <x:c r="G631" s="14" t="str">
        <x:v>Training Center B</x:v>
      </x:c>
      <x:c r="H631" s="28">
        <x:v>46074</x:v>
      </x:c>
      <x:c r="I631" s="14">
        <x:v>2026</x:v>
      </x:c>
      <x:c r="J631" s="14" t="s">
        <x:v>136</x:v>
      </x:c>
      <x:c r="K631" s="14">
        <x:v>24</x:v>
      </x:c>
      <x:c r="L631" s="29" t="s">
        <x:v>101</x:v>
      </x:c>
      <x:c r="M631" s="28">
        <x:v>46074</x:v>
      </x:c>
      <x:c r="N631" s="14"/>
      <x:c r="O631" s="14">
        <x:v>177</x:v>
      </x:c>
      <x:c r="P631" s="14" t="s">
        <x:v>113</x:v>
      </x:c>
      <x:c r="Q631" s="14" t="s">
        <x:v>25</x:v>
      </x:c>
      <x:c r="R631" s="14"/>
      <x:c r="S631" s="14" t="s">
        <x:v>105</x:v>
      </x:c>
      <x:c r="T631" s="14" t="str">
        <x:v>Region A</x:v>
      </x:c>
      <x:c r="U631" s="28">
        <x:v>46081</x:v>
      </x:c>
      <x:c r="V631" s="30">
        <x:v>7</x:v>
      </x:c>
      <x:c r="W631" s="14" t="s">
        <x:v>109</x:v>
      </x:c>
      <x:c r="X631" s="14" t="s">
        <x:v>106</x:v>
      </x:c>
      <x:c r="Y631" s="32" t="str">
        <x:v>TRN-0630|20260221</x:v>
      </x:c>
      <x:c r="Z631" s="32" t="str" cm="1">
        <x:f t="array" ref="Z63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631" s="33" t="n">
        <x:f>--OR(WorkforceData[[#This Row],[Status]]="Active",WorkforceData[[#This Row],[Promoted]]="Yes",WorkforceData[[#This Row],[Total Days Worked]]&gt;=121)</x:f>
        <x:v>1</x:v>
      </x:c>
      <x:c r="AB631" s="33" t="n">
        <x:f>IF(AND(Q631="Terminated",R631="",O631=0),1,0)</x:f>
        <x:v>0</x:v>
      </x:c>
      <x:c r="AC631" s="33" t="n">
        <x:f>--OR(WorkforceData[[#This Row],[Status]]="Resigned",WorkforceData[[#This Row],[Status After Training]]="Withdrew")</x:f>
        <x:v>0</x:v>
      </x:c>
      <x:c r="AD631" s="34" t="n">
        <x:f>EOMONTH(WorkforceData[[#This Row],[Training Date]],0)</x:f>
        <x:v>46081</x:v>
      </x:c>
      <x:c r="AE631" s="32" t="str">
        <x:f>IF(M631&lt;H631,"Existing Employee",IF(U631="","No Assignment",IF(V631=0,"0 Days",IF(V631&lt;=7,"1-7 Days",IF(V631&lt;=14,"8-14 Days",IF(V631&lt;=21,"15-21 Days","21+ Days"))))))</x:f>
        <x:v>1-7 Days</x:v>
      </x:c>
      <x:c r="AF63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31" s="33" t="n">
        <x:f>--(WorkforceData[[#This Row],[Total Days Worked]]&gt;=121)</x:f>
        <x:v>1</x:v>
      </x:c>
    </x:row>
    <x:row r="632">
      <x:c r="A632" s="236" t="str">
        <x:v>TRN-0631</x:v>
      </x:c>
      <x:c r="B632" s="243"/>
      <x:c r="C632" s="243"/>
      <x:c r="D632" s="243"/>
      <x:c r="E632" s="243"/>
      <x:c r="F632" s="14" t="str">
        <x:v>Recruiter A</x:v>
      </x:c>
      <x:c r="G632" s="14" t="str">
        <x:v>Training Center B</x:v>
      </x:c>
      <x:c r="H632" s="28">
        <x:v>46074</x:v>
      </x:c>
      <x:c r="I632" s="14">
        <x:v>2026</x:v>
      </x:c>
      <x:c r="J632" s="14" t="s">
        <x:v>136</x:v>
      </x:c>
      <x:c r="K632" s="14">
        <x:v>24</x:v>
      </x:c>
      <x:c r="L632" s="29" t="s">
        <x:v>101</x:v>
      </x:c>
      <x:c r="M632" s="28">
        <x:v>46074</x:v>
      </x:c>
      <x:c r="N632" s="14"/>
      <x:c r="O632" s="14">
        <x:v>177</x:v>
      </x:c>
      <x:c r="P632" s="14" t="s">
        <x:v>113</x:v>
      </x:c>
      <x:c r="Q632" s="14" t="s">
        <x:v>25</x:v>
      </x:c>
      <x:c r="R632" s="14"/>
      <x:c r="S632" s="14" t="s">
        <x:v>105</x:v>
      </x:c>
      <x:c r="T632" s="14" t="str">
        <x:v>Region E</x:v>
      </x:c>
      <x:c r="U632" s="28">
        <x:v>46075</x:v>
      </x:c>
      <x:c r="V632" s="30">
        <x:v>1</x:v>
      </x:c>
      <x:c r="W632" s="14" t="s">
        <x:v>109</x:v>
      </x:c>
      <x:c r="X632" s="14" t="s">
        <x:v>106</x:v>
      </x:c>
      <x:c r="Y632" s="32" t="str">
        <x:v>TRN-0631|20260221</x:v>
      </x:c>
      <x:c r="Z632" s="32" t="str" cm="1">
        <x:f t="array" ref="Z63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632" s="33" t="n">
        <x:f>--OR(WorkforceData[[#This Row],[Status]]="Active",WorkforceData[[#This Row],[Promoted]]="Yes",WorkforceData[[#This Row],[Total Days Worked]]&gt;=121)</x:f>
        <x:v>1</x:v>
      </x:c>
      <x:c r="AB632" s="33" t="n">
        <x:f>IF(AND(Q632="Terminated",R632="",O632=0),1,0)</x:f>
        <x:v>0</x:v>
      </x:c>
      <x:c r="AC632" s="33" t="n">
        <x:f>--OR(WorkforceData[[#This Row],[Status]]="Resigned",WorkforceData[[#This Row],[Status After Training]]="Withdrew")</x:f>
        <x:v>0</x:v>
      </x:c>
      <x:c r="AD632" s="34" t="n">
        <x:f>EOMONTH(WorkforceData[[#This Row],[Training Date]],0)</x:f>
        <x:v>46081</x:v>
      </x:c>
      <x:c r="AE632" s="32" t="str">
        <x:f>IF(M632&lt;H632,"Existing Employee",IF(U632="","No Assignment",IF(V632=0,"0 Days",IF(V632&lt;=7,"1-7 Days",IF(V632&lt;=14,"8-14 Days",IF(V632&lt;=21,"15-21 Days","21+ Days"))))))</x:f>
        <x:v>1-7 Days</x:v>
      </x:c>
      <x:c r="AF63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32" s="33" t="n">
        <x:f>--(WorkforceData[[#This Row],[Total Days Worked]]&gt;=121)</x:f>
        <x:v>1</x:v>
      </x:c>
    </x:row>
    <x:row r="633">
      <x:c r="A633" s="236" t="str">
        <x:v>TRN-0632</x:v>
      </x:c>
      <x:c r="B633" s="243"/>
      <x:c r="C633" s="243"/>
      <x:c r="D633" s="243"/>
      <x:c r="E633" s="243"/>
      <x:c r="F633" s="14" t="str">
        <x:v>Recruiter G</x:v>
      </x:c>
      <x:c r="G633" s="14" t="str">
        <x:v>Training Center B</x:v>
      </x:c>
      <x:c r="H633" s="28">
        <x:v>46074</x:v>
      </x:c>
      <x:c r="I633" s="14">
        <x:v>2026</x:v>
      </x:c>
      <x:c r="J633" s="14" t="s">
        <x:v>136</x:v>
      </x:c>
      <x:c r="K633" s="14">
        <x:v>24</x:v>
      </x:c>
      <x:c r="L633" s="29" t="s">
        <x:v>101</x:v>
      </x:c>
      <x:c r="M633" s="28">
        <x:v>46073</x:v>
      </x:c>
      <x:c r="N633" s="28">
        <x:v>46251</x:v>
      </x:c>
      <x:c r="O633" s="14">
        <x:v>178</x:v>
      </x:c>
      <x:c r="P633" s="14" t="s">
        <x:v>113</x:v>
      </x:c>
      <x:c r="Q633" s="14" t="s">
        <x:v>103</x:v>
      </x:c>
      <x:c r="R633" s="14" t="s">
        <x:v>104</x:v>
      </x:c>
      <x:c r="S633" s="14" t="s">
        <x:v>105</x:v>
      </x:c>
      <x:c r="T633" s="14" t="str">
        <x:v>Region D</x:v>
      </x:c>
      <x:c r="U633" s="28">
        <x:v>46099</x:v>
      </x:c>
      <x:c r="V633" s="30">
        <x:v>25</x:v>
      </x:c>
      <x:c r="W633" s="14" t="s">
        <x:v>112</x:v>
      </x:c>
      <x:c r="X633" s="14" t="s">
        <x:v>106</x:v>
      </x:c>
      <x:c r="Y633" s="32" t="str">
        <x:v>TRN-0632|20260221</x:v>
      </x:c>
      <x:c r="Z633" s="32" t="str" cm="1">
        <x:f t="array" ref="Z63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Complete</x:v>
      </x:c>
      <x:c r="AA633" s="33" t="n">
        <x:f>--OR(WorkforceData[[#This Row],[Status]]="Active",WorkforceData[[#This Row],[Promoted]]="Yes",WorkforceData[[#This Row],[Total Days Worked]]&gt;=121)</x:f>
        <x:v>1</x:v>
      </x:c>
      <x:c r="AB633" s="33" t="n">
        <x:f>IF(AND(Q633="Terminated",R633="",O633=0),1,0)</x:f>
        <x:v>0</x:v>
      </x:c>
      <x:c r="AC633" s="33" t="n">
        <x:f>--OR(WorkforceData[[#This Row],[Status]]="Resigned",WorkforceData[[#This Row],[Status After Training]]="Withdrew")</x:f>
        <x:v>1</x:v>
      </x:c>
      <x:c r="AD633" s="34" t="n">
        <x:f>EOMONTH(WorkforceData[[#This Row],[Training Date]],0)</x:f>
        <x:v>46081</x:v>
      </x:c>
      <x:c r="AE633" s="32" t="str">
        <x:f>IF(M633&lt;H633,"Existing Employee",IF(U633="","No Assignment",IF(V633=0,"0 Days",IF(V633&lt;=7,"1-7 Days",IF(V633&lt;=14,"8-14 Days",IF(V633&lt;=21,"15-21 Days","21+ Days"))))))</x:f>
        <x:v>Existing Employee</x:v>
      </x:c>
      <x:c r="AF63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33" s="33" t="n">
        <x:f>--(WorkforceData[[#This Row],[Total Days Worked]]&gt;=121)</x:f>
        <x:v>1</x:v>
      </x:c>
    </x:row>
    <x:row r="634">
      <x:c r="A634" s="236" t="str">
        <x:v>TRN-0633</x:v>
      </x:c>
      <x:c r="B634" s="243"/>
      <x:c r="C634" s="243"/>
      <x:c r="D634" s="243"/>
      <x:c r="E634" s="243"/>
      <x:c r="F634" s="14" t="str">
        <x:v>Recruiter H</x:v>
      </x:c>
      <x:c r="G634" s="14" t="str">
        <x:v>Training Center B</x:v>
      </x:c>
      <x:c r="H634" s="28">
        <x:v>46074</x:v>
      </x:c>
      <x:c r="I634" s="14">
        <x:v>2026</x:v>
      </x:c>
      <x:c r="J634" s="14" t="s">
        <x:v>136</x:v>
      </x:c>
      <x:c r="K634" s="14">
        <x:v>24</x:v>
      </x:c>
      <x:c r="L634" s="29" t="s">
        <x:v>101</x:v>
      </x:c>
      <x:c r="M634" s="28">
        <x:v>46071</x:v>
      </x:c>
      <x:c r="N634" s="14"/>
      <x:c r="O634" s="14">
        <x:v>180</x:v>
      </x:c>
      <x:c r="P634" s="14" t="s">
        <x:v>113</x:v>
      </x:c>
      <x:c r="Q634" s="14" t="s">
        <x:v>25</x:v>
      </x:c>
      <x:c r="R634" s="14"/>
      <x:c r="S634" s="14" t="s">
        <x:v>105</x:v>
      </x:c>
      <x:c r="T634" s="14"/>
      <x:c r="U634" s="28"/>
      <x:c r="V634" s="30"/>
      <x:c r="W634" s="14"/>
      <x:c r="X634" s="14" t="s">
        <x:v>71</x:v>
      </x:c>
      <x:c r="Y634" s="32" t="str">
        <x:v>TRN-0633|20260221</x:v>
      </x:c>
      <x:c r="Z634" s="32" t="str" cm="1">
        <x:f t="array" ref="Z63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634" s="33" t="n">
        <x:f>--OR(WorkforceData[[#This Row],[Status]]="Active",WorkforceData[[#This Row],[Promoted]]="Yes",WorkforceData[[#This Row],[Total Days Worked]]&gt;=121)</x:f>
        <x:v>1</x:v>
      </x:c>
      <x:c r="AB634" s="33" t="n">
        <x:f>IF(AND(Q634="Terminated",R634="",O634=0),1,0)</x:f>
        <x:v>0</x:v>
      </x:c>
      <x:c r="AC634" s="33" t="n">
        <x:f>--OR(WorkforceData[[#This Row],[Status]]="Resigned",WorkforceData[[#This Row],[Status After Training]]="Withdrew")</x:f>
        <x:v>0</x:v>
      </x:c>
      <x:c r="AD634" s="34" t="n">
        <x:f>EOMONTH(WorkforceData[[#This Row],[Training Date]],0)</x:f>
        <x:v>46081</x:v>
      </x:c>
      <x:c r="AE634" s="32" t="str">
        <x:f>IF(M634&lt;H634,"Existing Employee",IF(U634="","No Assignment",IF(V634=0,"0 Days",IF(V634&lt;=7,"1-7 Days",IF(V634&lt;=14,"8-14 Days",IF(V634&lt;=21,"15-21 Days","21+ Days"))))))</x:f>
        <x:v>Existing Employee</x:v>
      </x:c>
      <x:c r="AF63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34" s="33" t="n">
        <x:f>--(WorkforceData[[#This Row],[Total Days Worked]]&gt;=121)</x:f>
        <x:v>1</x:v>
      </x:c>
    </x:row>
    <x:row r="635">
      <x:c r="A635" s="236" t="str">
        <x:v>TRN-0634</x:v>
      </x:c>
      <x:c r="B635" s="243"/>
      <x:c r="C635" s="243"/>
      <x:c r="D635" s="243"/>
      <x:c r="E635" s="243"/>
      <x:c r="F635" s="14" t="str">
        <x:v>Recruiter H</x:v>
      </x:c>
      <x:c r="G635" s="14" t="str">
        <x:v>Training Center B</x:v>
      </x:c>
      <x:c r="H635" s="28">
        <x:v>46074</x:v>
      </x:c>
      <x:c r="I635" s="14">
        <x:v>2026</x:v>
      </x:c>
      <x:c r="J635" s="14" t="s">
        <x:v>136</x:v>
      </x:c>
      <x:c r="K635" s="14">
        <x:v>24</x:v>
      </x:c>
      <x:c r="L635" s="29" t="s">
        <x:v>101</x:v>
      </x:c>
      <x:c r="M635" s="28">
        <x:v>46074</x:v>
      </x:c>
      <x:c r="N635" s="14"/>
      <x:c r="O635" s="14">
        <x:v>177</x:v>
      </x:c>
      <x:c r="P635" s="14" t="s">
        <x:v>113</x:v>
      </x:c>
      <x:c r="Q635" s="14" t="s">
        <x:v>25</x:v>
      </x:c>
      <x:c r="R635" s="14"/>
      <x:c r="S635" s="14" t="s">
        <x:v>105</x:v>
      </x:c>
      <x:c r="T635" s="14" t="str">
        <x:v>Region A</x:v>
      </x:c>
      <x:c r="U635" s="28">
        <x:v>46104</x:v>
      </x:c>
      <x:c r="V635" s="30">
        <x:v>30</x:v>
      </x:c>
      <x:c r="W635" s="14" t="s">
        <x:v>112</x:v>
      </x:c>
      <x:c r="X635" s="14" t="s">
        <x:v>106</x:v>
      </x:c>
      <x:c r="Y635" s="32" t="str">
        <x:v>TRN-0634|20260221</x:v>
      </x:c>
      <x:c r="Z635" s="32" t="str" cm="1">
        <x:f t="array" ref="Z63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635" s="33" t="n">
        <x:f>--OR(WorkforceData[[#This Row],[Status]]="Active",WorkforceData[[#This Row],[Promoted]]="Yes",WorkforceData[[#This Row],[Total Days Worked]]&gt;=121)</x:f>
        <x:v>1</x:v>
      </x:c>
      <x:c r="AB635" s="33" t="n">
        <x:f>IF(AND(Q635="Terminated",R635="",O635=0),1,0)</x:f>
        <x:v>0</x:v>
      </x:c>
      <x:c r="AC635" s="33" t="n">
        <x:f>--OR(WorkforceData[[#This Row],[Status]]="Resigned",WorkforceData[[#This Row],[Status After Training]]="Withdrew")</x:f>
        <x:v>0</x:v>
      </x:c>
      <x:c r="AD635" s="34" t="n">
        <x:f>EOMONTH(WorkforceData[[#This Row],[Training Date]],0)</x:f>
        <x:v>46081</x:v>
      </x:c>
      <x:c r="AE635" s="32" t="str">
        <x:f>IF(M635&lt;H635,"Existing Employee",IF(U635="","No Assignment",IF(V635=0,"0 Days",IF(V635&lt;=7,"1-7 Days",IF(V635&lt;=14,"8-14 Days",IF(V635&lt;=21,"15-21 Days","21+ Days"))))))</x:f>
        <x:v>21+ Days</x:v>
      </x:c>
      <x:c r="AF63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35" s="33" t="n">
        <x:f>--(WorkforceData[[#This Row],[Total Days Worked]]&gt;=121)</x:f>
        <x:v>1</x:v>
      </x:c>
    </x:row>
    <x:row r="636">
      <x:c r="A636" s="236" t="str">
        <x:v>TRN-0635</x:v>
      </x:c>
      <x:c r="B636" s="243"/>
      <x:c r="C636" s="243"/>
      <x:c r="D636" s="243"/>
      <x:c r="E636" s="243"/>
      <x:c r="F636" s="14" t="str">
        <x:v>Recruiter A</x:v>
      </x:c>
      <x:c r="G636" s="14" t="str">
        <x:v>Training Center B</x:v>
      </x:c>
      <x:c r="H636" s="28">
        <x:v>46074</x:v>
      </x:c>
      <x:c r="I636" s="14">
        <x:v>2026</x:v>
      </x:c>
      <x:c r="J636" s="14" t="s">
        <x:v>136</x:v>
      </x:c>
      <x:c r="K636" s="14">
        <x:v>24</x:v>
      </x:c>
      <x:c r="L636" s="29" t="s">
        <x:v>101</x:v>
      </x:c>
      <x:c r="M636" s="28">
        <x:v>46067</x:v>
      </x:c>
      <x:c r="N636" s="14"/>
      <x:c r="O636" s="14">
        <x:v>184</x:v>
      </x:c>
      <x:c r="P636" s="14" t="s">
        <x:v>107</x:v>
      </x:c>
      <x:c r="Q636" s="14" t="s">
        <x:v>25</x:v>
      </x:c>
      <x:c r="R636" s="14"/>
      <x:c r="S636" s="14" t="s">
        <x:v>108</x:v>
      </x:c>
      <x:c r="T636" s="14" t="str">
        <x:v>Region A</x:v>
      </x:c>
      <x:c r="U636" s="28">
        <x:v>46079</x:v>
      </x:c>
      <x:c r="V636" s="30">
        <x:v>5</x:v>
      </x:c>
      <x:c r="W636" s="14" t="s">
        <x:v>109</x:v>
      </x:c>
      <x:c r="X636" s="14" t="s">
        <x:v>106</x:v>
      </x:c>
      <x:c r="Y636" s="32" t="str">
        <x:v>TRN-0635|20260221</x:v>
      </x:c>
      <x:c r="Z636" s="32" t="str" cm="1">
        <x:f t="array" ref="Z63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636" s="33" t="n">
        <x:f>--OR(WorkforceData[[#This Row],[Status]]="Active",WorkforceData[[#This Row],[Promoted]]="Yes",WorkforceData[[#This Row],[Total Days Worked]]&gt;=121)</x:f>
        <x:v>1</x:v>
      </x:c>
      <x:c r="AB636" s="33" t="n">
        <x:f>IF(AND(Q636="Terminated",R636="",O636=0),1,0)</x:f>
        <x:v>0</x:v>
      </x:c>
      <x:c r="AC636" s="33" t="n">
        <x:f>--OR(WorkforceData[[#This Row],[Status]]="Resigned",WorkforceData[[#This Row],[Status After Training]]="Withdrew")</x:f>
        <x:v>0</x:v>
      </x:c>
      <x:c r="AD636" s="34" t="n">
        <x:f>EOMONTH(WorkforceData[[#This Row],[Training Date]],0)</x:f>
        <x:v>46081</x:v>
      </x:c>
      <x:c r="AE636" s="32" t="str">
        <x:f>IF(M636&lt;H636,"Existing Employee",IF(U636="","No Assignment",IF(V636=0,"0 Days",IF(V636&lt;=7,"1-7 Days",IF(V636&lt;=14,"8-14 Days",IF(V636&lt;=21,"15-21 Days","21+ Days"))))))</x:f>
        <x:v>Existing Employee</x:v>
      </x:c>
      <x:c r="AF63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36" s="33" t="n">
        <x:f>--(WorkforceData[[#This Row],[Total Days Worked]]&gt;=121)</x:f>
        <x:v>1</x:v>
      </x:c>
    </x:row>
    <x:row r="637">
      <x:c r="A637" s="236" t="str">
        <x:v>TRN-0636</x:v>
      </x:c>
      <x:c r="B637" s="243"/>
      <x:c r="C637" s="243"/>
      <x:c r="D637" s="243"/>
      <x:c r="E637" s="243"/>
      <x:c r="F637" s="14" t="str">
        <x:v>Recruiter B</x:v>
      </x:c>
      <x:c r="G637" s="14" t="str">
        <x:v>Training Center B</x:v>
      </x:c>
      <x:c r="H637" s="28">
        <x:v>46074</x:v>
      </x:c>
      <x:c r="I637" s="14">
        <x:v>2026</x:v>
      </x:c>
      <x:c r="J637" s="14" t="s">
        <x:v>136</x:v>
      </x:c>
      <x:c r="K637" s="14">
        <x:v>24</x:v>
      </x:c>
      <x:c r="L637" s="29" t="s">
        <x:v>101</x:v>
      </x:c>
      <x:c r="M637" s="28">
        <x:v>46067</x:v>
      </x:c>
      <x:c r="N637" s="14"/>
      <x:c r="O637" s="14">
        <x:v>184</x:v>
      </x:c>
      <x:c r="P637" s="14" t="s">
        <x:v>107</x:v>
      </x:c>
      <x:c r="Q637" s="14" t="s">
        <x:v>38</x:v>
      </x:c>
      <x:c r="R637" s="14"/>
      <x:c r="S637" s="14" t="s">
        <x:v>108</x:v>
      </x:c>
      <x:c r="T637" s="14" t="str">
        <x:v>Region B</x:v>
      </x:c>
      <x:c r="U637" s="28">
        <x:v>46089</x:v>
      </x:c>
      <x:c r="V637" s="30">
        <x:v>15</x:v>
      </x:c>
      <x:c r="W637" s="14" t="s">
        <x:v>112</x:v>
      </x:c>
      <x:c r="X637" s="14" t="s">
        <x:v>125</x:v>
      </x:c>
      <x:c r="Y637" s="32" t="str">
        <x:v>TRN-0636|20260221</x:v>
      </x:c>
      <x:c r="Z637" s="32" t="str" cm="1">
        <x:f t="array" ref="Z63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637" s="33" t="n">
        <x:f>--OR(WorkforceData[[#This Row],[Status]]="Active",WorkforceData[[#This Row],[Promoted]]="Yes",WorkforceData[[#This Row],[Total Days Worked]]&gt;=121)</x:f>
        <x:v>1</x:v>
      </x:c>
      <x:c r="AB637" s="33" t="n">
        <x:f>IF(AND(Q637="Terminated",R637="",O637=0),1,0)</x:f>
        <x:v>0</x:v>
      </x:c>
      <x:c r="AC637" s="33" t="n">
        <x:f>--OR(WorkforceData[[#This Row],[Status]]="Resigned",WorkforceData[[#This Row],[Status After Training]]="Withdrew")</x:f>
        <x:v>0</x:v>
      </x:c>
      <x:c r="AD637" s="34" t="n">
        <x:f>EOMONTH(WorkforceData[[#This Row],[Training Date]],0)</x:f>
        <x:v>46081</x:v>
      </x:c>
      <x:c r="AE637" s="32" t="str">
        <x:f>IF(M637&lt;H637,"Existing Employee",IF(U637="","No Assignment",IF(V637=0,"0 Days",IF(V637&lt;=7,"1-7 Days",IF(V637&lt;=14,"8-14 Days",IF(V637&lt;=21,"15-21 Days","21+ Days"))))))</x:f>
        <x:v>Existing Employee</x:v>
      </x:c>
      <x:c r="AF63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37" s="33" t="n">
        <x:f>--(WorkforceData[[#This Row],[Total Days Worked]]&gt;=121)</x:f>
        <x:v>1</x:v>
      </x:c>
    </x:row>
    <x:row r="638">
      <x:c r="A638" s="236" t="str">
        <x:v>TRN-0637</x:v>
      </x:c>
      <x:c r="B638" s="243"/>
      <x:c r="C638" s="243"/>
      <x:c r="D638" s="243"/>
      <x:c r="E638" s="243"/>
      <x:c r="F638" s="14" t="str">
        <x:v>Recruiter D</x:v>
      </x:c>
      <x:c r="G638" s="14" t="str">
        <x:v>Training Center B</x:v>
      </x:c>
      <x:c r="H638" s="28">
        <x:v>46074</x:v>
      </x:c>
      <x:c r="I638" s="14">
        <x:v>2026</x:v>
      </x:c>
      <x:c r="J638" s="14" t="s">
        <x:v>136</x:v>
      </x:c>
      <x:c r="K638" s="14">
        <x:v>24</x:v>
      </x:c>
      <x:c r="L638" s="29" t="s">
        <x:v>101</x:v>
      </x:c>
      <x:c r="M638" s="28">
        <x:v>46074</x:v>
      </x:c>
      <x:c r="N638" s="14"/>
      <x:c r="O638" s="14">
        <x:v>177</x:v>
      </x:c>
      <x:c r="P638" s="14" t="s">
        <x:v>113</x:v>
      </x:c>
      <x:c r="Q638" s="14" t="s">
        <x:v>25</x:v>
      </x:c>
      <x:c r="R638" s="14"/>
      <x:c r="S638" s="14" t="s">
        <x:v>105</x:v>
      </x:c>
      <x:c r="T638" s="14" t="str">
        <x:v>Region E</x:v>
      </x:c>
      <x:c r="U638" s="28">
        <x:v>46078</x:v>
      </x:c>
      <x:c r="V638" s="30">
        <x:v>4</x:v>
      </x:c>
      <x:c r="W638" s="14" t="s">
        <x:v>109</x:v>
      </x:c>
      <x:c r="X638" s="14" t="s">
        <x:v>106</x:v>
      </x:c>
      <x:c r="Y638" s="32" t="str">
        <x:v>TRN-0637|20260221</x:v>
      </x:c>
      <x:c r="Z638" s="32" t="str" cm="1">
        <x:f t="array" ref="Z63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638" s="33" t="n">
        <x:f>--OR(WorkforceData[[#This Row],[Status]]="Active",WorkforceData[[#This Row],[Promoted]]="Yes",WorkforceData[[#This Row],[Total Days Worked]]&gt;=121)</x:f>
        <x:v>1</x:v>
      </x:c>
      <x:c r="AB638" s="33" t="n">
        <x:f>IF(AND(Q638="Terminated",R638="",O638=0),1,0)</x:f>
        <x:v>0</x:v>
      </x:c>
      <x:c r="AC638" s="33" t="n">
        <x:f>--OR(WorkforceData[[#This Row],[Status]]="Resigned",WorkforceData[[#This Row],[Status After Training]]="Withdrew")</x:f>
        <x:v>0</x:v>
      </x:c>
      <x:c r="AD638" s="34" t="n">
        <x:f>EOMONTH(WorkforceData[[#This Row],[Training Date]],0)</x:f>
        <x:v>46081</x:v>
      </x:c>
      <x:c r="AE638" s="32" t="str">
        <x:f>IF(M638&lt;H638,"Existing Employee",IF(U638="","No Assignment",IF(V638=0,"0 Days",IF(V638&lt;=7,"1-7 Days",IF(V638&lt;=14,"8-14 Days",IF(V638&lt;=21,"15-21 Days","21+ Days"))))))</x:f>
        <x:v>1-7 Days</x:v>
      </x:c>
      <x:c r="AF63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38" s="33" t="n">
        <x:f>--(WorkforceData[[#This Row],[Total Days Worked]]&gt;=121)</x:f>
        <x:v>1</x:v>
      </x:c>
    </x:row>
    <x:row r="639">
      <x:c r="A639" s="236" t="str">
        <x:v>TRN-0638</x:v>
      </x:c>
      <x:c r="B639" s="243"/>
      <x:c r="C639" s="243"/>
      <x:c r="D639" s="243"/>
      <x:c r="E639" s="243"/>
      <x:c r="F639" s="14" t="str">
        <x:v>Recruiter A</x:v>
      </x:c>
      <x:c r="G639" s="14" t="str">
        <x:v>Training Center B</x:v>
      </x:c>
      <x:c r="H639" s="28">
        <x:v>46074</x:v>
      </x:c>
      <x:c r="I639" s="14">
        <x:v>2026</x:v>
      </x:c>
      <x:c r="J639" s="14" t="s">
        <x:v>136</x:v>
      </x:c>
      <x:c r="K639" s="14">
        <x:v>24</x:v>
      </x:c>
      <x:c r="L639" s="29" t="s">
        <x:v>101</x:v>
      </x:c>
      <x:c r="M639" s="28">
        <x:v>46073</x:v>
      </x:c>
      <x:c r="N639" s="14"/>
      <x:c r="O639" s="14">
        <x:v>178</x:v>
      </x:c>
      <x:c r="P639" s="14" t="s">
        <x:v>113</x:v>
      </x:c>
      <x:c r="Q639" s="14" t="s">
        <x:v>25</x:v>
      </x:c>
      <x:c r="R639" s="14"/>
      <x:c r="S639" s="14" t="s">
        <x:v>105</x:v>
      </x:c>
      <x:c r="T639" s="14" t="str">
        <x:v>Region D</x:v>
      </x:c>
      <x:c r="U639" s="28">
        <x:v>46097</x:v>
      </x:c>
      <x:c r="V639" s="30">
        <x:v>23</x:v>
      </x:c>
      <x:c r="W639" s="14" t="s">
        <x:v>112</x:v>
      </x:c>
      <x:c r="X639" s="14" t="s">
        <x:v>106</x:v>
      </x:c>
      <x:c r="Y639" s="32" t="str">
        <x:v>TRN-0638|20260221</x:v>
      </x:c>
      <x:c r="Z639" s="32" t="str" cm="1">
        <x:f t="array" ref="Z63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639" s="33" t="n">
        <x:f>--OR(WorkforceData[[#This Row],[Status]]="Active",WorkforceData[[#This Row],[Promoted]]="Yes",WorkforceData[[#This Row],[Total Days Worked]]&gt;=121)</x:f>
        <x:v>1</x:v>
      </x:c>
      <x:c r="AB639" s="33" t="n">
        <x:f>IF(AND(Q639="Terminated",R639="",O639=0),1,0)</x:f>
        <x:v>0</x:v>
      </x:c>
      <x:c r="AC639" s="33" t="n">
        <x:f>--OR(WorkforceData[[#This Row],[Status]]="Resigned",WorkforceData[[#This Row],[Status After Training]]="Withdrew")</x:f>
        <x:v>0</x:v>
      </x:c>
      <x:c r="AD639" s="34" t="n">
        <x:f>EOMONTH(WorkforceData[[#This Row],[Training Date]],0)</x:f>
        <x:v>46081</x:v>
      </x:c>
      <x:c r="AE639" s="32" t="str">
        <x:f>IF(M639&lt;H639,"Existing Employee",IF(U639="","No Assignment",IF(V639=0,"0 Days",IF(V639&lt;=7,"1-7 Days",IF(V639&lt;=14,"8-14 Days",IF(V639&lt;=21,"15-21 Days","21+ Days"))))))</x:f>
        <x:v>Existing Employee</x:v>
      </x:c>
      <x:c r="AF63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39" s="33" t="n">
        <x:f>--(WorkforceData[[#This Row],[Total Days Worked]]&gt;=121)</x:f>
        <x:v>1</x:v>
      </x:c>
    </x:row>
    <x:row r="640">
      <x:c r="A640" s="236" t="str">
        <x:v>TRN-0639</x:v>
      </x:c>
      <x:c r="B640" s="243"/>
      <x:c r="C640" s="243"/>
      <x:c r="D640" s="243"/>
      <x:c r="E640" s="243"/>
      <x:c r="F640" s="14" t="str">
        <x:v>Recruiter B</x:v>
      </x:c>
      <x:c r="G640" s="14" t="str">
        <x:v>Training Center B</x:v>
      </x:c>
      <x:c r="H640" s="28">
        <x:v>46074</x:v>
      </x:c>
      <x:c r="I640" s="14">
        <x:v>2026</x:v>
      </x:c>
      <x:c r="J640" s="14" t="s">
        <x:v>136</x:v>
      </x:c>
      <x:c r="K640" s="14">
        <x:v>24</x:v>
      </x:c>
      <x:c r="L640" s="29" t="s">
        <x:v>101</x:v>
      </x:c>
      <x:c r="M640" s="28">
        <x:v>46074</x:v>
      </x:c>
      <x:c r="N640" s="14"/>
      <x:c r="O640" s="14">
        <x:v>177</x:v>
      </x:c>
      <x:c r="P640" s="14" t="s">
        <x:v>113</x:v>
      </x:c>
      <x:c r="Q640" s="14" t="s">
        <x:v>25</x:v>
      </x:c>
      <x:c r="R640" s="14"/>
      <x:c r="S640" s="14" t="s">
        <x:v>105</x:v>
      </x:c>
      <x:c r="T640" s="14" t="str">
        <x:v>Region C</x:v>
      </x:c>
      <x:c r="U640" s="28">
        <x:v>46096</x:v>
      </x:c>
      <x:c r="V640" s="30">
        <x:v>22</x:v>
      </x:c>
      <x:c r="W640" s="14" t="s">
        <x:v>112</x:v>
      </x:c>
      <x:c r="X640" s="14" t="s">
        <x:v>106</x:v>
      </x:c>
      <x:c r="Y640" s="32" t="str">
        <x:v>TRN-0639|20260221</x:v>
      </x:c>
      <x:c r="Z640" s="32" t="str" cm="1">
        <x:f t="array" ref="Z64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640" s="33" t="n">
        <x:f>--OR(WorkforceData[[#This Row],[Status]]="Active",WorkforceData[[#This Row],[Promoted]]="Yes",WorkforceData[[#This Row],[Total Days Worked]]&gt;=121)</x:f>
        <x:v>1</x:v>
      </x:c>
      <x:c r="AB640" s="33" t="n">
        <x:f>IF(AND(Q640="Terminated",R640="",O640=0),1,0)</x:f>
        <x:v>0</x:v>
      </x:c>
      <x:c r="AC640" s="33" t="n">
        <x:f>--OR(WorkforceData[[#This Row],[Status]]="Resigned",WorkforceData[[#This Row],[Status After Training]]="Withdrew")</x:f>
        <x:v>0</x:v>
      </x:c>
      <x:c r="AD640" s="34" t="n">
        <x:f>EOMONTH(WorkforceData[[#This Row],[Training Date]],0)</x:f>
        <x:v>46081</x:v>
      </x:c>
      <x:c r="AE640" s="32" t="str">
        <x:f>IF(M640&lt;H640,"Existing Employee",IF(U640="","No Assignment",IF(V640=0,"0 Days",IF(V640&lt;=7,"1-7 Days",IF(V640&lt;=14,"8-14 Days",IF(V640&lt;=21,"15-21 Days","21+ Days"))))))</x:f>
        <x:v>21+ Days</x:v>
      </x:c>
      <x:c r="AF64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40" s="33" t="n">
        <x:f>--(WorkforceData[[#This Row],[Total Days Worked]]&gt;=121)</x:f>
        <x:v>1</x:v>
      </x:c>
    </x:row>
    <x:row r="641">
      <x:c r="A641" s="236" t="str">
        <x:v>TRN-0640</x:v>
      </x:c>
      <x:c r="B641" s="243"/>
      <x:c r="C641" s="243"/>
      <x:c r="D641" s="243"/>
      <x:c r="E641" s="243"/>
      <x:c r="F641" s="14" t="str">
        <x:v>Recruiter E</x:v>
      </x:c>
      <x:c r="G641" s="14" t="str">
        <x:v>Training Center B</x:v>
      </x:c>
      <x:c r="H641" s="28">
        <x:v>46074</x:v>
      </x:c>
      <x:c r="I641" s="14">
        <x:v>2026</x:v>
      </x:c>
      <x:c r="J641" s="14" t="s">
        <x:v>136</x:v>
      </x:c>
      <x:c r="K641" s="14">
        <x:v>24</x:v>
      </x:c>
      <x:c r="L641" s="29" t="s">
        <x:v>101</x:v>
      </x:c>
      <x:c r="M641" s="28">
        <x:v>46064</x:v>
      </x:c>
      <x:c r="N641" s="28">
        <x:v>46251</x:v>
      </x:c>
      <x:c r="O641" s="14">
        <x:v>187</x:v>
      </x:c>
      <x:c r="P641" s="14" t="s">
        <x:v>107</x:v>
      </x:c>
      <x:c r="Q641" s="14" t="s">
        <x:v>103</x:v>
      </x:c>
      <x:c r="R641" s="14" t="s">
        <x:v>104</x:v>
      </x:c>
      <x:c r="S641" s="14" t="s">
        <x:v>108</x:v>
      </x:c>
      <x:c r="T641" s="14" t="str">
        <x:v>Region D</x:v>
      </x:c>
      <x:c r="U641" s="28">
        <x:v>46074</x:v>
      </x:c>
      <x:c r="V641" s="30">
        <x:v>0</x:v>
      </x:c>
      <x:c r="W641" s="14" t="s">
        <x:v>109</x:v>
      </x:c>
      <x:c r="X641" s="14" t="s">
        <x:v>106</x:v>
      </x:c>
      <x:c r="Y641" s="32" t="str">
        <x:v>TRN-0640|20260221</x:v>
      </x:c>
      <x:c r="Z641" s="32" t="str" cm="1">
        <x:f t="array" ref="Z64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641" s="33" t="n">
        <x:f>--OR(WorkforceData[[#This Row],[Status]]="Active",WorkforceData[[#This Row],[Promoted]]="Yes",WorkforceData[[#This Row],[Total Days Worked]]&gt;=121)</x:f>
        <x:v>1</x:v>
      </x:c>
      <x:c r="AB641" s="33" t="n">
        <x:f>IF(AND(Q641="Terminated",R641="",O641=0),1,0)</x:f>
        <x:v>0</x:v>
      </x:c>
      <x:c r="AC641" s="33" t="n">
        <x:f>--OR(WorkforceData[[#This Row],[Status]]="Resigned",WorkforceData[[#This Row],[Status After Training]]="Withdrew")</x:f>
        <x:v>1</x:v>
      </x:c>
      <x:c r="AD641" s="34" t="n">
        <x:f>EOMONTH(WorkforceData[[#This Row],[Training Date]],0)</x:f>
        <x:v>46081</x:v>
      </x:c>
      <x:c r="AE641" s="32" t="str">
        <x:f>IF(M641&lt;H641,"Existing Employee",IF(U641="","No Assignment",IF(V641=0,"0 Days",IF(V641&lt;=7,"1-7 Days",IF(V641&lt;=14,"8-14 Days",IF(V641&lt;=21,"15-21 Days","21+ Days"))))))</x:f>
        <x:v>Existing Employee</x:v>
      </x:c>
      <x:c r="AF64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41" s="33" t="n">
        <x:f>--(WorkforceData[[#This Row],[Total Days Worked]]&gt;=121)</x:f>
        <x:v>1</x:v>
      </x:c>
    </x:row>
    <x:row r="642">
      <x:c r="A642" s="236" t="str">
        <x:v>TRN-0641</x:v>
      </x:c>
      <x:c r="B642" s="243"/>
      <x:c r="C642" s="243"/>
      <x:c r="D642" s="243"/>
      <x:c r="E642" s="243"/>
      <x:c r="F642" s="14" t="str">
        <x:v>Recruiter A</x:v>
      </x:c>
      <x:c r="G642" s="14" t="str">
        <x:v>Training Center B</x:v>
      </x:c>
      <x:c r="H642" s="28">
        <x:v>46074</x:v>
      </x:c>
      <x:c r="I642" s="14">
        <x:v>2026</x:v>
      </x:c>
      <x:c r="J642" s="14" t="s">
        <x:v>136</x:v>
      </x:c>
      <x:c r="K642" s="14">
        <x:v>24</x:v>
      </x:c>
      <x:c r="L642" s="29" t="s">
        <x:v>101</x:v>
      </x:c>
      <x:c r="M642" s="28">
        <x:v>46073</x:v>
      </x:c>
      <x:c r="N642" s="14"/>
      <x:c r="O642" s="14">
        <x:v>178</x:v>
      </x:c>
      <x:c r="P642" s="14" t="s">
        <x:v>113</x:v>
      </x:c>
      <x:c r="Q642" s="14" t="s">
        <x:v>25</x:v>
      </x:c>
      <x:c r="R642" s="14"/>
      <x:c r="S642" s="14" t="s">
        <x:v>105</x:v>
      </x:c>
      <x:c r="T642" s="14"/>
      <x:c r="U642" s="28"/>
      <x:c r="V642" s="30"/>
      <x:c r="W642" s="14"/>
      <x:c r="X642" s="14" t="s">
        <x:v>71</x:v>
      </x:c>
      <x:c r="Y642" s="32" t="str">
        <x:v>TRN-0641|20260221</x:v>
      </x:c>
      <x:c r="Z642" s="32" t="str" cm="1">
        <x:f t="array" ref="Z64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642" s="33" t="n">
        <x:f>--OR(WorkforceData[[#This Row],[Status]]="Active",WorkforceData[[#This Row],[Promoted]]="Yes",WorkforceData[[#This Row],[Total Days Worked]]&gt;=121)</x:f>
        <x:v>1</x:v>
      </x:c>
      <x:c r="AB642" s="33" t="n">
        <x:f>IF(AND(Q642="Terminated",R642="",O642=0),1,0)</x:f>
        <x:v>0</x:v>
      </x:c>
      <x:c r="AC642" s="33" t="n">
        <x:f>--OR(WorkforceData[[#This Row],[Status]]="Resigned",WorkforceData[[#This Row],[Status After Training]]="Withdrew")</x:f>
        <x:v>0</x:v>
      </x:c>
      <x:c r="AD642" s="34" t="n">
        <x:f>EOMONTH(WorkforceData[[#This Row],[Training Date]],0)</x:f>
        <x:v>46081</x:v>
      </x:c>
      <x:c r="AE642" s="32" t="str">
        <x:f>IF(M642&lt;H642,"Existing Employee",IF(U642="","No Assignment",IF(V642=0,"0 Days",IF(V642&lt;=7,"1-7 Days",IF(V642&lt;=14,"8-14 Days",IF(V642&lt;=21,"15-21 Days","21+ Days"))))))</x:f>
        <x:v>Existing Employee</x:v>
      </x:c>
      <x:c r="AF64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42" s="33" t="n">
        <x:f>--(WorkforceData[[#This Row],[Total Days Worked]]&gt;=121)</x:f>
        <x:v>1</x:v>
      </x:c>
    </x:row>
    <x:row r="643">
      <x:c r="A643" s="236" t="str">
        <x:v>TRN-0642</x:v>
      </x:c>
      <x:c r="B643" s="243"/>
      <x:c r="C643" s="243"/>
      <x:c r="D643" s="243"/>
      <x:c r="E643" s="243"/>
      <x:c r="F643" s="14" t="str">
        <x:v>Recruiter A</x:v>
      </x:c>
      <x:c r="G643" s="14" t="str">
        <x:v>Training Center B</x:v>
      </x:c>
      <x:c r="H643" s="28">
        <x:v>46074</x:v>
      </x:c>
      <x:c r="I643" s="14">
        <x:v>2026</x:v>
      </x:c>
      <x:c r="J643" s="14" t="s">
        <x:v>136</x:v>
      </x:c>
      <x:c r="K643" s="14">
        <x:v>24</x:v>
      </x:c>
      <x:c r="L643" s="29" t="s">
        <x:v>101</x:v>
      </x:c>
      <x:c r="M643" s="28">
        <x:v>46069</x:v>
      </x:c>
      <x:c r="N643" s="28">
        <x:v>46159</x:v>
      </x:c>
      <x:c r="O643" s="14">
        <x:v>90</x:v>
      </x:c>
      <x:c r="P643" s="14" t="s">
        <x:v>110</x:v>
      </x:c>
      <x:c r="Q643" s="14" t="s">
        <x:v>33</x:v>
      </x:c>
      <x:c r="R643" s="14" t="s">
        <x:v>121</x:v>
      </x:c>
      <x:c r="S643" s="14" t="s">
        <x:v>105</x:v>
      </x:c>
      <x:c r="T643" s="14" t="str">
        <x:v>Region A</x:v>
      </x:c>
      <x:c r="U643" s="28">
        <x:v>46089</x:v>
      </x:c>
      <x:c r="V643" s="30">
        <x:v>15</x:v>
      </x:c>
      <x:c r="W643" s="14" t="s">
        <x:v>112</x:v>
      </x:c>
      <x:c r="X643" s="14" t="s">
        <x:v>106</x:v>
      </x:c>
      <x:c r="Y643" s="32" t="str">
        <x:v>TRN-0642|20260221</x:v>
      </x:c>
      <x:c r="Z643" s="32" t="str" cm="1">
        <x:f t="array" ref="Z64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643" s="33" t="n">
        <x:f>--OR(WorkforceData[[#This Row],[Status]]="Active",WorkforceData[[#This Row],[Promoted]]="Yes",WorkforceData[[#This Row],[Total Days Worked]]&gt;=121)</x:f>
        <x:v>0</x:v>
      </x:c>
      <x:c r="AB643" s="33" t="n">
        <x:f>IF(AND(Q643="Terminated",R643="",O643=0),1,0)</x:f>
        <x:v>0</x:v>
      </x:c>
      <x:c r="AC643" s="33" t="n">
        <x:f>--OR(WorkforceData[[#This Row],[Status]]="Resigned",WorkforceData[[#This Row],[Status After Training]]="Withdrew")</x:f>
        <x:v>0</x:v>
      </x:c>
      <x:c r="AD643" s="34" t="n">
        <x:f>EOMONTH(WorkforceData[[#This Row],[Training Date]],0)</x:f>
        <x:v>46081</x:v>
      </x:c>
      <x:c r="AE643" s="32" t="str">
        <x:f>IF(M643&lt;H643,"Existing Employee",IF(U643="","No Assignment",IF(V643=0,"0 Days",IF(V643&lt;=7,"1-7 Days",IF(V643&lt;=14,"8-14 Days",IF(V643&lt;=21,"15-21 Days","21+ Days"))))))</x:f>
        <x:v>Existing Employee</x:v>
      </x:c>
      <x:c r="AF64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61-90 Days</x:v>
      </x:c>
      <x:c r="AG643" s="33" t="n">
        <x:f>--(WorkforceData[[#This Row],[Total Days Worked]]&gt;=121)</x:f>
        <x:v>0</x:v>
      </x:c>
    </x:row>
    <x:row r="644">
      <x:c r="A644" s="236" t="str">
        <x:v>TRN-0643</x:v>
      </x:c>
      <x:c r="B644" s="243"/>
      <x:c r="C644" s="243"/>
      <x:c r="D644" s="243"/>
      <x:c r="E644" s="243"/>
      <x:c r="F644" s="14" t="str">
        <x:v>Recruiter B</x:v>
      </x:c>
      <x:c r="G644" s="14" t="str">
        <x:v>Training Center B</x:v>
      </x:c>
      <x:c r="H644" s="28">
        <x:v>46074</x:v>
      </x:c>
      <x:c r="I644" s="14">
        <x:v>2026</x:v>
      </x:c>
      <x:c r="J644" s="14" t="s">
        <x:v>136</x:v>
      </x:c>
      <x:c r="K644" s="14">
        <x:v>24</x:v>
      </x:c>
      <x:c r="L644" s="29" t="s">
        <x:v>101</x:v>
      </x:c>
      <x:c r="M644" s="28">
        <x:v>46074</x:v>
      </x:c>
      <x:c r="N644" s="28">
        <x:v>46080</x:v>
      </x:c>
      <x:c r="O644" s="14">
        <x:v>6</x:v>
      </x:c>
      <x:c r="P644" s="14" t="s">
        <x:v>102</x:v>
      </x:c>
      <x:c r="Q644" s="14" t="s">
        <x:v>103</x:v>
      </x:c>
      <x:c r="R644" s="14" t="s">
        <x:v>123</x:v>
      </x:c>
      <x:c r="S644" s="14" t="s">
        <x:v>105</x:v>
      </x:c>
      <x:c r="T644" s="14"/>
      <x:c r="U644" s="28"/>
      <x:c r="V644" s="30"/>
      <x:c r="W644" s="14"/>
      <x:c r="X644" s="14" t="s">
        <x:v>71</x:v>
      </x:c>
      <x:c r="Y644" s="32" t="str">
        <x:v>TRN-0643|20260221</x:v>
      </x:c>
      <x:c r="Z644" s="32" t="str" cm="1">
        <x:f t="array" ref="Z64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644" s="33" t="n">
        <x:f>--OR(WorkforceData[[#This Row],[Status]]="Active",WorkforceData[[#This Row],[Promoted]]="Yes",WorkforceData[[#This Row],[Total Days Worked]]&gt;=121)</x:f>
        <x:v>0</x:v>
      </x:c>
      <x:c r="AB644" s="33" t="n">
        <x:f>IF(AND(Q644="Terminated",R644="",O644=0),1,0)</x:f>
        <x:v>0</x:v>
      </x:c>
      <x:c r="AC644" s="33" t="n">
        <x:f>--OR(WorkforceData[[#This Row],[Status]]="Resigned",WorkforceData[[#This Row],[Status After Training]]="Withdrew")</x:f>
        <x:v>1</x:v>
      </x:c>
      <x:c r="AD644" s="34" t="n">
        <x:f>EOMONTH(WorkforceData[[#This Row],[Training Date]],0)</x:f>
        <x:v>46081</x:v>
      </x:c>
      <x:c r="AE644" s="32" t="str">
        <x:f>IF(M644&lt;H644,"Existing Employee",IF(U644="","No Assignment",IF(V644=0,"0 Days",IF(V644&lt;=7,"1-7 Days",IF(V644&lt;=14,"8-14 Days",IF(V644&lt;=21,"15-21 Days","21+ Days"))))))</x:f>
        <x:v>No Assignment</x:v>
      </x:c>
      <x:c r="AF64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1-7 Days</x:v>
      </x:c>
      <x:c r="AG644" s="33" t="n">
        <x:f>--(WorkforceData[[#This Row],[Total Days Worked]]&gt;=121)</x:f>
        <x:v>0</x:v>
      </x:c>
    </x:row>
    <x:row r="645">
      <x:c r="A645" s="236" t="str">
        <x:v>TRN-0644</x:v>
      </x:c>
      <x:c r="B645" s="243"/>
      <x:c r="C645" s="243"/>
      <x:c r="D645" s="243"/>
      <x:c r="E645" s="243"/>
      <x:c r="F645" s="14" t="str">
        <x:v>Recruiter D</x:v>
      </x:c>
      <x:c r="G645" s="14" t="str">
        <x:v>Training Center B</x:v>
      </x:c>
      <x:c r="H645" s="28">
        <x:v>46074</x:v>
      </x:c>
      <x:c r="I645" s="14">
        <x:v>2026</x:v>
      </x:c>
      <x:c r="J645" s="14" t="s">
        <x:v>136</x:v>
      </x:c>
      <x:c r="K645" s="14">
        <x:v>24</x:v>
      </x:c>
      <x:c r="L645" s="29" t="s">
        <x:v>101</x:v>
      </x:c>
      <x:c r="M645" s="28">
        <x:v>46074</x:v>
      </x:c>
      <x:c r="N645" s="28">
        <x:v>46137</x:v>
      </x:c>
      <x:c r="O645" s="14">
        <x:v>63</x:v>
      </x:c>
      <x:c r="P645" s="14" t="s">
        <x:v>110</x:v>
      </x:c>
      <x:c r="Q645" s="14" t="s">
        <x:v>103</x:v>
      </x:c>
      <x:c r="R645" s="14" t="s">
        <x:v>104</x:v>
      </x:c>
      <x:c r="S645" s="14" t="s">
        <x:v>105</x:v>
      </x:c>
      <x:c r="T645" s="14" t="str">
        <x:v>Region B</x:v>
      </x:c>
      <x:c r="U645" s="28">
        <x:v>46079</x:v>
      </x:c>
      <x:c r="V645" s="30">
        <x:v>5</x:v>
      </x:c>
      <x:c r="W645" s="14" t="s">
        <x:v>109</x:v>
      </x:c>
      <x:c r="X645" s="14" t="s">
        <x:v>106</x:v>
      </x:c>
      <x:c r="Y645" s="32" t="str">
        <x:v>TRN-0644|20260221</x:v>
      </x:c>
      <x:c r="Z645" s="32" t="str" cm="1">
        <x:f t="array" ref="Z64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645" s="33" t="n">
        <x:f>--OR(WorkforceData[[#This Row],[Status]]="Active",WorkforceData[[#This Row],[Promoted]]="Yes",WorkforceData[[#This Row],[Total Days Worked]]&gt;=121)</x:f>
        <x:v>0</x:v>
      </x:c>
      <x:c r="AB645" s="33" t="n">
        <x:f>IF(AND(Q645="Terminated",R645="",O645=0),1,0)</x:f>
        <x:v>0</x:v>
      </x:c>
      <x:c r="AC645" s="33" t="n">
        <x:f>--OR(WorkforceData[[#This Row],[Status]]="Resigned",WorkforceData[[#This Row],[Status After Training]]="Withdrew")</x:f>
        <x:v>1</x:v>
      </x:c>
      <x:c r="AD645" s="34" t="n">
        <x:f>EOMONTH(WorkforceData[[#This Row],[Training Date]],0)</x:f>
        <x:v>46081</x:v>
      </x:c>
      <x:c r="AE645" s="32" t="str">
        <x:f>IF(M645&lt;H645,"Existing Employee",IF(U645="","No Assignment",IF(V645=0,"0 Days",IF(V645&lt;=7,"1-7 Days",IF(V645&lt;=14,"8-14 Days",IF(V645&lt;=21,"15-21 Days","21+ Days"))))))</x:f>
        <x:v>1-7 Days</x:v>
      </x:c>
      <x:c r="AF64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61-90 Days</x:v>
      </x:c>
      <x:c r="AG645" s="33" t="n">
        <x:f>--(WorkforceData[[#This Row],[Total Days Worked]]&gt;=121)</x:f>
        <x:v>0</x:v>
      </x:c>
    </x:row>
    <x:row r="646">
      <x:c r="A646" s="236" t="str">
        <x:v>TRN-0645</x:v>
      </x:c>
      <x:c r="B646" s="243"/>
      <x:c r="C646" s="243"/>
      <x:c r="D646" s="243"/>
      <x:c r="E646" s="243"/>
      <x:c r="F646" s="14" t="str">
        <x:v>Recruiter H</x:v>
      </x:c>
      <x:c r="G646" s="14" t="str">
        <x:v>Training Center B</x:v>
      </x:c>
      <x:c r="H646" s="28">
        <x:v>46074</x:v>
      </x:c>
      <x:c r="I646" s="14">
        <x:v>2026</x:v>
      </x:c>
      <x:c r="J646" s="14" t="s">
        <x:v>136</x:v>
      </x:c>
      <x:c r="K646" s="14">
        <x:v>24</x:v>
      </x:c>
      <x:c r="L646" s="29" t="s">
        <x:v>101</x:v>
      </x:c>
      <x:c r="M646" s="28">
        <x:v>46074</x:v>
      </x:c>
      <x:c r="N646" s="14"/>
      <x:c r="O646" s="14">
        <x:v>177</x:v>
      </x:c>
      <x:c r="P646" s="14" t="s">
        <x:v>113</x:v>
      </x:c>
      <x:c r="Q646" s="14" t="s">
        <x:v>38</x:v>
      </x:c>
      <x:c r="R646" s="14"/>
      <x:c r="S646" s="14" t="s">
        <x:v>105</x:v>
      </x:c>
      <x:c r="T646" s="14" t="str">
        <x:v>Region D</x:v>
      </x:c>
      <x:c r="U646" s="28">
        <x:v>46191</x:v>
      </x:c>
      <x:c r="V646" s="30">
        <x:v>117</x:v>
      </x:c>
      <x:c r="W646" s="14" t="s">
        <x:v>114</x:v>
      </x:c>
      <x:c r="X646" s="14" t="s">
        <x:v>115</x:v>
      </x:c>
      <x:c r="Y646" s="32" t="str">
        <x:v>TRN-0645|20260221</x:v>
      </x:c>
      <x:c r="Z646" s="32" t="str" cm="1">
        <x:f t="array" ref="Z64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646" s="33" t="n">
        <x:f>--OR(WorkforceData[[#This Row],[Status]]="Active",WorkforceData[[#This Row],[Promoted]]="Yes",WorkforceData[[#This Row],[Total Days Worked]]&gt;=121)</x:f>
        <x:v>1</x:v>
      </x:c>
      <x:c r="AB646" s="33" t="n">
        <x:f>IF(AND(Q646="Terminated",R646="",O646=0),1,0)</x:f>
        <x:v>0</x:v>
      </x:c>
      <x:c r="AC646" s="33" t="n">
        <x:f>--OR(WorkforceData[[#This Row],[Status]]="Resigned",WorkforceData[[#This Row],[Status After Training]]="Withdrew")</x:f>
        <x:v>1</x:v>
      </x:c>
      <x:c r="AD646" s="34" t="n">
        <x:f>EOMONTH(WorkforceData[[#This Row],[Training Date]],0)</x:f>
        <x:v>46081</x:v>
      </x:c>
      <x:c r="AE646" s="32" t="str">
        <x:f>IF(M646&lt;H646,"Existing Employee",IF(U646="","No Assignment",IF(V646=0,"0 Days",IF(V646&lt;=7,"1-7 Days",IF(V646&lt;=14,"8-14 Days",IF(V646&lt;=21,"15-21 Days","21+ Days"))))))</x:f>
        <x:v>21+ Days</x:v>
      </x:c>
      <x:c r="AF64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46" s="33" t="n">
        <x:f>--(WorkforceData[[#This Row],[Total Days Worked]]&gt;=121)</x:f>
        <x:v>1</x:v>
      </x:c>
    </x:row>
    <x:row r="647">
      <x:c r="A647" s="236" t="str">
        <x:v>TRN-0646</x:v>
      </x:c>
      <x:c r="B647" s="243"/>
      <x:c r="C647" s="243"/>
      <x:c r="D647" s="243"/>
      <x:c r="E647" s="243"/>
      <x:c r="F647" s="14" t="str">
        <x:v>Recruiter A</x:v>
      </x:c>
      <x:c r="G647" s="14" t="str">
        <x:v>Training Center B</x:v>
      </x:c>
      <x:c r="H647" s="28">
        <x:v>46074</x:v>
      </x:c>
      <x:c r="I647" s="14">
        <x:v>2026</x:v>
      </x:c>
      <x:c r="J647" s="14" t="s">
        <x:v>136</x:v>
      </x:c>
      <x:c r="K647" s="14">
        <x:v>24</x:v>
      </x:c>
      <x:c r="L647" s="29" t="s">
        <x:v>101</x:v>
      </x:c>
      <x:c r="M647" s="28">
        <x:v>46072</x:v>
      </x:c>
      <x:c r="N647" s="28">
        <x:v>46251</x:v>
      </x:c>
      <x:c r="O647" s="14">
        <x:v>179</x:v>
      </x:c>
      <x:c r="P647" s="14" t="s">
        <x:v>113</x:v>
      </x:c>
      <x:c r="Q647" s="14" t="s">
        <x:v>103</x:v>
      </x:c>
      <x:c r="R647" s="14" t="s">
        <x:v>111</x:v>
      </x:c>
      <x:c r="S647" s="14" t="s">
        <x:v>105</x:v>
      </x:c>
      <x:c r="T647" s="14" t="str">
        <x:v>Region A</x:v>
      </x:c>
      <x:c r="U647" s="28">
        <x:v>46092</x:v>
      </x:c>
      <x:c r="V647" s="30">
        <x:v>18</x:v>
      </x:c>
      <x:c r="W647" s="14" t="s">
        <x:v>112</x:v>
      </x:c>
      <x:c r="X647" s="14" t="s">
        <x:v>106</x:v>
      </x:c>
      <x:c r="Y647" s="32" t="str">
        <x:v>TRN-0646|20260221</x:v>
      </x:c>
      <x:c r="Z647" s="32" t="str" cm="1">
        <x:f t="array" ref="Z64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Complete</x:v>
      </x:c>
      <x:c r="AA647" s="33" t="n">
        <x:f>--OR(WorkforceData[[#This Row],[Status]]="Active",WorkforceData[[#This Row],[Promoted]]="Yes",WorkforceData[[#This Row],[Total Days Worked]]&gt;=121)</x:f>
        <x:v>1</x:v>
      </x:c>
      <x:c r="AB647" s="33" t="n">
        <x:f>IF(AND(Q647="Terminated",R647="",O647=0),1,0)</x:f>
        <x:v>0</x:v>
      </x:c>
      <x:c r="AC647" s="33" t="n">
        <x:f>--OR(WorkforceData[[#This Row],[Status]]="Resigned",WorkforceData[[#This Row],[Status After Training]]="Withdrew")</x:f>
        <x:v>1</x:v>
      </x:c>
      <x:c r="AD647" s="34" t="n">
        <x:f>EOMONTH(WorkforceData[[#This Row],[Training Date]],0)</x:f>
        <x:v>46081</x:v>
      </x:c>
      <x:c r="AE647" s="32" t="str">
        <x:f>IF(M647&lt;H647,"Existing Employee",IF(U647="","No Assignment",IF(V647=0,"0 Days",IF(V647&lt;=7,"1-7 Days",IF(V647&lt;=14,"8-14 Days",IF(V647&lt;=21,"15-21 Days","21+ Days"))))))</x:f>
        <x:v>Existing Employee</x:v>
      </x:c>
      <x:c r="AF64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47" s="33" t="n">
        <x:f>--(WorkforceData[[#This Row],[Total Days Worked]]&gt;=121)</x:f>
        <x:v>1</x:v>
      </x:c>
    </x:row>
    <x:row r="648">
      <x:c r="A648" s="236" t="str">
        <x:v>TRN-0647</x:v>
      </x:c>
      <x:c r="B648" s="243"/>
      <x:c r="C648" s="243"/>
      <x:c r="D648" s="243"/>
      <x:c r="E648" s="243"/>
      <x:c r="F648" s="14" t="str">
        <x:v>Recruiter A</x:v>
      </x:c>
      <x:c r="G648" s="14" t="str">
        <x:v>Training Center B</x:v>
      </x:c>
      <x:c r="H648" s="28">
        <x:v>46074</x:v>
      </x:c>
      <x:c r="I648" s="14">
        <x:v>2026</x:v>
      </x:c>
      <x:c r="J648" s="14" t="s">
        <x:v>136</x:v>
      </x:c>
      <x:c r="K648" s="14">
        <x:v>24</x:v>
      </x:c>
      <x:c r="L648" s="29" t="s">
        <x:v>101</x:v>
      </x:c>
      <x:c r="M648" s="28">
        <x:v>46067</x:v>
      </x:c>
      <x:c r="N648" s="28">
        <x:v>46251</x:v>
      </x:c>
      <x:c r="O648" s="14">
        <x:v>184</x:v>
      </x:c>
      <x:c r="P648" s="14" t="s">
        <x:v>107</x:v>
      </x:c>
      <x:c r="Q648" s="14" t="s">
        <x:v>33</x:v>
      </x:c>
      <x:c r="R648" s="14" t="s">
        <x:v>121</x:v>
      </x:c>
      <x:c r="S648" s="14" t="s">
        <x:v>108</x:v>
      </x:c>
      <x:c r="T648" s="14" t="str">
        <x:v>Region A</x:v>
      </x:c>
      <x:c r="U648" s="28">
        <x:v>46092</x:v>
      </x:c>
      <x:c r="V648" s="30">
        <x:v>18</x:v>
      </x:c>
      <x:c r="W648" s="14" t="s">
        <x:v>112</x:v>
      </x:c>
      <x:c r="X648" s="14" t="s">
        <x:v>106</x:v>
      </x:c>
      <x:c r="Y648" s="32" t="str">
        <x:v>TRN-0647|20260221</x:v>
      </x:c>
      <x:c r="Z648" s="32" t="str" cm="1">
        <x:f t="array" ref="Z64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648" s="33" t="n">
        <x:f>--OR(WorkforceData[[#This Row],[Status]]="Active",WorkforceData[[#This Row],[Promoted]]="Yes",WorkforceData[[#This Row],[Total Days Worked]]&gt;=121)</x:f>
        <x:v>1</x:v>
      </x:c>
      <x:c r="AB648" s="33" t="n">
        <x:f>IF(AND(Q648="Terminated",R648="",O648=0),1,0)</x:f>
        <x:v>0</x:v>
      </x:c>
      <x:c r="AC648" s="33" t="n">
        <x:f>--OR(WorkforceData[[#This Row],[Status]]="Resigned",WorkforceData[[#This Row],[Status After Training]]="Withdrew")</x:f>
        <x:v>0</x:v>
      </x:c>
      <x:c r="AD648" s="34" t="n">
        <x:f>EOMONTH(WorkforceData[[#This Row],[Training Date]],0)</x:f>
        <x:v>46081</x:v>
      </x:c>
      <x:c r="AE648" s="32" t="str">
        <x:f>IF(M648&lt;H648,"Existing Employee",IF(U648="","No Assignment",IF(V648=0,"0 Days",IF(V648&lt;=7,"1-7 Days",IF(V648&lt;=14,"8-14 Days",IF(V648&lt;=21,"15-21 Days","21+ Days"))))))</x:f>
        <x:v>Existing Employee</x:v>
      </x:c>
      <x:c r="AF64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48" s="33" t="n">
        <x:f>--(WorkforceData[[#This Row],[Total Days Worked]]&gt;=121)</x:f>
        <x:v>1</x:v>
      </x:c>
    </x:row>
    <x:row r="649">
      <x:c r="A649" s="236" t="str">
        <x:v>TRN-0648</x:v>
      </x:c>
      <x:c r="B649" s="243"/>
      <x:c r="C649" s="243"/>
      <x:c r="D649" s="243"/>
      <x:c r="E649" s="243"/>
      <x:c r="F649" s="14" t="str">
        <x:v>Recruiter A</x:v>
      </x:c>
      <x:c r="G649" s="14" t="str">
        <x:v>Training Center B</x:v>
      </x:c>
      <x:c r="H649" s="28">
        <x:v>46074</x:v>
      </x:c>
      <x:c r="I649" s="14">
        <x:v>2026</x:v>
      </x:c>
      <x:c r="J649" s="14" t="s">
        <x:v>136</x:v>
      </x:c>
      <x:c r="K649" s="14">
        <x:v>24</x:v>
      </x:c>
      <x:c r="L649" s="29" t="s">
        <x:v>101</x:v>
      </x:c>
      <x:c r="M649" s="28">
        <x:v>46074</x:v>
      </x:c>
      <x:c r="N649" s="14"/>
      <x:c r="O649" s="14">
        <x:v>177</x:v>
      </x:c>
      <x:c r="P649" s="14" t="s">
        <x:v>113</x:v>
      </x:c>
      <x:c r="Q649" s="14" t="s">
        <x:v>25</x:v>
      </x:c>
      <x:c r="R649" s="14"/>
      <x:c r="S649" s="14" t="s">
        <x:v>105</x:v>
      </x:c>
      <x:c r="T649" s="14" t="str">
        <x:v>Region B</x:v>
      </x:c>
      <x:c r="U649" s="28">
        <x:v>46125</x:v>
      </x:c>
      <x:c r="V649" s="30">
        <x:v>51</x:v>
      </x:c>
      <x:c r="W649" s="14" t="s">
        <x:v>63</x:v>
      </x:c>
      <x:c r="X649" s="14" t="s">
        <x:v>117</x:v>
      </x:c>
      <x:c r="Y649" s="32" t="str">
        <x:v>TRN-0648|20260221</x:v>
      </x:c>
      <x:c r="Z649" s="32" t="str" cm="1">
        <x:f t="array" ref="Z64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649" s="33" t="n">
        <x:f>--OR(WorkforceData[[#This Row],[Status]]="Active",WorkforceData[[#This Row],[Promoted]]="Yes",WorkforceData[[#This Row],[Total Days Worked]]&gt;=121)</x:f>
        <x:v>1</x:v>
      </x:c>
      <x:c r="AB649" s="33" t="n">
        <x:f>IF(AND(Q649="Terminated",R649="",O649=0),1,0)</x:f>
        <x:v>0</x:v>
      </x:c>
      <x:c r="AC649" s="33" t="n">
        <x:f>--OR(WorkforceData[[#This Row],[Status]]="Resigned",WorkforceData[[#This Row],[Status After Training]]="Withdrew")</x:f>
        <x:v>0</x:v>
      </x:c>
      <x:c r="AD649" s="34" t="n">
        <x:f>EOMONTH(WorkforceData[[#This Row],[Training Date]],0)</x:f>
        <x:v>46081</x:v>
      </x:c>
      <x:c r="AE649" s="32" t="str">
        <x:f>IF(M649&lt;H649,"Existing Employee",IF(U649="","No Assignment",IF(V649=0,"0 Days",IF(V649&lt;=7,"1-7 Days",IF(V649&lt;=14,"8-14 Days",IF(V649&lt;=21,"15-21 Days","21+ Days"))))))</x:f>
        <x:v>21+ Days</x:v>
      </x:c>
      <x:c r="AF64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49" s="33" t="n">
        <x:f>--(WorkforceData[[#This Row],[Total Days Worked]]&gt;=121)</x:f>
        <x:v>1</x:v>
      </x:c>
    </x:row>
    <x:row r="650">
      <x:c r="A650" s="236" t="str">
        <x:v>TRN-0649</x:v>
      </x:c>
      <x:c r="B650" s="243"/>
      <x:c r="C650" s="243"/>
      <x:c r="D650" s="243"/>
      <x:c r="E650" s="243"/>
      <x:c r="F650" s="14" t="str">
        <x:v>Recruiter C</x:v>
      </x:c>
      <x:c r="G650" s="14" t="str">
        <x:v>Training Center B</x:v>
      </x:c>
      <x:c r="H650" s="28">
        <x:v>46004</x:v>
      </x:c>
      <x:c r="I650" s="14">
        <x:v>2025</x:v>
      </x:c>
      <x:c r="J650" s="14" t="s">
        <x:v>131</x:v>
      </x:c>
      <x:c r="K650" s="14">
        <x:v>28</x:v>
      </x:c>
      <x:c r="L650" s="29" t="s">
        <x:v>101</x:v>
      </x:c>
      <x:c r="M650" s="28">
        <x:v>46003</x:v>
      </x:c>
      <x:c r="N650" s="14"/>
      <x:c r="O650" s="14">
        <x:v>248</x:v>
      </x:c>
      <x:c r="P650" s="14" t="s">
        <x:v>107</x:v>
      </x:c>
      <x:c r="Q650" s="14" t="s">
        <x:v>25</x:v>
      </x:c>
      <x:c r="R650" s="14"/>
      <x:c r="S650" s="14" t="s">
        <x:v>108</x:v>
      </x:c>
      <x:c r="T650" s="14" t="str">
        <x:v>Region A</x:v>
      </x:c>
      <x:c r="U650" s="28">
        <x:v>46044</x:v>
      </x:c>
      <x:c r="V650" s="30">
        <x:v>40</x:v>
      </x:c>
      <x:c r="W650" s="14" t="s">
        <x:v>63</x:v>
      </x:c>
      <x:c r="X650" s="14" t="s">
        <x:v>117</x:v>
      </x:c>
      <x:c r="Y650" s="32" t="str">
        <x:v>TRN-0649|20251213</x:v>
      </x:c>
      <x:c r="Z650" s="32" t="str" cm="1">
        <x:f t="array" ref="Z65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650" s="33" t="n">
        <x:f>--OR(WorkforceData[[#This Row],[Status]]="Active",WorkforceData[[#This Row],[Promoted]]="Yes",WorkforceData[[#This Row],[Total Days Worked]]&gt;=121)</x:f>
        <x:v>1</x:v>
      </x:c>
      <x:c r="AB650" s="33" t="n">
        <x:f>IF(AND(Q650="Terminated",R650="",O650=0),1,0)</x:f>
        <x:v>0</x:v>
      </x:c>
      <x:c r="AC650" s="33" t="n">
        <x:f>--OR(WorkforceData[[#This Row],[Status]]="Resigned",WorkforceData[[#This Row],[Status After Training]]="Withdrew")</x:f>
        <x:v>0</x:v>
      </x:c>
      <x:c r="AD650" s="34" t="n">
        <x:f>EOMONTH(WorkforceData[[#This Row],[Training Date]],0)</x:f>
        <x:v>46022</x:v>
      </x:c>
      <x:c r="AE650" s="32" t="str">
        <x:f>IF(M650&lt;H650,"Existing Employee",IF(U650="","No Assignment",IF(V650=0,"0 Days",IF(V650&lt;=7,"1-7 Days",IF(V650&lt;=14,"8-14 Days",IF(V650&lt;=21,"15-21 Days","21+ Days"))))))</x:f>
        <x:v>Existing Employee</x:v>
      </x:c>
      <x:c r="AF65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50" s="33" t="n">
        <x:f>--(WorkforceData[[#This Row],[Total Days Worked]]&gt;=121)</x:f>
        <x:v>1</x:v>
      </x:c>
    </x:row>
    <x:row r="651">
      <x:c r="A651" s="236" t="str">
        <x:v>TRN-0650</x:v>
      </x:c>
      <x:c r="B651" s="243"/>
      <x:c r="C651" s="243"/>
      <x:c r="D651" s="243"/>
      <x:c r="E651" s="243"/>
      <x:c r="F651" s="14" t="str">
        <x:v>Recruiter C</x:v>
      </x:c>
      <x:c r="G651" s="14" t="str">
        <x:v>Training Center B</x:v>
      </x:c>
      <x:c r="H651" s="28">
        <x:v>46004</x:v>
      </x:c>
      <x:c r="I651" s="14">
        <x:v>2025</x:v>
      </x:c>
      <x:c r="J651" s="14" t="s">
        <x:v>131</x:v>
      </x:c>
      <x:c r="K651" s="14">
        <x:v>28</x:v>
      </x:c>
      <x:c r="L651" s="29" t="s">
        <x:v>101</x:v>
      </x:c>
      <x:c r="M651" s="28">
        <x:v>46004</x:v>
      </x:c>
      <x:c r="N651" s="28">
        <x:v>46066</x:v>
      </x:c>
      <x:c r="O651" s="14">
        <x:v>62</x:v>
      </x:c>
      <x:c r="P651" s="14" t="s">
        <x:v>110</x:v>
      </x:c>
      <x:c r="Q651" s="14" t="s">
        <x:v>103</x:v>
      </x:c>
      <x:c r="R651" s="14" t="s">
        <x:v>111</x:v>
      </x:c>
      <x:c r="S651" s="14" t="s">
        <x:v>105</x:v>
      </x:c>
      <x:c r="T651" s="14" t="str">
        <x:v>Region A</x:v>
      </x:c>
      <x:c r="U651" s="28">
        <x:v>46014</x:v>
      </x:c>
      <x:c r="V651" s="30">
        <x:v>10</x:v>
      </x:c>
      <x:c r="W651" s="14" t="s">
        <x:v>45</x:v>
      </x:c>
      <x:c r="X651" s="14" t="s">
        <x:v>106</x:v>
      </x:c>
      <x:c r="Y651" s="32" t="str">
        <x:v>TRN-0650|20251213</x:v>
      </x:c>
      <x:c r="Z651" s="32" t="str" cm="1">
        <x:f t="array" ref="Z65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651" s="33" t="n">
        <x:f>--OR(WorkforceData[[#This Row],[Status]]="Active",WorkforceData[[#This Row],[Promoted]]="Yes",WorkforceData[[#This Row],[Total Days Worked]]&gt;=121)</x:f>
        <x:v>0</x:v>
      </x:c>
      <x:c r="AB651" s="33" t="n">
        <x:f>IF(AND(Q651="Terminated",R651="",O651=0),1,0)</x:f>
        <x:v>0</x:v>
      </x:c>
      <x:c r="AC651" s="33" t="n">
        <x:f>--OR(WorkforceData[[#This Row],[Status]]="Resigned",WorkforceData[[#This Row],[Status After Training]]="Withdrew")</x:f>
        <x:v>1</x:v>
      </x:c>
      <x:c r="AD651" s="34" t="n">
        <x:f>EOMONTH(WorkforceData[[#This Row],[Training Date]],0)</x:f>
        <x:v>46022</x:v>
      </x:c>
      <x:c r="AE651" s="32" t="str">
        <x:f>IF(M651&lt;H651,"Existing Employee",IF(U651="","No Assignment",IF(V651=0,"0 Days",IF(V651&lt;=7,"1-7 Days",IF(V651&lt;=14,"8-14 Days",IF(V651&lt;=21,"15-21 Days","21+ Days"))))))</x:f>
        <x:v>8-14 Days</x:v>
      </x:c>
      <x:c r="AF65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61-90 Days</x:v>
      </x:c>
      <x:c r="AG651" s="33" t="n">
        <x:f>--(WorkforceData[[#This Row],[Total Days Worked]]&gt;=121)</x:f>
        <x:v>0</x:v>
      </x:c>
    </x:row>
    <x:row r="652">
      <x:c r="A652" s="236" t="str">
        <x:v>TRN-0651</x:v>
      </x:c>
      <x:c r="B652" s="243"/>
      <x:c r="C652" s="243"/>
      <x:c r="D652" s="243"/>
      <x:c r="E652" s="243"/>
      <x:c r="F652" s="14" t="str">
        <x:v>Recruiter G</x:v>
      </x:c>
      <x:c r="G652" s="14" t="str">
        <x:v>Training Center B</x:v>
      </x:c>
      <x:c r="H652" s="28">
        <x:v>46004</x:v>
      </x:c>
      <x:c r="I652" s="14">
        <x:v>2025</x:v>
      </x:c>
      <x:c r="J652" s="14" t="s">
        <x:v>131</x:v>
      </x:c>
      <x:c r="K652" s="14">
        <x:v>28</x:v>
      </x:c>
      <x:c r="L652" s="29" t="s">
        <x:v>101</x:v>
      </x:c>
      <x:c r="M652" s="28">
        <x:v>46001</x:v>
      </x:c>
      <x:c r="N652" s="14"/>
      <x:c r="O652" s="14">
        <x:v>250</x:v>
      </x:c>
      <x:c r="P652" s="14" t="s">
        <x:v>107</x:v>
      </x:c>
      <x:c r="Q652" s="14" t="s">
        <x:v>25</x:v>
      </x:c>
      <x:c r="R652" s="14"/>
      <x:c r="S652" s="14" t="s">
        <x:v>108</x:v>
      </x:c>
      <x:c r="T652" s="14" t="str">
        <x:v>Region B</x:v>
      </x:c>
      <x:c r="U652" s="28">
        <x:v>46025</x:v>
      </x:c>
      <x:c r="V652" s="30">
        <x:v>21</x:v>
      </x:c>
      <x:c r="W652" s="14" t="s">
        <x:v>112</x:v>
      </x:c>
      <x:c r="X652" s="14" t="s">
        <x:v>106</x:v>
      </x:c>
      <x:c r="Y652" s="32" t="str">
        <x:v>TRN-0651|20251213</x:v>
      </x:c>
      <x:c r="Z652" s="32" t="str" cm="1">
        <x:f t="array" ref="Z65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652" s="33" t="n">
        <x:f>--OR(WorkforceData[[#This Row],[Status]]="Active",WorkforceData[[#This Row],[Promoted]]="Yes",WorkforceData[[#This Row],[Total Days Worked]]&gt;=121)</x:f>
        <x:v>1</x:v>
      </x:c>
      <x:c r="AB652" s="33" t="n">
        <x:f>IF(AND(Q652="Terminated",R652="",O652=0),1,0)</x:f>
        <x:v>0</x:v>
      </x:c>
      <x:c r="AC652" s="33" t="n">
        <x:f>--OR(WorkforceData[[#This Row],[Status]]="Resigned",WorkforceData[[#This Row],[Status After Training]]="Withdrew")</x:f>
        <x:v>0</x:v>
      </x:c>
      <x:c r="AD652" s="34" t="n">
        <x:f>EOMONTH(WorkforceData[[#This Row],[Training Date]],0)</x:f>
        <x:v>46022</x:v>
      </x:c>
      <x:c r="AE652" s="32" t="str">
        <x:f>IF(M652&lt;H652,"Existing Employee",IF(U652="","No Assignment",IF(V652=0,"0 Days",IF(V652&lt;=7,"1-7 Days",IF(V652&lt;=14,"8-14 Days",IF(V652&lt;=21,"15-21 Days","21+ Days"))))))</x:f>
        <x:v>Existing Employee</x:v>
      </x:c>
      <x:c r="AF65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52" s="33" t="n">
        <x:f>--(WorkforceData[[#This Row],[Total Days Worked]]&gt;=121)</x:f>
        <x:v>1</x:v>
      </x:c>
    </x:row>
    <x:row r="653">
      <x:c r="A653" s="236" t="str">
        <x:v>TRN-0652</x:v>
      </x:c>
      <x:c r="B653" s="243"/>
      <x:c r="C653" s="243"/>
      <x:c r="D653" s="243"/>
      <x:c r="E653" s="243"/>
      <x:c r="F653" s="14" t="str">
        <x:v>Recruiter F</x:v>
      </x:c>
      <x:c r="G653" s="14" t="str">
        <x:v>Training Center B</x:v>
      </x:c>
      <x:c r="H653" s="28">
        <x:v>46004</x:v>
      </x:c>
      <x:c r="I653" s="14">
        <x:v>2025</x:v>
      </x:c>
      <x:c r="J653" s="14" t="s">
        <x:v>131</x:v>
      </x:c>
      <x:c r="K653" s="14">
        <x:v>28</x:v>
      </x:c>
      <x:c r="L653" s="29" t="s">
        <x:v>101</x:v>
      </x:c>
      <x:c r="M653" s="28">
        <x:v>46001</x:v>
      </x:c>
      <x:c r="N653" s="14"/>
      <x:c r="O653" s="14">
        <x:v>250</x:v>
      </x:c>
      <x:c r="P653" s="14" t="s">
        <x:v>107</x:v>
      </x:c>
      <x:c r="Q653" s="14" t="s">
        <x:v>25</x:v>
      </x:c>
      <x:c r="R653" s="14"/>
      <x:c r="S653" s="14" t="s">
        <x:v>108</x:v>
      </x:c>
      <x:c r="T653" s="14" t="str">
        <x:v>Region D</x:v>
      </x:c>
      <x:c r="U653" s="28">
        <x:v>46010</x:v>
      </x:c>
      <x:c r="V653" s="30">
        <x:v>6</x:v>
      </x:c>
      <x:c r="W653" s="14" t="s">
        <x:v>109</x:v>
      </x:c>
      <x:c r="X653" s="14" t="s">
        <x:v>106</x:v>
      </x:c>
      <x:c r="Y653" s="32" t="str">
        <x:v>TRN-0652|20251213</x:v>
      </x:c>
      <x:c r="Z653" s="32" t="str" cm="1">
        <x:f t="array" ref="Z65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653" s="33" t="n">
        <x:f>--OR(WorkforceData[[#This Row],[Status]]="Active",WorkforceData[[#This Row],[Promoted]]="Yes",WorkforceData[[#This Row],[Total Days Worked]]&gt;=121)</x:f>
        <x:v>1</x:v>
      </x:c>
      <x:c r="AB653" s="33" t="n">
        <x:f>IF(AND(Q653="Terminated",R653="",O653=0),1,0)</x:f>
        <x:v>0</x:v>
      </x:c>
      <x:c r="AC653" s="33" t="n">
        <x:f>--OR(WorkforceData[[#This Row],[Status]]="Resigned",WorkforceData[[#This Row],[Status After Training]]="Withdrew")</x:f>
        <x:v>0</x:v>
      </x:c>
      <x:c r="AD653" s="34" t="n">
        <x:f>EOMONTH(WorkforceData[[#This Row],[Training Date]],0)</x:f>
        <x:v>46022</x:v>
      </x:c>
      <x:c r="AE653" s="32" t="str">
        <x:f>IF(M653&lt;H653,"Existing Employee",IF(U653="","No Assignment",IF(V653=0,"0 Days",IF(V653&lt;=7,"1-7 Days",IF(V653&lt;=14,"8-14 Days",IF(V653&lt;=21,"15-21 Days","21+ Days"))))))</x:f>
        <x:v>Existing Employee</x:v>
      </x:c>
      <x:c r="AF65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53" s="33" t="n">
        <x:f>--(WorkforceData[[#This Row],[Total Days Worked]]&gt;=121)</x:f>
        <x:v>1</x:v>
      </x:c>
    </x:row>
    <x:row r="654">
      <x:c r="A654" s="236" t="str">
        <x:v>TRN-0653</x:v>
      </x:c>
      <x:c r="B654" s="243"/>
      <x:c r="C654" s="243"/>
      <x:c r="D654" s="243"/>
      <x:c r="E654" s="243"/>
      <x:c r="F654" s="14" t="str">
        <x:v>Recruiter D</x:v>
      </x:c>
      <x:c r="G654" s="14" t="str">
        <x:v>Training Center B</x:v>
      </x:c>
      <x:c r="H654" s="28">
        <x:v>46004</x:v>
      </x:c>
      <x:c r="I654" s="14">
        <x:v>2025</x:v>
      </x:c>
      <x:c r="J654" s="14" t="s">
        <x:v>131</x:v>
      </x:c>
      <x:c r="K654" s="14">
        <x:v>28</x:v>
      </x:c>
      <x:c r="L654" s="29" t="s">
        <x:v>101</x:v>
      </x:c>
      <x:c r="M654" s="28">
        <x:v>46003</x:v>
      </x:c>
      <x:c r="N654" s="14"/>
      <x:c r="O654" s="14">
        <x:v>248</x:v>
      </x:c>
      <x:c r="P654" s="14" t="s">
        <x:v>107</x:v>
      </x:c>
      <x:c r="Q654" s="14" t="s">
        <x:v>25</x:v>
      </x:c>
      <x:c r="R654" s="14"/>
      <x:c r="S654" s="14" t="s">
        <x:v>108</x:v>
      </x:c>
      <x:c r="T654" s="14" t="str">
        <x:v>Region D</x:v>
      </x:c>
      <x:c r="U654" s="28">
        <x:v>46034</x:v>
      </x:c>
      <x:c r="V654" s="30">
        <x:v>30</x:v>
      </x:c>
      <x:c r="W654" s="14" t="s">
        <x:v>112</x:v>
      </x:c>
      <x:c r="X654" s="14" t="s">
        <x:v>106</x:v>
      </x:c>
      <x:c r="Y654" s="32" t="str">
        <x:v>TRN-0653|20251213</x:v>
      </x:c>
      <x:c r="Z654" s="32" t="str" cm="1">
        <x:f t="array" ref="Z65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654" s="33" t="n">
        <x:f>--OR(WorkforceData[[#This Row],[Status]]="Active",WorkforceData[[#This Row],[Promoted]]="Yes",WorkforceData[[#This Row],[Total Days Worked]]&gt;=121)</x:f>
        <x:v>1</x:v>
      </x:c>
      <x:c r="AB654" s="33" t="n">
        <x:f>IF(AND(Q654="Terminated",R654="",O654=0),1,0)</x:f>
        <x:v>0</x:v>
      </x:c>
      <x:c r="AC654" s="33" t="n">
        <x:f>--OR(WorkforceData[[#This Row],[Status]]="Resigned",WorkforceData[[#This Row],[Status After Training]]="Withdrew")</x:f>
        <x:v>0</x:v>
      </x:c>
      <x:c r="AD654" s="34" t="n">
        <x:f>EOMONTH(WorkforceData[[#This Row],[Training Date]],0)</x:f>
        <x:v>46022</x:v>
      </x:c>
      <x:c r="AE654" s="32" t="str">
        <x:f>IF(M654&lt;H654,"Existing Employee",IF(U654="","No Assignment",IF(V654=0,"0 Days",IF(V654&lt;=7,"1-7 Days",IF(V654&lt;=14,"8-14 Days",IF(V654&lt;=21,"15-21 Days","21+ Days"))))))</x:f>
        <x:v>Existing Employee</x:v>
      </x:c>
      <x:c r="AF65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54" s="33" t="n">
        <x:f>--(WorkforceData[[#This Row],[Total Days Worked]]&gt;=121)</x:f>
        <x:v>1</x:v>
      </x:c>
    </x:row>
    <x:row r="655">
      <x:c r="A655" s="236" t="str">
        <x:v>TRN-0654</x:v>
      </x:c>
      <x:c r="B655" s="243"/>
      <x:c r="C655" s="243"/>
      <x:c r="D655" s="243"/>
      <x:c r="E655" s="243"/>
      <x:c r="F655" s="14" t="str">
        <x:v>Recruiter G</x:v>
      </x:c>
      <x:c r="G655" s="14" t="str">
        <x:v>Training Center B</x:v>
      </x:c>
      <x:c r="H655" s="28">
        <x:v>46004</x:v>
      </x:c>
      <x:c r="I655" s="14">
        <x:v>2025</x:v>
      </x:c>
      <x:c r="J655" s="14" t="s">
        <x:v>131</x:v>
      </x:c>
      <x:c r="K655" s="14">
        <x:v>28</x:v>
      </x:c>
      <x:c r="L655" s="29" t="s">
        <x:v>101</x:v>
      </x:c>
      <x:c r="M655" s="28">
        <x:v>46004</x:v>
      </x:c>
      <x:c r="N655" s="28">
        <x:v>46095</x:v>
      </x:c>
      <x:c r="O655" s="14">
        <x:v>91</x:v>
      </x:c>
      <x:c r="P655" s="14" t="s">
        <x:v>113</x:v>
      </x:c>
      <x:c r="Q655" s="14" t="s">
        <x:v>33</x:v>
      </x:c>
      <x:c r="R655" s="14" t="s">
        <x:v>124</x:v>
      </x:c>
      <x:c r="S655" s="14" t="s">
        <x:v>105</x:v>
      </x:c>
      <x:c r="T655" s="14" t="str">
        <x:v>Region D</x:v>
      </x:c>
      <x:c r="U655" s="28">
        <x:v>46004</x:v>
      </x:c>
      <x:c r="V655" s="30">
        <x:v>0</x:v>
      </x:c>
      <x:c r="W655" s="14" t="s">
        <x:v>109</x:v>
      </x:c>
      <x:c r="X655" s="14" t="s">
        <x:v>106</x:v>
      </x:c>
      <x:c r="Y655" s="32" t="str">
        <x:v>TRN-0654|20251213</x:v>
      </x:c>
      <x:c r="Z655" s="32" t="str" cm="1">
        <x:f t="array" ref="Z65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655" s="33" t="n">
        <x:f>--OR(WorkforceData[[#This Row],[Status]]="Active",WorkforceData[[#This Row],[Promoted]]="Yes",WorkforceData[[#This Row],[Total Days Worked]]&gt;=121)</x:f>
        <x:v>0</x:v>
      </x:c>
      <x:c r="AB655" s="33" t="n">
        <x:f>IF(AND(Q655="Terminated",R655="",O655=0),1,0)</x:f>
        <x:v>0</x:v>
      </x:c>
      <x:c r="AC655" s="33" t="n">
        <x:f>--OR(WorkforceData[[#This Row],[Status]]="Resigned",WorkforceData[[#This Row],[Status After Training]]="Withdrew")</x:f>
        <x:v>0</x:v>
      </x:c>
      <x:c r="AD655" s="34" t="n">
        <x:f>EOMONTH(WorkforceData[[#This Row],[Training Date]],0)</x:f>
        <x:v>46022</x:v>
      </x:c>
      <x:c r="AE655" s="32" t="str">
        <x:f>IF(M655&lt;H655,"Existing Employee",IF(U655="","No Assignment",IF(V655=0,"0 Days",IF(V655&lt;=7,"1-7 Days",IF(V655&lt;=14,"8-14 Days",IF(V655&lt;=21,"15-21 Days","21+ Days"))))))</x:f>
        <x:v>0 Days</x:v>
      </x:c>
      <x:c r="AF65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91-120 Days</x:v>
      </x:c>
      <x:c r="AG655" s="33" t="n">
        <x:f>--(WorkforceData[[#This Row],[Total Days Worked]]&gt;=121)</x:f>
        <x:v>0</x:v>
      </x:c>
    </x:row>
    <x:row r="656">
      <x:c r="A656" s="236" t="str">
        <x:v>TRN-0655</x:v>
      </x:c>
      <x:c r="B656" s="243"/>
      <x:c r="C656" s="243"/>
      <x:c r="D656" s="243"/>
      <x:c r="E656" s="243"/>
      <x:c r="F656" s="14" t="str">
        <x:v>Recruiter A</x:v>
      </x:c>
      <x:c r="G656" s="14" t="str">
        <x:v>Training Center B</x:v>
      </x:c>
      <x:c r="H656" s="28">
        <x:v>46004</x:v>
      </x:c>
      <x:c r="I656" s="14">
        <x:v>2025</x:v>
      </x:c>
      <x:c r="J656" s="14" t="s">
        <x:v>131</x:v>
      </x:c>
      <x:c r="K656" s="14">
        <x:v>28</x:v>
      </x:c>
      <x:c r="L656" s="29" t="s">
        <x:v>101</x:v>
      </x:c>
      <x:c r="M656" s="28">
        <x:v>46004</x:v>
      </x:c>
      <x:c r="N656" s="14"/>
      <x:c r="O656" s="14">
        <x:v>247</x:v>
      </x:c>
      <x:c r="P656" s="14" t="s">
        <x:v>107</x:v>
      </x:c>
      <x:c r="Q656" s="14" t="s">
        <x:v>25</x:v>
      </x:c>
      <x:c r="R656" s="14"/>
      <x:c r="S656" s="14" t="s">
        <x:v>108</x:v>
      </x:c>
      <x:c r="T656" s="14" t="str">
        <x:v>Region A</x:v>
      </x:c>
      <x:c r="U656" s="28">
        <x:v>46063</x:v>
      </x:c>
      <x:c r="V656" s="30">
        <x:v>59</x:v>
      </x:c>
      <x:c r="W656" s="14" t="s">
        <x:v>63</x:v>
      </x:c>
      <x:c r="X656" s="14" t="s">
        <x:v>117</x:v>
      </x:c>
      <x:c r="Y656" s="32" t="str">
        <x:v>TRN-0655|20251213</x:v>
      </x:c>
      <x:c r="Z656" s="32" t="str" cm="1">
        <x:f t="array" ref="Z65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656" s="33" t="n">
        <x:f>--OR(WorkforceData[[#This Row],[Status]]="Active",WorkforceData[[#This Row],[Promoted]]="Yes",WorkforceData[[#This Row],[Total Days Worked]]&gt;=121)</x:f>
        <x:v>1</x:v>
      </x:c>
      <x:c r="AB656" s="33" t="n">
        <x:f>IF(AND(Q656="Terminated",R656="",O656=0),1,0)</x:f>
        <x:v>0</x:v>
      </x:c>
      <x:c r="AC656" s="33" t="n">
        <x:f>--OR(WorkforceData[[#This Row],[Status]]="Resigned",WorkforceData[[#This Row],[Status After Training]]="Withdrew")</x:f>
        <x:v>0</x:v>
      </x:c>
      <x:c r="AD656" s="34" t="n">
        <x:f>EOMONTH(WorkforceData[[#This Row],[Training Date]],0)</x:f>
        <x:v>46022</x:v>
      </x:c>
      <x:c r="AE656" s="32" t="str">
        <x:f>IF(M656&lt;H656,"Existing Employee",IF(U656="","No Assignment",IF(V656=0,"0 Days",IF(V656&lt;=7,"1-7 Days",IF(V656&lt;=14,"8-14 Days",IF(V656&lt;=21,"15-21 Days","21+ Days"))))))</x:f>
        <x:v>21+ Days</x:v>
      </x:c>
      <x:c r="AF65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56" s="33" t="n">
        <x:f>--(WorkforceData[[#This Row],[Total Days Worked]]&gt;=121)</x:f>
        <x:v>1</x:v>
      </x:c>
    </x:row>
    <x:row r="657">
      <x:c r="A657" s="236" t="str">
        <x:v>TRN-0656</x:v>
      </x:c>
      <x:c r="B657" s="243"/>
      <x:c r="C657" s="243"/>
      <x:c r="D657" s="243"/>
      <x:c r="E657" s="243"/>
      <x:c r="F657" s="14" t="str">
        <x:v>Recruiter D</x:v>
      </x:c>
      <x:c r="G657" s="14" t="str">
        <x:v>Training Center B</x:v>
      </x:c>
      <x:c r="H657" s="28">
        <x:v>46004</x:v>
      </x:c>
      <x:c r="I657" s="14">
        <x:v>2025</x:v>
      </x:c>
      <x:c r="J657" s="14" t="s">
        <x:v>131</x:v>
      </x:c>
      <x:c r="K657" s="14">
        <x:v>28</x:v>
      </x:c>
      <x:c r="L657" s="29" t="s">
        <x:v>101</x:v>
      </x:c>
      <x:c r="M657" s="28">
        <x:v>46004</x:v>
      </x:c>
      <x:c r="N657" s="14"/>
      <x:c r="O657" s="14">
        <x:v>247</x:v>
      </x:c>
      <x:c r="P657" s="14" t="s">
        <x:v>107</x:v>
      </x:c>
      <x:c r="Q657" s="14" t="s">
        <x:v>25</x:v>
      </x:c>
      <x:c r="R657" s="14"/>
      <x:c r="S657" s="14" t="s">
        <x:v>108</x:v>
      </x:c>
      <x:c r="T657" s="14" t="str">
        <x:v>Region D</x:v>
      </x:c>
      <x:c r="U657" s="28">
        <x:v>46008</x:v>
      </x:c>
      <x:c r="V657" s="30">
        <x:v>4</x:v>
      </x:c>
      <x:c r="W657" s="14" t="s">
        <x:v>109</x:v>
      </x:c>
      <x:c r="X657" s="14" t="s">
        <x:v>106</x:v>
      </x:c>
      <x:c r="Y657" s="32" t="str">
        <x:v>TRN-0656|20251213</x:v>
      </x:c>
      <x:c r="Z657" s="32" t="str" cm="1">
        <x:f t="array" ref="Z65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657" s="33" t="n">
        <x:f>--OR(WorkforceData[[#This Row],[Status]]="Active",WorkforceData[[#This Row],[Promoted]]="Yes",WorkforceData[[#This Row],[Total Days Worked]]&gt;=121)</x:f>
        <x:v>1</x:v>
      </x:c>
      <x:c r="AB657" s="33" t="n">
        <x:f>IF(AND(Q657="Terminated",R657="",O657=0),1,0)</x:f>
        <x:v>0</x:v>
      </x:c>
      <x:c r="AC657" s="33" t="n">
        <x:f>--OR(WorkforceData[[#This Row],[Status]]="Resigned",WorkforceData[[#This Row],[Status After Training]]="Withdrew")</x:f>
        <x:v>0</x:v>
      </x:c>
      <x:c r="AD657" s="34" t="n">
        <x:f>EOMONTH(WorkforceData[[#This Row],[Training Date]],0)</x:f>
        <x:v>46022</x:v>
      </x:c>
      <x:c r="AE657" s="32" t="str">
        <x:f>IF(M657&lt;H657,"Existing Employee",IF(U657="","No Assignment",IF(V657=0,"0 Days",IF(V657&lt;=7,"1-7 Days",IF(V657&lt;=14,"8-14 Days",IF(V657&lt;=21,"15-21 Days","21+ Days"))))))</x:f>
        <x:v>1-7 Days</x:v>
      </x:c>
      <x:c r="AF65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57" s="33" t="n">
        <x:f>--(WorkforceData[[#This Row],[Total Days Worked]]&gt;=121)</x:f>
        <x:v>1</x:v>
      </x:c>
    </x:row>
    <x:row r="658">
      <x:c r="A658" s="236" t="str">
        <x:v>TRN-0657</x:v>
      </x:c>
      <x:c r="B658" s="243"/>
      <x:c r="C658" s="243"/>
      <x:c r="D658" s="243"/>
      <x:c r="E658" s="243"/>
      <x:c r="F658" s="14" t="str">
        <x:v>Recruiter D</x:v>
      </x:c>
      <x:c r="G658" s="14" t="str">
        <x:v>Training Center B</x:v>
      </x:c>
      <x:c r="H658" s="28">
        <x:v>46004</x:v>
      </x:c>
      <x:c r="I658" s="14">
        <x:v>2025</x:v>
      </x:c>
      <x:c r="J658" s="14" t="s">
        <x:v>131</x:v>
      </x:c>
      <x:c r="K658" s="14">
        <x:v>28</x:v>
      </x:c>
      <x:c r="L658" s="29" t="s">
        <x:v>101</x:v>
      </x:c>
      <x:c r="M658" s="28">
        <x:v>46002</x:v>
      </x:c>
      <x:c r="N658" s="14"/>
      <x:c r="O658" s="14">
        <x:v>249</x:v>
      </x:c>
      <x:c r="P658" s="14" t="s">
        <x:v>107</x:v>
      </x:c>
      <x:c r="Q658" s="14" t="s">
        <x:v>38</x:v>
      </x:c>
      <x:c r="R658" s="14"/>
      <x:c r="S658" s="14" t="s">
        <x:v>108</x:v>
      </x:c>
      <x:c r="T658" s="14" t="str">
        <x:v>Region B</x:v>
      </x:c>
      <x:c r="U658" s="28">
        <x:v>46009</x:v>
      </x:c>
      <x:c r="V658" s="30">
        <x:v>5</x:v>
      </x:c>
      <x:c r="W658" s="14" t="s">
        <x:v>109</x:v>
      </x:c>
      <x:c r="X658" s="14" t="s">
        <x:v>106</x:v>
      </x:c>
      <x:c r="Y658" s="32" t="str">
        <x:v>TRN-0657|20251213</x:v>
      </x:c>
      <x:c r="Z658" s="32" t="str" cm="1">
        <x:f t="array" ref="Z65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658" s="33" t="n">
        <x:f>--OR(WorkforceData[[#This Row],[Status]]="Active",WorkforceData[[#This Row],[Promoted]]="Yes",WorkforceData[[#This Row],[Total Days Worked]]&gt;=121)</x:f>
        <x:v>1</x:v>
      </x:c>
      <x:c r="AB658" s="33" t="n">
        <x:f>IF(AND(Q658="Terminated",R658="",O658=0),1,0)</x:f>
        <x:v>0</x:v>
      </x:c>
      <x:c r="AC658" s="33" t="n">
        <x:f>--OR(WorkforceData[[#This Row],[Status]]="Resigned",WorkforceData[[#This Row],[Status After Training]]="Withdrew")</x:f>
        <x:v>0</x:v>
      </x:c>
      <x:c r="AD658" s="34" t="n">
        <x:f>EOMONTH(WorkforceData[[#This Row],[Training Date]],0)</x:f>
        <x:v>46022</x:v>
      </x:c>
      <x:c r="AE658" s="32" t="str">
        <x:f>IF(M658&lt;H658,"Existing Employee",IF(U658="","No Assignment",IF(V658=0,"0 Days",IF(V658&lt;=7,"1-7 Days",IF(V658&lt;=14,"8-14 Days",IF(V658&lt;=21,"15-21 Days","21+ Days"))))))</x:f>
        <x:v>Existing Employee</x:v>
      </x:c>
      <x:c r="AF65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58" s="33" t="n">
        <x:f>--(WorkforceData[[#This Row],[Total Days Worked]]&gt;=121)</x:f>
        <x:v>1</x:v>
      </x:c>
    </x:row>
    <x:row r="659">
      <x:c r="A659" s="236" t="str">
        <x:v>TRN-0658</x:v>
      </x:c>
      <x:c r="B659" s="243"/>
      <x:c r="C659" s="243"/>
      <x:c r="D659" s="243"/>
      <x:c r="E659" s="243"/>
      <x:c r="F659" s="14" t="str">
        <x:v>Recruiter B</x:v>
      </x:c>
      <x:c r="G659" s="14" t="str">
        <x:v>Training Center B</x:v>
      </x:c>
      <x:c r="H659" s="28">
        <x:v>46004</x:v>
      </x:c>
      <x:c r="I659" s="14">
        <x:v>2025</x:v>
      </x:c>
      <x:c r="J659" s="14" t="s">
        <x:v>131</x:v>
      </x:c>
      <x:c r="K659" s="14">
        <x:v>28</x:v>
      </x:c>
      <x:c r="L659" s="29" t="s">
        <x:v>101</x:v>
      </x:c>
      <x:c r="M659" s="28">
        <x:v>46004</x:v>
      </x:c>
      <x:c r="N659" s="14"/>
      <x:c r="O659" s="14">
        <x:v>247</x:v>
      </x:c>
      <x:c r="P659" s="14" t="s">
        <x:v>107</x:v>
      </x:c>
      <x:c r="Q659" s="14" t="s">
        <x:v>25</x:v>
      </x:c>
      <x:c r="R659" s="14"/>
      <x:c r="S659" s="14" t="s">
        <x:v>108</x:v>
      </x:c>
      <x:c r="T659" s="14" t="str">
        <x:v>Region D</x:v>
      </x:c>
      <x:c r="U659" s="28">
        <x:v>46006</x:v>
      </x:c>
      <x:c r="V659" s="30">
        <x:v>2</x:v>
      </x:c>
      <x:c r="W659" s="14" t="s">
        <x:v>109</x:v>
      </x:c>
      <x:c r="X659" s="14" t="s">
        <x:v>106</x:v>
      </x:c>
      <x:c r="Y659" s="32" t="str">
        <x:v>TRN-0658|20251213</x:v>
      </x:c>
      <x:c r="Z659" s="32" t="str" cm="1">
        <x:f t="array" ref="Z65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659" s="33" t="n">
        <x:f>--OR(WorkforceData[[#This Row],[Status]]="Active",WorkforceData[[#This Row],[Promoted]]="Yes",WorkforceData[[#This Row],[Total Days Worked]]&gt;=121)</x:f>
        <x:v>1</x:v>
      </x:c>
      <x:c r="AB659" s="33" t="n">
        <x:f>IF(AND(Q659="Terminated",R659="",O659=0),1,0)</x:f>
        <x:v>0</x:v>
      </x:c>
      <x:c r="AC659" s="33" t="n">
        <x:f>--OR(WorkforceData[[#This Row],[Status]]="Resigned",WorkforceData[[#This Row],[Status After Training]]="Withdrew")</x:f>
        <x:v>0</x:v>
      </x:c>
      <x:c r="AD659" s="34" t="n">
        <x:f>EOMONTH(WorkforceData[[#This Row],[Training Date]],0)</x:f>
        <x:v>46022</x:v>
      </x:c>
      <x:c r="AE659" s="32" t="str">
        <x:f>IF(M659&lt;H659,"Existing Employee",IF(U659="","No Assignment",IF(V659=0,"0 Days",IF(V659&lt;=7,"1-7 Days",IF(V659&lt;=14,"8-14 Days",IF(V659&lt;=21,"15-21 Days","21+ Days"))))))</x:f>
        <x:v>1-7 Days</x:v>
      </x:c>
      <x:c r="AF65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59" s="33" t="n">
        <x:f>--(WorkforceData[[#This Row],[Total Days Worked]]&gt;=121)</x:f>
        <x:v>1</x:v>
      </x:c>
    </x:row>
    <x:row r="660">
      <x:c r="A660" s="236" t="str">
        <x:v>TRN-0659</x:v>
      </x:c>
      <x:c r="B660" s="243"/>
      <x:c r="C660" s="243"/>
      <x:c r="D660" s="243"/>
      <x:c r="E660" s="243"/>
      <x:c r="F660" s="14" t="str">
        <x:v>Recruiter A</x:v>
      </x:c>
      <x:c r="G660" s="14" t="str">
        <x:v>Training Center B</x:v>
      </x:c>
      <x:c r="H660" s="28">
        <x:v>46004</x:v>
      </x:c>
      <x:c r="I660" s="14">
        <x:v>2025</x:v>
      </x:c>
      <x:c r="J660" s="14" t="s">
        <x:v>131</x:v>
      </x:c>
      <x:c r="K660" s="14">
        <x:v>28</x:v>
      </x:c>
      <x:c r="L660" s="29" t="s">
        <x:v>101</x:v>
      </x:c>
      <x:c r="M660" s="28">
        <x:v>46003</x:v>
      </x:c>
      <x:c r="N660" s="14"/>
      <x:c r="O660" s="14">
        <x:v>248</x:v>
      </x:c>
      <x:c r="P660" s="14" t="s">
        <x:v>107</x:v>
      </x:c>
      <x:c r="Q660" s="14" t="s">
        <x:v>25</x:v>
      </x:c>
      <x:c r="R660" s="14"/>
      <x:c r="S660" s="14" t="s">
        <x:v>108</x:v>
      </x:c>
      <x:c r="T660" s="14" t="str">
        <x:v>Region D</x:v>
      </x:c>
      <x:c r="U660" s="28">
        <x:v>46008</x:v>
      </x:c>
      <x:c r="V660" s="30">
        <x:v>4</x:v>
      </x:c>
      <x:c r="W660" s="14" t="s">
        <x:v>109</x:v>
      </x:c>
      <x:c r="X660" s="14" t="s">
        <x:v>106</x:v>
      </x:c>
      <x:c r="Y660" s="32" t="str">
        <x:v>TRN-0659|20251213</x:v>
      </x:c>
      <x:c r="Z660" s="32" t="str" cm="1">
        <x:f t="array" ref="Z66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660" s="33" t="n">
        <x:f>--OR(WorkforceData[[#This Row],[Status]]="Active",WorkforceData[[#This Row],[Promoted]]="Yes",WorkforceData[[#This Row],[Total Days Worked]]&gt;=121)</x:f>
        <x:v>1</x:v>
      </x:c>
      <x:c r="AB660" s="33" t="n">
        <x:f>IF(AND(Q660="Terminated",R660="",O660=0),1,0)</x:f>
        <x:v>0</x:v>
      </x:c>
      <x:c r="AC660" s="33" t="n">
        <x:f>--OR(WorkforceData[[#This Row],[Status]]="Resigned",WorkforceData[[#This Row],[Status After Training]]="Withdrew")</x:f>
        <x:v>0</x:v>
      </x:c>
      <x:c r="AD660" s="34" t="n">
        <x:f>EOMONTH(WorkforceData[[#This Row],[Training Date]],0)</x:f>
        <x:v>46022</x:v>
      </x:c>
      <x:c r="AE660" s="32" t="str">
        <x:f>IF(M660&lt;H660,"Existing Employee",IF(U660="","No Assignment",IF(V660=0,"0 Days",IF(V660&lt;=7,"1-7 Days",IF(V660&lt;=14,"8-14 Days",IF(V660&lt;=21,"15-21 Days","21+ Days"))))))</x:f>
        <x:v>Existing Employee</x:v>
      </x:c>
      <x:c r="AF66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60" s="33" t="n">
        <x:f>--(WorkforceData[[#This Row],[Total Days Worked]]&gt;=121)</x:f>
        <x:v>1</x:v>
      </x:c>
    </x:row>
    <x:row r="661">
      <x:c r="A661" s="236" t="str">
        <x:v>TRN-0660</x:v>
      </x:c>
      <x:c r="B661" s="243"/>
      <x:c r="C661" s="243"/>
      <x:c r="D661" s="243"/>
      <x:c r="E661" s="243"/>
      <x:c r="F661" s="14" t="str">
        <x:v>Recruiter D</x:v>
      </x:c>
      <x:c r="G661" s="14" t="str">
        <x:v>Training Center B</x:v>
      </x:c>
      <x:c r="H661" s="28">
        <x:v>46004</x:v>
      </x:c>
      <x:c r="I661" s="14">
        <x:v>2025</x:v>
      </x:c>
      <x:c r="J661" s="14" t="s">
        <x:v>131</x:v>
      </x:c>
      <x:c r="K661" s="14">
        <x:v>28</x:v>
      </x:c>
      <x:c r="L661" s="29" t="s">
        <x:v>101</x:v>
      </x:c>
      <x:c r="M661" s="28">
        <x:v>46004</x:v>
      </x:c>
      <x:c r="N661" s="14"/>
      <x:c r="O661" s="14">
        <x:v>247</x:v>
      </x:c>
      <x:c r="P661" s="14" t="s">
        <x:v>107</x:v>
      </x:c>
      <x:c r="Q661" s="14" t="s">
        <x:v>25</x:v>
      </x:c>
      <x:c r="R661" s="14"/>
      <x:c r="S661" s="14" t="s">
        <x:v>108</x:v>
      </x:c>
      <x:c r="T661" s="14" t="str">
        <x:v>Region D</x:v>
      </x:c>
      <x:c r="U661" s="28">
        <x:v>46005</x:v>
      </x:c>
      <x:c r="V661" s="30">
        <x:v>1</x:v>
      </x:c>
      <x:c r="W661" s="14" t="s">
        <x:v>109</x:v>
      </x:c>
      <x:c r="X661" s="14" t="s">
        <x:v>106</x:v>
      </x:c>
      <x:c r="Y661" s="32" t="str">
        <x:v>TRN-0660|20251213</x:v>
      </x:c>
      <x:c r="Z661" s="32" t="str" cm="1">
        <x:f t="array" ref="Z66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661" s="33" t="n">
        <x:f>--OR(WorkforceData[[#This Row],[Status]]="Active",WorkforceData[[#This Row],[Promoted]]="Yes",WorkforceData[[#This Row],[Total Days Worked]]&gt;=121)</x:f>
        <x:v>1</x:v>
      </x:c>
      <x:c r="AB661" s="33" t="n">
        <x:f>IF(AND(Q661="Terminated",R661="",O661=0),1,0)</x:f>
        <x:v>0</x:v>
      </x:c>
      <x:c r="AC661" s="33" t="n">
        <x:f>--OR(WorkforceData[[#This Row],[Status]]="Resigned",WorkforceData[[#This Row],[Status After Training]]="Withdrew")</x:f>
        <x:v>0</x:v>
      </x:c>
      <x:c r="AD661" s="34" t="n">
        <x:f>EOMONTH(WorkforceData[[#This Row],[Training Date]],0)</x:f>
        <x:v>46022</x:v>
      </x:c>
      <x:c r="AE661" s="32" t="str">
        <x:f>IF(M661&lt;H661,"Existing Employee",IF(U661="","No Assignment",IF(V661=0,"0 Days",IF(V661&lt;=7,"1-7 Days",IF(V661&lt;=14,"8-14 Days",IF(V661&lt;=21,"15-21 Days","21+ Days"))))))</x:f>
        <x:v>1-7 Days</x:v>
      </x:c>
      <x:c r="AF66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61" s="33" t="n">
        <x:f>--(WorkforceData[[#This Row],[Total Days Worked]]&gt;=121)</x:f>
        <x:v>1</x:v>
      </x:c>
    </x:row>
    <x:row r="662">
      <x:c r="A662" s="236" t="str">
        <x:v>TRN-0661</x:v>
      </x:c>
      <x:c r="B662" s="243"/>
      <x:c r="C662" s="243"/>
      <x:c r="D662" s="243"/>
      <x:c r="E662" s="243"/>
      <x:c r="F662" s="14" t="str">
        <x:v>Recruiter C</x:v>
      </x:c>
      <x:c r="G662" s="14" t="str">
        <x:v>Training Center B</x:v>
      </x:c>
      <x:c r="H662" s="28">
        <x:v>46004</x:v>
      </x:c>
      <x:c r="I662" s="14">
        <x:v>2025</x:v>
      </x:c>
      <x:c r="J662" s="14" t="s">
        <x:v>131</x:v>
      </x:c>
      <x:c r="K662" s="14">
        <x:v>28</x:v>
      </x:c>
      <x:c r="L662" s="29" t="s">
        <x:v>101</x:v>
      </x:c>
      <x:c r="M662" s="28">
        <x:v>46001</x:v>
      </x:c>
      <x:c r="N662" s="14"/>
      <x:c r="O662" s="14">
        <x:v>250</x:v>
      </x:c>
      <x:c r="P662" s="14" t="s">
        <x:v>107</x:v>
      </x:c>
      <x:c r="Q662" s="14" t="s">
        <x:v>25</x:v>
      </x:c>
      <x:c r="R662" s="14"/>
      <x:c r="S662" s="14" t="s">
        <x:v>108</x:v>
      </x:c>
      <x:c r="T662" s="14" t="str">
        <x:v>Region D</x:v>
      </x:c>
      <x:c r="U662" s="28">
        <x:v>46011</x:v>
      </x:c>
      <x:c r="V662" s="30">
        <x:v>7</x:v>
      </x:c>
      <x:c r="W662" s="14" t="s">
        <x:v>109</x:v>
      </x:c>
      <x:c r="X662" s="14" t="s">
        <x:v>106</x:v>
      </x:c>
      <x:c r="Y662" s="32" t="str">
        <x:v>TRN-0661|20251213</x:v>
      </x:c>
      <x:c r="Z662" s="32" t="str" cm="1">
        <x:f t="array" ref="Z66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662" s="33" t="n">
        <x:f>--OR(WorkforceData[[#This Row],[Status]]="Active",WorkforceData[[#This Row],[Promoted]]="Yes",WorkforceData[[#This Row],[Total Days Worked]]&gt;=121)</x:f>
        <x:v>1</x:v>
      </x:c>
      <x:c r="AB662" s="33" t="n">
        <x:f>IF(AND(Q662="Terminated",R662="",O662=0),1,0)</x:f>
        <x:v>0</x:v>
      </x:c>
      <x:c r="AC662" s="33" t="n">
        <x:f>--OR(WorkforceData[[#This Row],[Status]]="Resigned",WorkforceData[[#This Row],[Status After Training]]="Withdrew")</x:f>
        <x:v>0</x:v>
      </x:c>
      <x:c r="AD662" s="34" t="n">
        <x:f>EOMONTH(WorkforceData[[#This Row],[Training Date]],0)</x:f>
        <x:v>46022</x:v>
      </x:c>
      <x:c r="AE662" s="32" t="str">
        <x:f>IF(M662&lt;H662,"Existing Employee",IF(U662="","No Assignment",IF(V662=0,"0 Days",IF(V662&lt;=7,"1-7 Days",IF(V662&lt;=14,"8-14 Days",IF(V662&lt;=21,"15-21 Days","21+ Days"))))))</x:f>
        <x:v>Existing Employee</x:v>
      </x:c>
      <x:c r="AF66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62" s="33" t="n">
        <x:f>--(WorkforceData[[#This Row],[Total Days Worked]]&gt;=121)</x:f>
        <x:v>1</x:v>
      </x:c>
    </x:row>
    <x:row r="663">
      <x:c r="A663" s="236" t="str">
        <x:v>TRN-0662</x:v>
      </x:c>
      <x:c r="B663" s="243"/>
      <x:c r="C663" s="243"/>
      <x:c r="D663" s="243"/>
      <x:c r="E663" s="243"/>
      <x:c r="F663" s="14" t="str">
        <x:v>Recruiter D</x:v>
      </x:c>
      <x:c r="G663" s="14" t="str">
        <x:v>Training Center B</x:v>
      </x:c>
      <x:c r="H663" s="28">
        <x:v>46004</x:v>
      </x:c>
      <x:c r="I663" s="14">
        <x:v>2025</x:v>
      </x:c>
      <x:c r="J663" s="14" t="s">
        <x:v>131</x:v>
      </x:c>
      <x:c r="K663" s="14">
        <x:v>28</x:v>
      </x:c>
      <x:c r="L663" s="29" t="s">
        <x:v>101</x:v>
      </x:c>
      <x:c r="M663" s="28">
        <x:v>46003</x:v>
      </x:c>
      <x:c r="N663" s="14"/>
      <x:c r="O663" s="14">
        <x:v>248</x:v>
      </x:c>
      <x:c r="P663" s="14" t="s">
        <x:v>107</x:v>
      </x:c>
      <x:c r="Q663" s="14" t="s">
        <x:v>25</x:v>
      </x:c>
      <x:c r="R663" s="14"/>
      <x:c r="S663" s="14" t="s">
        <x:v>108</x:v>
      </x:c>
      <x:c r="T663" s="14" t="str">
        <x:v>Region E</x:v>
      </x:c>
      <x:c r="U663" s="28">
        <x:v>46018</x:v>
      </x:c>
      <x:c r="V663" s="30">
        <x:v>14</x:v>
      </x:c>
      <x:c r="W663" s="14" t="s">
        <x:v>45</x:v>
      </x:c>
      <x:c r="X663" s="14" t="s">
        <x:v>106</x:v>
      </x:c>
      <x:c r="Y663" s="32" t="str">
        <x:v>TRN-0662|20251213</x:v>
      </x:c>
      <x:c r="Z663" s="32" t="str" cm="1">
        <x:f t="array" ref="Z66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663" s="33" t="n">
        <x:f>--OR(WorkforceData[[#This Row],[Status]]="Active",WorkforceData[[#This Row],[Promoted]]="Yes",WorkforceData[[#This Row],[Total Days Worked]]&gt;=121)</x:f>
        <x:v>1</x:v>
      </x:c>
      <x:c r="AB663" s="33" t="n">
        <x:f>IF(AND(Q663="Terminated",R663="",O663=0),1,0)</x:f>
        <x:v>0</x:v>
      </x:c>
      <x:c r="AC663" s="33" t="n">
        <x:f>--OR(WorkforceData[[#This Row],[Status]]="Resigned",WorkforceData[[#This Row],[Status After Training]]="Withdrew")</x:f>
        <x:v>0</x:v>
      </x:c>
      <x:c r="AD663" s="34" t="n">
        <x:f>EOMONTH(WorkforceData[[#This Row],[Training Date]],0)</x:f>
        <x:v>46022</x:v>
      </x:c>
      <x:c r="AE663" s="32" t="str">
        <x:f>IF(M663&lt;H663,"Existing Employee",IF(U663="","No Assignment",IF(V663=0,"0 Days",IF(V663&lt;=7,"1-7 Days",IF(V663&lt;=14,"8-14 Days",IF(V663&lt;=21,"15-21 Days","21+ Days"))))))</x:f>
        <x:v>Existing Employee</x:v>
      </x:c>
      <x:c r="AF66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63" s="33" t="n">
        <x:f>--(WorkforceData[[#This Row],[Total Days Worked]]&gt;=121)</x:f>
        <x:v>1</x:v>
      </x:c>
    </x:row>
    <x:row r="664">
      <x:c r="A664" s="236" t="str">
        <x:v>TRN-0663</x:v>
      </x:c>
      <x:c r="B664" s="243"/>
      <x:c r="C664" s="243"/>
      <x:c r="D664" s="243"/>
      <x:c r="E664" s="243"/>
      <x:c r="F664" s="14" t="str">
        <x:v>Recruiter E</x:v>
      </x:c>
      <x:c r="G664" s="14" t="str">
        <x:v>Training Center B</x:v>
      </x:c>
      <x:c r="H664" s="28">
        <x:v>46004</x:v>
      </x:c>
      <x:c r="I664" s="14">
        <x:v>2025</x:v>
      </x:c>
      <x:c r="J664" s="14" t="s">
        <x:v>131</x:v>
      </x:c>
      <x:c r="K664" s="14">
        <x:v>28</x:v>
      </x:c>
      <x:c r="L664" s="29" t="s">
        <x:v>101</x:v>
      </x:c>
      <x:c r="M664" s="28">
        <x:v>45994</x:v>
      </x:c>
      <x:c r="N664" s="14"/>
      <x:c r="O664" s="14">
        <x:v>257</x:v>
      </x:c>
      <x:c r="P664" s="14" t="s">
        <x:v>107</x:v>
      </x:c>
      <x:c r="Q664" s="14" t="s">
        <x:v>25</x:v>
      </x:c>
      <x:c r="R664" s="14"/>
      <x:c r="S664" s="14" t="s">
        <x:v>108</x:v>
      </x:c>
      <x:c r="T664" s="14" t="str">
        <x:v>Region E</x:v>
      </x:c>
      <x:c r="U664" s="28">
        <x:v>46005</x:v>
      </x:c>
      <x:c r="V664" s="30">
        <x:v>1</x:v>
      </x:c>
      <x:c r="W664" s="14" t="s">
        <x:v>109</x:v>
      </x:c>
      <x:c r="X664" s="14" t="s">
        <x:v>106</x:v>
      </x:c>
      <x:c r="Y664" s="32" t="str">
        <x:v>TRN-0663|20251213</x:v>
      </x:c>
      <x:c r="Z664" s="32" t="str" cm="1">
        <x:f t="array" ref="Z66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664" s="33" t="n">
        <x:f>--OR(WorkforceData[[#This Row],[Status]]="Active",WorkforceData[[#This Row],[Promoted]]="Yes",WorkforceData[[#This Row],[Total Days Worked]]&gt;=121)</x:f>
        <x:v>1</x:v>
      </x:c>
      <x:c r="AB664" s="33" t="n">
        <x:f>IF(AND(Q664="Terminated",R664="",O664=0),1,0)</x:f>
        <x:v>0</x:v>
      </x:c>
      <x:c r="AC664" s="33" t="n">
        <x:f>--OR(WorkforceData[[#This Row],[Status]]="Resigned",WorkforceData[[#This Row],[Status After Training]]="Withdrew")</x:f>
        <x:v>0</x:v>
      </x:c>
      <x:c r="AD664" s="34" t="n">
        <x:f>EOMONTH(WorkforceData[[#This Row],[Training Date]],0)</x:f>
        <x:v>46022</x:v>
      </x:c>
      <x:c r="AE664" s="32" t="str">
        <x:f>IF(M664&lt;H664,"Existing Employee",IF(U664="","No Assignment",IF(V664=0,"0 Days",IF(V664&lt;=7,"1-7 Days",IF(V664&lt;=14,"8-14 Days",IF(V664&lt;=21,"15-21 Days","21+ Days"))))))</x:f>
        <x:v>Existing Employee</x:v>
      </x:c>
      <x:c r="AF66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64" s="33" t="n">
        <x:f>--(WorkforceData[[#This Row],[Total Days Worked]]&gt;=121)</x:f>
        <x:v>1</x:v>
      </x:c>
    </x:row>
    <x:row r="665">
      <x:c r="A665" s="236" t="str">
        <x:v>TRN-0664</x:v>
      </x:c>
      <x:c r="B665" s="243"/>
      <x:c r="C665" s="243"/>
      <x:c r="D665" s="243"/>
      <x:c r="E665" s="243"/>
      <x:c r="F665" s="14" t="str">
        <x:v>Recruiter G</x:v>
      </x:c>
      <x:c r="G665" s="14" t="str">
        <x:v>Training Center B</x:v>
      </x:c>
      <x:c r="H665" s="28">
        <x:v>46004</x:v>
      </x:c>
      <x:c r="I665" s="14">
        <x:v>2025</x:v>
      </x:c>
      <x:c r="J665" s="14" t="s">
        <x:v>131</x:v>
      </x:c>
      <x:c r="K665" s="14">
        <x:v>28</x:v>
      </x:c>
      <x:c r="L665" s="29" t="s">
        <x:v>101</x:v>
      </x:c>
      <x:c r="M665" s="28">
        <x:v>45997</x:v>
      </x:c>
      <x:c r="N665" s="28">
        <x:v>46033</x:v>
      </x:c>
      <x:c r="O665" s="14">
        <x:v>36</x:v>
      </x:c>
      <x:c r="P665" s="14" t="s">
        <x:v>110</x:v>
      </x:c>
      <x:c r="Q665" s="14" t="s">
        <x:v>103</x:v>
      </x:c>
      <x:c r="R665" s="14" t="s">
        <x:v>104</x:v>
      </x:c>
      <x:c r="S665" s="14" t="s">
        <x:v>105</x:v>
      </x:c>
      <x:c r="T665" s="14" t="str">
        <x:v>Region A</x:v>
      </x:c>
      <x:c r="U665" s="28">
        <x:v>46014</x:v>
      </x:c>
      <x:c r="V665" s="30">
        <x:v>10</x:v>
      </x:c>
      <x:c r="W665" s="14" t="s">
        <x:v>45</x:v>
      </x:c>
      <x:c r="X665" s="14" t="s">
        <x:v>106</x:v>
      </x:c>
      <x:c r="Y665" s="32" t="str">
        <x:v>TRN-0664|20251213</x:v>
      </x:c>
      <x:c r="Z665" s="32" t="str" cm="1">
        <x:f t="array" ref="Z66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665" s="33" t="n">
        <x:f>--OR(WorkforceData[[#This Row],[Status]]="Active",WorkforceData[[#This Row],[Promoted]]="Yes",WorkforceData[[#This Row],[Total Days Worked]]&gt;=121)</x:f>
        <x:v>0</x:v>
      </x:c>
      <x:c r="AB665" s="33" t="n">
        <x:f>IF(AND(Q665="Terminated",R665="",O665=0),1,0)</x:f>
        <x:v>0</x:v>
      </x:c>
      <x:c r="AC665" s="33" t="n">
        <x:f>--OR(WorkforceData[[#This Row],[Status]]="Resigned",WorkforceData[[#This Row],[Status After Training]]="Withdrew")</x:f>
        <x:v>1</x:v>
      </x:c>
      <x:c r="AD665" s="34" t="n">
        <x:f>EOMONTH(WorkforceData[[#This Row],[Training Date]],0)</x:f>
        <x:v>46022</x:v>
      </x:c>
      <x:c r="AE665" s="32" t="str">
        <x:f>IF(M665&lt;H665,"Existing Employee",IF(U665="","No Assignment",IF(V665=0,"0 Days",IF(V665&lt;=7,"1-7 Days",IF(V665&lt;=14,"8-14 Days",IF(V665&lt;=21,"15-21 Days","21+ Days"))))))</x:f>
        <x:v>Existing Employee</x:v>
      </x:c>
      <x:c r="AF66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665" s="33" t="n">
        <x:f>--(WorkforceData[[#This Row],[Total Days Worked]]&gt;=121)</x:f>
        <x:v>0</x:v>
      </x:c>
    </x:row>
    <x:row r="666">
      <x:c r="A666" s="236" t="str">
        <x:v>TRN-0665</x:v>
      </x:c>
      <x:c r="B666" s="243"/>
      <x:c r="C666" s="243"/>
      <x:c r="D666" s="243"/>
      <x:c r="E666" s="243"/>
      <x:c r="F666" s="14" t="str">
        <x:v>Recruiter E</x:v>
      </x:c>
      <x:c r="G666" s="14" t="str">
        <x:v>Training Center B</x:v>
      </x:c>
      <x:c r="H666" s="28">
        <x:v>46004</x:v>
      </x:c>
      <x:c r="I666" s="14">
        <x:v>2025</x:v>
      </x:c>
      <x:c r="J666" s="14" t="s">
        <x:v>131</x:v>
      </x:c>
      <x:c r="K666" s="14">
        <x:v>28</x:v>
      </x:c>
      <x:c r="L666" s="29" t="s">
        <x:v>101</x:v>
      </x:c>
      <x:c r="M666" s="28">
        <x:v>45994</x:v>
      </x:c>
      <x:c r="N666" s="28">
        <x:v>46033</x:v>
      </x:c>
      <x:c r="O666" s="14">
        <x:v>39</x:v>
      </x:c>
      <x:c r="P666" s="14" t="s">
        <x:v>110</x:v>
      </x:c>
      <x:c r="Q666" s="14" t="s">
        <x:v>33</x:v>
      </x:c>
      <x:c r="R666" s="14" t="s">
        <x:v>116</x:v>
      </x:c>
      <x:c r="S666" s="14" t="s">
        <x:v>105</x:v>
      </x:c>
      <x:c r="T666" s="14" t="str">
        <x:v>Region B</x:v>
      </x:c>
      <x:c r="U666" s="28">
        <x:v>46033</x:v>
      </x:c>
      <x:c r="V666" s="30">
        <x:v>29</x:v>
      </x:c>
      <x:c r="W666" s="14" t="s">
        <x:v>112</x:v>
      </x:c>
      <x:c r="X666" s="14" t="s">
        <x:v>117</x:v>
      </x:c>
      <x:c r="Y666" s="32" t="str">
        <x:v>TRN-0665|20251213</x:v>
      </x:c>
      <x:c r="Z666" s="32" t="str" cm="1">
        <x:f t="array" ref="Z66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666" s="33" t="n">
        <x:f>--OR(WorkforceData[[#This Row],[Status]]="Active",WorkforceData[[#This Row],[Promoted]]="Yes",WorkforceData[[#This Row],[Total Days Worked]]&gt;=121)</x:f>
        <x:v>0</x:v>
      </x:c>
      <x:c r="AB666" s="33" t="n">
        <x:f>IF(AND(Q666="Terminated",R666="",O666=0),1,0)</x:f>
        <x:v>0</x:v>
      </x:c>
      <x:c r="AC666" s="33" t="n">
        <x:f>--OR(WorkforceData[[#This Row],[Status]]="Resigned",WorkforceData[[#This Row],[Status After Training]]="Withdrew")</x:f>
        <x:v>0</x:v>
      </x:c>
      <x:c r="AD666" s="34" t="n">
        <x:f>EOMONTH(WorkforceData[[#This Row],[Training Date]],0)</x:f>
        <x:v>46022</x:v>
      </x:c>
      <x:c r="AE666" s="32" t="str">
        <x:f>IF(M666&lt;H666,"Existing Employee",IF(U666="","No Assignment",IF(V666=0,"0 Days",IF(V666&lt;=7,"1-7 Days",IF(V666&lt;=14,"8-14 Days",IF(V666&lt;=21,"15-21 Days","21+ Days"))))))</x:f>
        <x:v>Existing Employee</x:v>
      </x:c>
      <x:c r="AF66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666" s="33" t="n">
        <x:f>--(WorkforceData[[#This Row],[Total Days Worked]]&gt;=121)</x:f>
        <x:v>0</x:v>
      </x:c>
    </x:row>
    <x:row r="667">
      <x:c r="A667" s="236" t="str">
        <x:v>TRN-0666</x:v>
      </x:c>
      <x:c r="B667" s="243"/>
      <x:c r="C667" s="243"/>
      <x:c r="D667" s="243"/>
      <x:c r="E667" s="243"/>
      <x:c r="F667" s="14" t="str">
        <x:v>Recruiter E</x:v>
      </x:c>
      <x:c r="G667" s="14" t="str">
        <x:v>Training Center B</x:v>
      </x:c>
      <x:c r="H667" s="28">
        <x:v>46004</x:v>
      </x:c>
      <x:c r="I667" s="14">
        <x:v>2025</x:v>
      </x:c>
      <x:c r="J667" s="14" t="s">
        <x:v>131</x:v>
      </x:c>
      <x:c r="K667" s="14">
        <x:v>28</x:v>
      </x:c>
      <x:c r="L667" s="29" t="s">
        <x:v>101</x:v>
      </x:c>
      <x:c r="M667" s="28">
        <x:v>46003</x:v>
      </x:c>
      <x:c r="N667" s="14"/>
      <x:c r="O667" s="14">
        <x:v>248</x:v>
      </x:c>
      <x:c r="P667" s="14" t="s">
        <x:v>107</x:v>
      </x:c>
      <x:c r="Q667" s="14" t="s">
        <x:v>25</x:v>
      </x:c>
      <x:c r="R667" s="14"/>
      <x:c r="S667" s="14" t="s">
        <x:v>108</x:v>
      </x:c>
      <x:c r="T667" s="14" t="str">
        <x:v>Region B</x:v>
      </x:c>
      <x:c r="U667" s="28">
        <x:v>46006</x:v>
      </x:c>
      <x:c r="V667" s="30">
        <x:v>2</x:v>
      </x:c>
      <x:c r="W667" s="14" t="s">
        <x:v>109</x:v>
      </x:c>
      <x:c r="X667" s="14" t="s">
        <x:v>106</x:v>
      </x:c>
      <x:c r="Y667" s="32" t="str">
        <x:v>TRN-0666|20251213</x:v>
      </x:c>
      <x:c r="Z667" s="32" t="str" cm="1">
        <x:f t="array" ref="Z66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667" s="33" t="n">
        <x:f>--OR(WorkforceData[[#This Row],[Status]]="Active",WorkforceData[[#This Row],[Promoted]]="Yes",WorkforceData[[#This Row],[Total Days Worked]]&gt;=121)</x:f>
        <x:v>1</x:v>
      </x:c>
      <x:c r="AB667" s="33" t="n">
        <x:f>IF(AND(Q667="Terminated",R667="",O667=0),1,0)</x:f>
        <x:v>0</x:v>
      </x:c>
      <x:c r="AC667" s="33" t="n">
        <x:f>--OR(WorkforceData[[#This Row],[Status]]="Resigned",WorkforceData[[#This Row],[Status After Training]]="Withdrew")</x:f>
        <x:v>0</x:v>
      </x:c>
      <x:c r="AD667" s="34" t="n">
        <x:f>EOMONTH(WorkforceData[[#This Row],[Training Date]],0)</x:f>
        <x:v>46022</x:v>
      </x:c>
      <x:c r="AE667" s="32" t="str">
        <x:f>IF(M667&lt;H667,"Existing Employee",IF(U667="","No Assignment",IF(V667=0,"0 Days",IF(V667&lt;=7,"1-7 Days",IF(V667&lt;=14,"8-14 Days",IF(V667&lt;=21,"15-21 Days","21+ Days"))))))</x:f>
        <x:v>Existing Employee</x:v>
      </x:c>
      <x:c r="AF66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67" s="33" t="n">
        <x:f>--(WorkforceData[[#This Row],[Total Days Worked]]&gt;=121)</x:f>
        <x:v>1</x:v>
      </x:c>
    </x:row>
    <x:row r="668">
      <x:c r="A668" s="236" t="str">
        <x:v>TRN-0667</x:v>
      </x:c>
      <x:c r="B668" s="243"/>
      <x:c r="C668" s="243"/>
      <x:c r="D668" s="243"/>
      <x:c r="E668" s="243"/>
      <x:c r="F668" s="14" t="str">
        <x:v>Recruiter G</x:v>
      </x:c>
      <x:c r="G668" s="14" t="str">
        <x:v>Training Center B</x:v>
      </x:c>
      <x:c r="H668" s="28">
        <x:v>46004</x:v>
      </x:c>
      <x:c r="I668" s="14">
        <x:v>2025</x:v>
      </x:c>
      <x:c r="J668" s="14" t="s">
        <x:v>131</x:v>
      </x:c>
      <x:c r="K668" s="14">
        <x:v>28</x:v>
      </x:c>
      <x:c r="L668" s="29" t="s">
        <x:v>101</x:v>
      </x:c>
      <x:c r="M668" s="28">
        <x:v>46004</x:v>
      </x:c>
      <x:c r="N668" s="28">
        <x:v>46009</x:v>
      </x:c>
      <x:c r="O668" s="14">
        <x:v>5</x:v>
      </x:c>
      <x:c r="P668" s="14" t="s">
        <x:v>102</x:v>
      </x:c>
      <x:c r="Q668" s="14" t="s">
        <x:v>103</x:v>
      </x:c>
      <x:c r="R668" s="14" t="s">
        <x:v>104</x:v>
      </x:c>
      <x:c r="S668" s="14" t="s">
        <x:v>105</x:v>
      </x:c>
      <x:c r="T668" s="14" t="str">
        <x:v>Region B</x:v>
      </x:c>
      <x:c r="U668" s="28">
        <x:v>46009</x:v>
      </x:c>
      <x:c r="V668" s="30">
        <x:v>5</x:v>
      </x:c>
      <x:c r="W668" s="14" t="s">
        <x:v>109</x:v>
      </x:c>
      <x:c r="X668" s="14" t="s">
        <x:v>117</x:v>
      </x:c>
      <x:c r="Y668" s="32" t="str">
        <x:v>TRN-0667|20251213</x:v>
      </x:c>
      <x:c r="Z668" s="32" t="str" cm="1">
        <x:f t="array" ref="Z66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668" s="33" t="n">
        <x:f>--OR(WorkforceData[[#This Row],[Status]]="Active",WorkforceData[[#This Row],[Promoted]]="Yes",WorkforceData[[#This Row],[Total Days Worked]]&gt;=121)</x:f>
        <x:v>0</x:v>
      </x:c>
      <x:c r="AB668" s="33" t="n">
        <x:f>IF(AND(Q668="Terminated",R668="",O668=0),1,0)</x:f>
        <x:v>0</x:v>
      </x:c>
      <x:c r="AC668" s="33" t="n">
        <x:f>--OR(WorkforceData[[#This Row],[Status]]="Resigned",WorkforceData[[#This Row],[Status After Training]]="Withdrew")</x:f>
        <x:v>1</x:v>
      </x:c>
      <x:c r="AD668" s="34" t="n">
        <x:f>EOMONTH(WorkforceData[[#This Row],[Training Date]],0)</x:f>
        <x:v>46022</x:v>
      </x:c>
      <x:c r="AE668" s="32" t="str">
        <x:f>IF(M668&lt;H668,"Existing Employee",IF(U668="","No Assignment",IF(V668=0,"0 Days",IF(V668&lt;=7,"1-7 Days",IF(V668&lt;=14,"8-14 Days",IF(V668&lt;=21,"15-21 Days","21+ Days"))))))</x:f>
        <x:v>1-7 Days</x:v>
      </x:c>
      <x:c r="AF66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1-7 Days</x:v>
      </x:c>
      <x:c r="AG668" s="33" t="n">
        <x:f>--(WorkforceData[[#This Row],[Total Days Worked]]&gt;=121)</x:f>
        <x:v>0</x:v>
      </x:c>
    </x:row>
    <x:row r="669">
      <x:c r="A669" s="236" t="str">
        <x:v>TRN-0668</x:v>
      </x:c>
      <x:c r="B669" s="243"/>
      <x:c r="C669" s="243"/>
      <x:c r="D669" s="243"/>
      <x:c r="E669" s="243"/>
      <x:c r="F669" s="14" t="str">
        <x:v>Recruiter H</x:v>
      </x:c>
      <x:c r="G669" s="14" t="str">
        <x:v>Training Center B</x:v>
      </x:c>
      <x:c r="H669" s="28">
        <x:v>46004</x:v>
      </x:c>
      <x:c r="I669" s="14">
        <x:v>2025</x:v>
      </x:c>
      <x:c r="J669" s="14" t="s">
        <x:v>131</x:v>
      </x:c>
      <x:c r="K669" s="14">
        <x:v>28</x:v>
      </x:c>
      <x:c r="L669" s="29" t="s">
        <x:v>101</x:v>
      </x:c>
      <x:c r="M669" s="28">
        <x:v>46001</x:v>
      </x:c>
      <x:c r="N669" s="28">
        <x:v>46251</x:v>
      </x:c>
      <x:c r="O669" s="14">
        <x:v>250</x:v>
      </x:c>
      <x:c r="P669" s="14" t="s">
        <x:v>107</x:v>
      </x:c>
      <x:c r="Q669" s="14" t="s">
        <x:v>103</x:v>
      </x:c>
      <x:c r="R669" s="14" t="s">
        <x:v>104</x:v>
      </x:c>
      <x:c r="S669" s="14" t="s">
        <x:v>108</x:v>
      </x:c>
      <x:c r="T669" s="14" t="str">
        <x:v>Region B</x:v>
      </x:c>
      <x:c r="U669" s="28">
        <x:v>46048</x:v>
      </x:c>
      <x:c r="V669" s="30">
        <x:v>44</x:v>
      </x:c>
      <x:c r="W669" s="14" t="s">
        <x:v>63</x:v>
      </x:c>
      <x:c r="X669" s="14" t="s">
        <x:v>117</x:v>
      </x:c>
      <x:c r="Y669" s="32" t="str">
        <x:v>TRN-0668|20251213</x:v>
      </x:c>
      <x:c r="Z669" s="32" t="str" cm="1">
        <x:f t="array" ref="Z66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669" s="33" t="n">
        <x:f>--OR(WorkforceData[[#This Row],[Status]]="Active",WorkforceData[[#This Row],[Promoted]]="Yes",WorkforceData[[#This Row],[Total Days Worked]]&gt;=121)</x:f>
        <x:v>1</x:v>
      </x:c>
      <x:c r="AB669" s="33" t="n">
        <x:f>IF(AND(Q669="Terminated",R669="",O669=0),1,0)</x:f>
        <x:v>0</x:v>
      </x:c>
      <x:c r="AC669" s="33" t="n">
        <x:f>--OR(WorkforceData[[#This Row],[Status]]="Resigned",WorkforceData[[#This Row],[Status After Training]]="Withdrew")</x:f>
        <x:v>1</x:v>
      </x:c>
      <x:c r="AD669" s="34" t="n">
        <x:f>EOMONTH(WorkforceData[[#This Row],[Training Date]],0)</x:f>
        <x:v>46022</x:v>
      </x:c>
      <x:c r="AE669" s="32" t="str">
        <x:f>IF(M669&lt;H669,"Existing Employee",IF(U669="","No Assignment",IF(V669=0,"0 Days",IF(V669&lt;=7,"1-7 Days",IF(V669&lt;=14,"8-14 Days",IF(V669&lt;=21,"15-21 Days","21+ Days"))))))</x:f>
        <x:v>Existing Employee</x:v>
      </x:c>
      <x:c r="AF66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69" s="33" t="n">
        <x:f>--(WorkforceData[[#This Row],[Total Days Worked]]&gt;=121)</x:f>
        <x:v>1</x:v>
      </x:c>
    </x:row>
    <x:row r="670">
      <x:c r="A670" s="236" t="str">
        <x:v>TRN-0669</x:v>
      </x:c>
      <x:c r="B670" s="243"/>
      <x:c r="C670" s="243"/>
      <x:c r="D670" s="243"/>
      <x:c r="E670" s="243"/>
      <x:c r="F670" s="14" t="str">
        <x:v>Recruiter C</x:v>
      </x:c>
      <x:c r="G670" s="14" t="str">
        <x:v>Training Center B</x:v>
      </x:c>
      <x:c r="H670" s="28">
        <x:v>46004</x:v>
      </x:c>
      <x:c r="I670" s="14">
        <x:v>2025</x:v>
      </x:c>
      <x:c r="J670" s="14" t="s">
        <x:v>131</x:v>
      </x:c>
      <x:c r="K670" s="14">
        <x:v>28</x:v>
      </x:c>
      <x:c r="L670" s="29" t="s">
        <x:v>101</x:v>
      </x:c>
      <x:c r="M670" s="28">
        <x:v>46002</x:v>
      </x:c>
      <x:c r="N670" s="28">
        <x:v>46251</x:v>
      </x:c>
      <x:c r="O670" s="14">
        <x:v>249</x:v>
      </x:c>
      <x:c r="P670" s="14" t="s">
        <x:v>107</x:v>
      </x:c>
      <x:c r="Q670" s="14" t="s">
        <x:v>103</x:v>
      </x:c>
      <x:c r="R670" s="14" t="s">
        <x:v>104</x:v>
      </x:c>
      <x:c r="S670" s="14" t="s">
        <x:v>108</x:v>
      </x:c>
      <x:c r="T670" s="14" t="str">
        <x:v>Region D</x:v>
      </x:c>
      <x:c r="U670" s="28">
        <x:v>46030</x:v>
      </x:c>
      <x:c r="V670" s="30">
        <x:v>26</x:v>
      </x:c>
      <x:c r="W670" s="14" t="s">
        <x:v>112</x:v>
      </x:c>
      <x:c r="X670" s="14" t="s">
        <x:v>106</x:v>
      </x:c>
      <x:c r="Y670" s="32" t="str">
        <x:v>TRN-0669|20251213</x:v>
      </x:c>
      <x:c r="Z670" s="32" t="str" cm="1">
        <x:f t="array" ref="Z67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670" s="33" t="n">
        <x:f>--OR(WorkforceData[[#This Row],[Status]]="Active",WorkforceData[[#This Row],[Promoted]]="Yes",WorkforceData[[#This Row],[Total Days Worked]]&gt;=121)</x:f>
        <x:v>1</x:v>
      </x:c>
      <x:c r="AB670" s="33" t="n">
        <x:f>IF(AND(Q670="Terminated",R670="",O670=0),1,0)</x:f>
        <x:v>0</x:v>
      </x:c>
      <x:c r="AC670" s="33" t="n">
        <x:f>--OR(WorkforceData[[#This Row],[Status]]="Resigned",WorkforceData[[#This Row],[Status After Training]]="Withdrew")</x:f>
        <x:v>1</x:v>
      </x:c>
      <x:c r="AD670" s="34" t="n">
        <x:f>EOMONTH(WorkforceData[[#This Row],[Training Date]],0)</x:f>
        <x:v>46022</x:v>
      </x:c>
      <x:c r="AE670" s="32" t="str">
        <x:f>IF(M670&lt;H670,"Existing Employee",IF(U670="","No Assignment",IF(V670=0,"0 Days",IF(V670&lt;=7,"1-7 Days",IF(V670&lt;=14,"8-14 Days",IF(V670&lt;=21,"15-21 Days","21+ Days"))))))</x:f>
        <x:v>Existing Employee</x:v>
      </x:c>
      <x:c r="AF67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70" s="33" t="n">
        <x:f>--(WorkforceData[[#This Row],[Total Days Worked]]&gt;=121)</x:f>
        <x:v>1</x:v>
      </x:c>
    </x:row>
    <x:row r="671">
      <x:c r="A671" s="236" t="str">
        <x:v>TRN-0670</x:v>
      </x:c>
      <x:c r="B671" s="243"/>
      <x:c r="C671" s="243"/>
      <x:c r="D671" s="243"/>
      <x:c r="E671" s="243"/>
      <x:c r="F671" s="14" t="str">
        <x:v>Recruiter A</x:v>
      </x:c>
      <x:c r="G671" s="14" t="str">
        <x:v>Training Center B</x:v>
      </x:c>
      <x:c r="H671" s="28">
        <x:v>46004</x:v>
      </x:c>
      <x:c r="I671" s="14">
        <x:v>2025</x:v>
      </x:c>
      <x:c r="J671" s="14" t="s">
        <x:v>131</x:v>
      </x:c>
      <x:c r="K671" s="14">
        <x:v>28</x:v>
      </x:c>
      <x:c r="L671" s="29" t="s">
        <x:v>101</x:v>
      </x:c>
      <x:c r="M671" s="28">
        <x:v>46004</x:v>
      </x:c>
      <x:c r="N671" s="28">
        <x:v>46251</x:v>
      </x:c>
      <x:c r="O671" s="14">
        <x:v>247</x:v>
      </x:c>
      <x:c r="P671" s="14" t="s">
        <x:v>107</x:v>
      </x:c>
      <x:c r="Q671" s="14" t="s">
        <x:v>103</x:v>
      </x:c>
      <x:c r="R671" s="14" t="s">
        <x:v>104</x:v>
      </x:c>
      <x:c r="S671" s="14" t="s">
        <x:v>105</x:v>
      </x:c>
      <x:c r="T671" s="14" t="str">
        <x:v>Region D</x:v>
      </x:c>
      <x:c r="U671" s="28">
        <x:v>46078</x:v>
      </x:c>
      <x:c r="V671" s="30">
        <x:v>74</x:v>
      </x:c>
      <x:c r="W671" s="14" t="s">
        <x:v>114</x:v>
      </x:c>
      <x:c r="X671" s="14" t="s">
        <x:v>115</x:v>
      </x:c>
      <x:c r="Y671" s="32" t="str">
        <x:v>TRN-0670|20251213</x:v>
      </x:c>
      <x:c r="Z671" s="32" t="str" cm="1">
        <x:f t="array" ref="Z67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Complete</x:v>
      </x:c>
      <x:c r="AA671" s="33" t="n">
        <x:f>--OR(WorkforceData[[#This Row],[Status]]="Active",WorkforceData[[#This Row],[Promoted]]="Yes",WorkforceData[[#This Row],[Total Days Worked]]&gt;=121)</x:f>
        <x:v>1</x:v>
      </x:c>
      <x:c r="AB671" s="33" t="n">
        <x:f>IF(AND(Q671="Terminated",R671="",O671=0),1,0)</x:f>
        <x:v>0</x:v>
      </x:c>
      <x:c r="AC671" s="33" t="n">
        <x:f>--OR(WorkforceData[[#This Row],[Status]]="Resigned",WorkforceData[[#This Row],[Status After Training]]="Withdrew")</x:f>
        <x:v>1</x:v>
      </x:c>
      <x:c r="AD671" s="34" t="n">
        <x:f>EOMONTH(WorkforceData[[#This Row],[Training Date]],0)</x:f>
        <x:v>46022</x:v>
      </x:c>
      <x:c r="AE671" s="32" t="str">
        <x:f>IF(M671&lt;H671,"Existing Employee",IF(U671="","No Assignment",IF(V671=0,"0 Days",IF(V671&lt;=7,"1-7 Days",IF(V671&lt;=14,"8-14 Days",IF(V671&lt;=21,"15-21 Days","21+ Days"))))))</x:f>
        <x:v>21+ Days</x:v>
      </x:c>
      <x:c r="AF67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71" s="33" t="n">
        <x:f>--(WorkforceData[[#This Row],[Total Days Worked]]&gt;=121)</x:f>
        <x:v>1</x:v>
      </x:c>
    </x:row>
    <x:row r="672">
      <x:c r="A672" s="236" t="str">
        <x:v>TRN-0671</x:v>
      </x:c>
      <x:c r="B672" s="243"/>
      <x:c r="C672" s="243"/>
      <x:c r="D672" s="243"/>
      <x:c r="E672" s="243"/>
      <x:c r="F672" s="14" t="str">
        <x:v>Recruiter B</x:v>
      </x:c>
      <x:c r="G672" s="14" t="str">
        <x:v>Training Center B</x:v>
      </x:c>
      <x:c r="H672" s="28">
        <x:v>46004</x:v>
      </x:c>
      <x:c r="I672" s="14">
        <x:v>2025</x:v>
      </x:c>
      <x:c r="J672" s="14" t="s">
        <x:v>131</x:v>
      </x:c>
      <x:c r="K672" s="14">
        <x:v>28</x:v>
      </x:c>
      <x:c r="L672" s="29" t="s">
        <x:v>101</x:v>
      </x:c>
      <x:c r="M672" s="28">
        <x:v>46004</x:v>
      </x:c>
      <x:c r="N672" s="28">
        <x:v>46251</x:v>
      </x:c>
      <x:c r="O672" s="14">
        <x:v>247</x:v>
      </x:c>
      <x:c r="P672" s="14" t="s">
        <x:v>107</x:v>
      </x:c>
      <x:c r="Q672" s="14" t="s">
        <x:v>33</x:v>
      </x:c>
      <x:c r="R672" s="14" t="s">
        <x:v>116</x:v>
      </x:c>
      <x:c r="S672" s="14" t="s">
        <x:v>108</x:v>
      </x:c>
      <x:c r="T672" s="14" t="str">
        <x:v>Region E</x:v>
      </x:c>
      <x:c r="U672" s="28">
        <x:v>46034</x:v>
      </x:c>
      <x:c r="V672" s="30">
        <x:v>30</x:v>
      </x:c>
      <x:c r="W672" s="14" t="s">
        <x:v>112</x:v>
      </x:c>
      <x:c r="X672" s="14" t="s">
        <x:v>106</x:v>
      </x:c>
      <x:c r="Y672" s="32" t="str">
        <x:v>TRN-0671|20251213</x:v>
      </x:c>
      <x:c r="Z672" s="32" t="str" cm="1">
        <x:f t="array" ref="Z67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672" s="33" t="n">
        <x:f>--OR(WorkforceData[[#This Row],[Status]]="Active",WorkforceData[[#This Row],[Promoted]]="Yes",WorkforceData[[#This Row],[Total Days Worked]]&gt;=121)</x:f>
        <x:v>1</x:v>
      </x:c>
      <x:c r="AB672" s="33" t="n">
        <x:f>IF(AND(Q672="Terminated",R672="",O672=0),1,0)</x:f>
        <x:v>0</x:v>
      </x:c>
      <x:c r="AC672" s="33" t="n">
        <x:f>--OR(WorkforceData[[#This Row],[Status]]="Resigned",WorkforceData[[#This Row],[Status After Training]]="Withdrew")</x:f>
        <x:v>0</x:v>
      </x:c>
      <x:c r="AD672" s="34" t="n">
        <x:f>EOMONTH(WorkforceData[[#This Row],[Training Date]],0)</x:f>
        <x:v>46022</x:v>
      </x:c>
      <x:c r="AE672" s="32" t="str">
        <x:f>IF(M672&lt;H672,"Existing Employee",IF(U672="","No Assignment",IF(V672=0,"0 Days",IF(V672&lt;=7,"1-7 Days",IF(V672&lt;=14,"8-14 Days",IF(V672&lt;=21,"15-21 Days","21+ Days"))))))</x:f>
        <x:v>21+ Days</x:v>
      </x:c>
      <x:c r="AF67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72" s="33" t="n">
        <x:f>--(WorkforceData[[#This Row],[Total Days Worked]]&gt;=121)</x:f>
        <x:v>1</x:v>
      </x:c>
    </x:row>
    <x:row r="673">
      <x:c r="A673" s="236" t="str">
        <x:v>TRN-0672</x:v>
      </x:c>
      <x:c r="B673" s="243"/>
      <x:c r="C673" s="243"/>
      <x:c r="D673" s="243"/>
      <x:c r="E673" s="243"/>
      <x:c r="F673" s="14" t="str">
        <x:v>Recruiter H</x:v>
      </x:c>
      <x:c r="G673" s="14" t="str">
        <x:v>Training Center B</x:v>
      </x:c>
      <x:c r="H673" s="28">
        <x:v>46004</x:v>
      </x:c>
      <x:c r="I673" s="14">
        <x:v>2025</x:v>
      </x:c>
      <x:c r="J673" s="14" t="s">
        <x:v>131</x:v>
      </x:c>
      <x:c r="K673" s="14">
        <x:v>28</x:v>
      </x:c>
      <x:c r="L673" s="29" t="s">
        <x:v>101</x:v>
      </x:c>
      <x:c r="M673" s="28">
        <x:v>46004</x:v>
      </x:c>
      <x:c r="N673" s="28">
        <x:v>46023</x:v>
      </x:c>
      <x:c r="O673" s="14">
        <x:v>19</x:v>
      </x:c>
      <x:c r="P673" s="14" t="s">
        <x:v>102</x:v>
      </x:c>
      <x:c r="Q673" s="14" t="s">
        <x:v>103</x:v>
      </x:c>
      <x:c r="R673" s="14" t="s">
        <x:v>104</x:v>
      </x:c>
      <x:c r="S673" s="14" t="s">
        <x:v>105</x:v>
      </x:c>
      <x:c r="T673" s="14" t="str">
        <x:v>Region B</x:v>
      </x:c>
      <x:c r="U673" s="28">
        <x:v>46004</x:v>
      </x:c>
      <x:c r="V673" s="30">
        <x:v>0</x:v>
      </x:c>
      <x:c r="W673" s="14" t="s">
        <x:v>109</x:v>
      </x:c>
      <x:c r="X673" s="14" t="s">
        <x:v>106</x:v>
      </x:c>
      <x:c r="Y673" s="32" t="str">
        <x:v>TRN-0672|20251213</x:v>
      </x:c>
      <x:c r="Z673" s="32" t="str" cm="1">
        <x:f t="array" ref="Z67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673" s="33" t="n">
        <x:f>--OR(WorkforceData[[#This Row],[Status]]="Active",WorkforceData[[#This Row],[Promoted]]="Yes",WorkforceData[[#This Row],[Total Days Worked]]&gt;=121)</x:f>
        <x:v>0</x:v>
      </x:c>
      <x:c r="AB673" s="33" t="n">
        <x:f>IF(AND(Q673="Terminated",R673="",O673=0),1,0)</x:f>
        <x:v>0</x:v>
      </x:c>
      <x:c r="AC673" s="33" t="n">
        <x:f>--OR(WorkforceData[[#This Row],[Status]]="Resigned",WorkforceData[[#This Row],[Status After Training]]="Withdrew")</x:f>
        <x:v>1</x:v>
      </x:c>
      <x:c r="AD673" s="34" t="n">
        <x:f>EOMONTH(WorkforceData[[#This Row],[Training Date]],0)</x:f>
        <x:v>46022</x:v>
      </x:c>
      <x:c r="AE673" s="32" t="str">
        <x:f>IF(M673&lt;H673,"Existing Employee",IF(U673="","No Assignment",IF(V673=0,"0 Days",IF(V673&lt;=7,"1-7 Days",IF(V673&lt;=14,"8-14 Days",IF(V673&lt;=21,"15-21 Days","21+ Days"))))))</x:f>
        <x:v>0 Days</x:v>
      </x:c>
      <x:c r="AF67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673" s="33" t="n">
        <x:f>--(WorkforceData[[#This Row],[Total Days Worked]]&gt;=121)</x:f>
        <x:v>0</x:v>
      </x:c>
    </x:row>
    <x:row r="674">
      <x:c r="A674" s="236" t="str">
        <x:v>TRN-0673</x:v>
      </x:c>
      <x:c r="B674" s="243"/>
      <x:c r="C674" s="243"/>
      <x:c r="D674" s="243"/>
      <x:c r="E674" s="243"/>
      <x:c r="F674" s="14" t="str">
        <x:v>Recruiter G</x:v>
      </x:c>
      <x:c r="G674" s="14" t="str">
        <x:v>Training Center B</x:v>
      </x:c>
      <x:c r="H674" s="28">
        <x:v>46004</x:v>
      </x:c>
      <x:c r="I674" s="14">
        <x:v>2025</x:v>
      </x:c>
      <x:c r="J674" s="14" t="s">
        <x:v>131</x:v>
      </x:c>
      <x:c r="K674" s="14">
        <x:v>28</x:v>
      </x:c>
      <x:c r="L674" s="29" t="s">
        <x:v>101</x:v>
      </x:c>
      <x:c r="M674" s="28">
        <x:v>46003</x:v>
      </x:c>
      <x:c r="N674" s="14"/>
      <x:c r="O674" s="14">
        <x:v>248</x:v>
      </x:c>
      <x:c r="P674" s="14" t="s">
        <x:v>107</x:v>
      </x:c>
      <x:c r="Q674" s="14" t="s">
        <x:v>25</x:v>
      </x:c>
      <x:c r="R674" s="14"/>
      <x:c r="S674" s="14" t="s">
        <x:v>108</x:v>
      </x:c>
      <x:c r="T674" s="14" t="str">
        <x:v>Region A</x:v>
      </x:c>
      <x:c r="U674" s="28">
        <x:v>46014</x:v>
      </x:c>
      <x:c r="V674" s="30">
        <x:v>10</x:v>
      </x:c>
      <x:c r="W674" s="14" t="s">
        <x:v>45</x:v>
      </x:c>
      <x:c r="X674" s="14" t="s">
        <x:v>106</x:v>
      </x:c>
      <x:c r="Y674" s="32" t="str">
        <x:v>TRN-0673|20251213</x:v>
      </x:c>
      <x:c r="Z674" s="32" t="str" cm="1">
        <x:f t="array" ref="Z67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674" s="33" t="n">
        <x:f>--OR(WorkforceData[[#This Row],[Status]]="Active",WorkforceData[[#This Row],[Promoted]]="Yes",WorkforceData[[#This Row],[Total Days Worked]]&gt;=121)</x:f>
        <x:v>1</x:v>
      </x:c>
      <x:c r="AB674" s="33" t="n">
        <x:f>IF(AND(Q674="Terminated",R674="",O674=0),1,0)</x:f>
        <x:v>0</x:v>
      </x:c>
      <x:c r="AC674" s="33" t="n">
        <x:f>--OR(WorkforceData[[#This Row],[Status]]="Resigned",WorkforceData[[#This Row],[Status After Training]]="Withdrew")</x:f>
        <x:v>0</x:v>
      </x:c>
      <x:c r="AD674" s="34" t="n">
        <x:f>EOMONTH(WorkforceData[[#This Row],[Training Date]],0)</x:f>
        <x:v>46022</x:v>
      </x:c>
      <x:c r="AE674" s="32" t="str">
        <x:f>IF(M674&lt;H674,"Existing Employee",IF(U674="","No Assignment",IF(V674=0,"0 Days",IF(V674&lt;=7,"1-7 Days",IF(V674&lt;=14,"8-14 Days",IF(V674&lt;=21,"15-21 Days","21+ Days"))))))</x:f>
        <x:v>Existing Employee</x:v>
      </x:c>
      <x:c r="AF67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74" s="33" t="n">
        <x:f>--(WorkforceData[[#This Row],[Total Days Worked]]&gt;=121)</x:f>
        <x:v>1</x:v>
      </x:c>
    </x:row>
    <x:row r="675">
      <x:c r="A675" s="236" t="str">
        <x:v>TRN-0674</x:v>
      </x:c>
      <x:c r="B675" s="243"/>
      <x:c r="C675" s="243"/>
      <x:c r="D675" s="243"/>
      <x:c r="E675" s="243"/>
      <x:c r="F675" s="14" t="str">
        <x:v>Recruiter D</x:v>
      </x:c>
      <x:c r="G675" s="14" t="str">
        <x:v>Training Center B</x:v>
      </x:c>
      <x:c r="H675" s="28">
        <x:v>46004</x:v>
      </x:c>
      <x:c r="I675" s="14">
        <x:v>2025</x:v>
      </x:c>
      <x:c r="J675" s="14" t="s">
        <x:v>131</x:v>
      </x:c>
      <x:c r="K675" s="14">
        <x:v>28</x:v>
      </x:c>
      <x:c r="L675" s="29" t="s">
        <x:v>101</x:v>
      </x:c>
      <x:c r="M675" s="28">
        <x:v>45994</x:v>
      </x:c>
      <x:c r="N675" s="14"/>
      <x:c r="O675" s="14">
        <x:v>257</x:v>
      </x:c>
      <x:c r="P675" s="14" t="s">
        <x:v>107</x:v>
      </x:c>
      <x:c r="Q675" s="14" t="s">
        <x:v>25</x:v>
      </x:c>
      <x:c r="R675" s="14"/>
      <x:c r="S675" s="14" t="s">
        <x:v>108</x:v>
      </x:c>
      <x:c r="T675" s="14" t="str">
        <x:v>Region B</x:v>
      </x:c>
      <x:c r="U675" s="28">
        <x:v>46025</x:v>
      </x:c>
      <x:c r="V675" s="30">
        <x:v>21</x:v>
      </x:c>
      <x:c r="W675" s="14" t="s">
        <x:v>112</x:v>
      </x:c>
      <x:c r="X675" s="14" t="s">
        <x:v>106</x:v>
      </x:c>
      <x:c r="Y675" s="32" t="str">
        <x:v>TRN-0674|20251213</x:v>
      </x:c>
      <x:c r="Z675" s="32" t="str" cm="1">
        <x:f t="array" ref="Z67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675" s="33" t="n">
        <x:f>--OR(WorkforceData[[#This Row],[Status]]="Active",WorkforceData[[#This Row],[Promoted]]="Yes",WorkforceData[[#This Row],[Total Days Worked]]&gt;=121)</x:f>
        <x:v>1</x:v>
      </x:c>
      <x:c r="AB675" s="33" t="n">
        <x:f>IF(AND(Q675="Terminated",R675="",O675=0),1,0)</x:f>
        <x:v>0</x:v>
      </x:c>
      <x:c r="AC675" s="33" t="n">
        <x:f>--OR(WorkforceData[[#This Row],[Status]]="Resigned",WorkforceData[[#This Row],[Status After Training]]="Withdrew")</x:f>
        <x:v>0</x:v>
      </x:c>
      <x:c r="AD675" s="34" t="n">
        <x:f>EOMONTH(WorkforceData[[#This Row],[Training Date]],0)</x:f>
        <x:v>46022</x:v>
      </x:c>
      <x:c r="AE675" s="32" t="str">
        <x:f>IF(M675&lt;H675,"Existing Employee",IF(U675="","No Assignment",IF(V675=0,"0 Days",IF(V675&lt;=7,"1-7 Days",IF(V675&lt;=14,"8-14 Days",IF(V675&lt;=21,"15-21 Days","21+ Days"))))))</x:f>
        <x:v>Existing Employee</x:v>
      </x:c>
      <x:c r="AF67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75" s="33" t="n">
        <x:f>--(WorkforceData[[#This Row],[Total Days Worked]]&gt;=121)</x:f>
        <x:v>1</x:v>
      </x:c>
    </x:row>
    <x:row r="676">
      <x:c r="A676" s="236" t="str">
        <x:v>TRN-0675</x:v>
      </x:c>
      <x:c r="B676" s="243"/>
      <x:c r="C676" s="243"/>
      <x:c r="D676" s="243"/>
      <x:c r="E676" s="243"/>
      <x:c r="F676" s="14" t="str">
        <x:v>Recruiter F</x:v>
      </x:c>
      <x:c r="G676" s="14" t="str">
        <x:v>Training Center B</x:v>
      </x:c>
      <x:c r="H676" s="28">
        <x:v>46004</x:v>
      </x:c>
      <x:c r="I676" s="14">
        <x:v>2025</x:v>
      </x:c>
      <x:c r="J676" s="14" t="s">
        <x:v>131</x:v>
      </x:c>
      <x:c r="K676" s="14">
        <x:v>28</x:v>
      </x:c>
      <x:c r="L676" s="29" t="s">
        <x:v>101</x:v>
      </x:c>
      <x:c r="M676" s="28">
        <x:v>45997</x:v>
      </x:c>
      <x:c r="N676" s="14"/>
      <x:c r="O676" s="14">
        <x:v>254</x:v>
      </x:c>
      <x:c r="P676" s="14" t="s">
        <x:v>107</x:v>
      </x:c>
      <x:c r="Q676" s="14" t="s">
        <x:v>25</x:v>
      </x:c>
      <x:c r="R676" s="14"/>
      <x:c r="S676" s="14" t="s">
        <x:v>108</x:v>
      </x:c>
      <x:c r="T676" s="14" t="str">
        <x:v>Region B</x:v>
      </x:c>
      <x:c r="U676" s="28">
        <x:v>46021</x:v>
      </x:c>
      <x:c r="V676" s="30">
        <x:v>17</x:v>
      </x:c>
      <x:c r="W676" s="14" t="s">
        <x:v>112</x:v>
      </x:c>
      <x:c r="X676" s="14" t="s">
        <x:v>106</x:v>
      </x:c>
      <x:c r="Y676" s="32" t="str">
        <x:v>TRN-0675|20251213</x:v>
      </x:c>
      <x:c r="Z676" s="32" t="str" cm="1">
        <x:f t="array" ref="Z67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676" s="33" t="n">
        <x:f>--OR(WorkforceData[[#This Row],[Status]]="Active",WorkforceData[[#This Row],[Promoted]]="Yes",WorkforceData[[#This Row],[Total Days Worked]]&gt;=121)</x:f>
        <x:v>1</x:v>
      </x:c>
      <x:c r="AB676" s="33" t="n">
        <x:f>IF(AND(Q676="Terminated",R676="",O676=0),1,0)</x:f>
        <x:v>0</x:v>
      </x:c>
      <x:c r="AC676" s="33" t="n">
        <x:f>--OR(WorkforceData[[#This Row],[Status]]="Resigned",WorkforceData[[#This Row],[Status After Training]]="Withdrew")</x:f>
        <x:v>0</x:v>
      </x:c>
      <x:c r="AD676" s="34" t="n">
        <x:f>EOMONTH(WorkforceData[[#This Row],[Training Date]],0)</x:f>
        <x:v>46022</x:v>
      </x:c>
      <x:c r="AE676" s="32" t="str">
        <x:f>IF(M676&lt;H676,"Existing Employee",IF(U676="","No Assignment",IF(V676=0,"0 Days",IF(V676&lt;=7,"1-7 Days",IF(V676&lt;=14,"8-14 Days",IF(V676&lt;=21,"15-21 Days","21+ Days"))))))</x:f>
        <x:v>Existing Employee</x:v>
      </x:c>
      <x:c r="AF67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76" s="33" t="n">
        <x:f>--(WorkforceData[[#This Row],[Total Days Worked]]&gt;=121)</x:f>
        <x:v>1</x:v>
      </x:c>
    </x:row>
    <x:row r="677">
      <x:c r="A677" s="236" t="str">
        <x:v>TRN-0676</x:v>
      </x:c>
      <x:c r="B677" s="243"/>
      <x:c r="C677" s="243"/>
      <x:c r="D677" s="243"/>
      <x:c r="E677" s="243"/>
      <x:c r="F677" s="14" t="str">
        <x:v>Recruiter G</x:v>
      </x:c>
      <x:c r="G677" s="14" t="str">
        <x:v>Training Center B</x:v>
      </x:c>
      <x:c r="H677" s="28">
        <x:v>46004</x:v>
      </x:c>
      <x:c r="I677" s="14">
        <x:v>2025</x:v>
      </x:c>
      <x:c r="J677" s="14" t="s">
        <x:v>131</x:v>
      </x:c>
      <x:c r="K677" s="14">
        <x:v>28</x:v>
      </x:c>
      <x:c r="L677" s="29" t="s">
        <x:v>101</x:v>
      </x:c>
      <x:c r="M677" s="28">
        <x:v>46004</x:v>
      </x:c>
      <x:c r="N677" s="14"/>
      <x:c r="O677" s="14">
        <x:v>247</x:v>
      </x:c>
      <x:c r="P677" s="14" t="s">
        <x:v>107</x:v>
      </x:c>
      <x:c r="Q677" s="14" t="s">
        <x:v>25</x:v>
      </x:c>
      <x:c r="R677" s="14"/>
      <x:c r="S677" s="14" t="s">
        <x:v>108</x:v>
      </x:c>
      <x:c r="T677" s="14" t="str">
        <x:v>Region B</x:v>
      </x:c>
      <x:c r="U677" s="28">
        <x:v>46006</x:v>
      </x:c>
      <x:c r="V677" s="30">
        <x:v>2</x:v>
      </x:c>
      <x:c r="W677" s="14" t="s">
        <x:v>109</x:v>
      </x:c>
      <x:c r="X677" s="14" t="s">
        <x:v>106</x:v>
      </x:c>
      <x:c r="Y677" s="32" t="str">
        <x:v>TRN-0676|20251213</x:v>
      </x:c>
      <x:c r="Z677" s="32" t="str" cm="1">
        <x:f t="array" ref="Z67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677" s="33" t="n">
        <x:f>--OR(WorkforceData[[#This Row],[Status]]="Active",WorkforceData[[#This Row],[Promoted]]="Yes",WorkforceData[[#This Row],[Total Days Worked]]&gt;=121)</x:f>
        <x:v>1</x:v>
      </x:c>
      <x:c r="AB677" s="33" t="n">
        <x:f>IF(AND(Q677="Terminated",R677="",O677=0),1,0)</x:f>
        <x:v>0</x:v>
      </x:c>
      <x:c r="AC677" s="33" t="n">
        <x:f>--OR(WorkforceData[[#This Row],[Status]]="Resigned",WorkforceData[[#This Row],[Status After Training]]="Withdrew")</x:f>
        <x:v>0</x:v>
      </x:c>
      <x:c r="AD677" s="34" t="n">
        <x:f>EOMONTH(WorkforceData[[#This Row],[Training Date]],0)</x:f>
        <x:v>46022</x:v>
      </x:c>
      <x:c r="AE677" s="32" t="str">
        <x:f>IF(M677&lt;H677,"Existing Employee",IF(U677="","No Assignment",IF(V677=0,"0 Days",IF(V677&lt;=7,"1-7 Days",IF(V677&lt;=14,"8-14 Days",IF(V677&lt;=21,"15-21 Days","21+ Days"))))))</x:f>
        <x:v>1-7 Days</x:v>
      </x:c>
      <x:c r="AF67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77" s="33" t="n">
        <x:f>--(WorkforceData[[#This Row],[Total Days Worked]]&gt;=121)</x:f>
        <x:v>1</x:v>
      </x:c>
    </x:row>
    <x:row r="678">
      <x:c r="A678" s="236" t="str">
        <x:v>TRN-0677</x:v>
      </x:c>
      <x:c r="B678" s="243"/>
      <x:c r="C678" s="243"/>
      <x:c r="D678" s="243"/>
      <x:c r="E678" s="243"/>
      <x:c r="F678" s="14" t="str">
        <x:v>Recruiter A</x:v>
      </x:c>
      <x:c r="G678" s="14" t="str">
        <x:v>Training Center A</x:v>
      </x:c>
      <x:c r="H678" s="28">
        <x:v>45227</x:v>
      </x:c>
      <x:c r="I678" s="14">
        <x:v>2023</x:v>
      </x:c>
      <x:c r="J678" s="14" t="s">
        <x:v>100</x:v>
      </x:c>
      <x:c r="K678" s="14">
        <x:v>27</x:v>
      </x:c>
      <x:c r="L678" s="29" t="s">
        <x:v>101</x:v>
      </x:c>
      <x:c r="M678" s="28">
        <x:v>45226</x:v>
      </x:c>
      <x:c r="N678" s="14"/>
      <x:c r="O678" s="14">
        <x:v>1025</x:v>
      </x:c>
      <x:c r="P678" s="14" t="s">
        <x:v>122</x:v>
      </x:c>
      <x:c r="Q678" s="14" t="s">
        <x:v>38</x:v>
      </x:c>
      <x:c r="R678" s="14"/>
      <x:c r="S678" s="14" t="s">
        <x:v>108</x:v>
      </x:c>
      <x:c r="T678" s="14" t="str">
        <x:v>Region A</x:v>
      </x:c>
      <x:c r="U678" s="28">
        <x:v>45251</x:v>
      </x:c>
      <x:c r="V678" s="30">
        <x:v>24</x:v>
      </x:c>
      <x:c r="W678" s="14" t="s">
        <x:v>112</x:v>
      </x:c>
      <x:c r="X678" s="14" t="s">
        <x:v>106</x:v>
      </x:c>
      <x:c r="Y678" s="32" t="str">
        <x:v>TRN-0677|20231028</x:v>
      </x:c>
      <x:c r="Z678" s="32" t="str" cm="1">
        <x:f t="array" ref="Z67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678" s="33" t="n">
        <x:f>--OR(WorkforceData[[#This Row],[Status]]="Active",WorkforceData[[#This Row],[Promoted]]="Yes",WorkforceData[[#This Row],[Total Days Worked]]&gt;=121)</x:f>
        <x:v>1</x:v>
      </x:c>
      <x:c r="AB678" s="33" t="n">
        <x:f>IF(AND(Q678="Terminated",R678="",O678=0),1,0)</x:f>
        <x:v>0</x:v>
      </x:c>
      <x:c r="AC678" s="33" t="n">
        <x:f>--OR(WorkforceData[[#This Row],[Status]]="Resigned",WorkforceData[[#This Row],[Status After Training]]="Withdrew")</x:f>
        <x:v>0</x:v>
      </x:c>
      <x:c r="AD678" s="34" t="n">
        <x:f>EOMONTH(WorkforceData[[#This Row],[Training Date]],0)</x:f>
        <x:v>45230</x:v>
      </x:c>
      <x:c r="AE678" s="32" t="str">
        <x:f>IF(M678&lt;H678,"Existing Employee",IF(U678="","No Assignment",IF(V678=0,"0 Days",IF(V678&lt;=7,"1-7 Days",IF(V678&lt;=14,"8-14 Days",IF(V678&lt;=21,"15-21 Days","21+ Days"))))))</x:f>
        <x:v>Existing Employee</x:v>
      </x:c>
      <x:c r="AF67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78" s="33" t="n">
        <x:f>--(WorkforceData[[#This Row],[Total Days Worked]]&gt;=121)</x:f>
        <x:v>1</x:v>
      </x:c>
    </x:row>
    <x:row r="679">
      <x:c r="A679" s="236" t="str">
        <x:v>TRN-0678</x:v>
      </x:c>
      <x:c r="B679" s="243"/>
      <x:c r="C679" s="243"/>
      <x:c r="D679" s="243"/>
      <x:c r="E679" s="243"/>
      <x:c r="F679" s="14" t="str">
        <x:v>Recruiter G</x:v>
      </x:c>
      <x:c r="G679" s="14" t="str">
        <x:v>Training Center A</x:v>
      </x:c>
      <x:c r="H679" s="28">
        <x:v>45227</x:v>
      </x:c>
      <x:c r="I679" s="14">
        <x:v>2023</x:v>
      </x:c>
      <x:c r="J679" s="14" t="s">
        <x:v>100</x:v>
      </x:c>
      <x:c r="K679" s="14">
        <x:v>27</x:v>
      </x:c>
      <x:c r="L679" s="29" t="s">
        <x:v>101</x:v>
      </x:c>
      <x:c r="M679" s="28">
        <x:v>45217</x:v>
      </x:c>
      <x:c r="N679" s="28">
        <x:v>45274</x:v>
      </x:c>
      <x:c r="O679" s="14">
        <x:v>57</x:v>
      </x:c>
      <x:c r="P679" s="14" t="s">
        <x:v>110</x:v>
      </x:c>
      <x:c r="Q679" s="14" t="s">
        <x:v>33</x:v>
      </x:c>
      <x:c r="R679" s="14" t="s">
        <x:v>121</x:v>
      </x:c>
      <x:c r="S679" s="14" t="s">
        <x:v>105</x:v>
      </x:c>
      <x:c r="T679" s="14" t="str">
        <x:v>Region C</x:v>
      </x:c>
      <x:c r="U679" s="28">
        <x:v>45274</x:v>
      </x:c>
      <x:c r="V679" s="30">
        <x:v>47</x:v>
      </x:c>
      <x:c r="W679" s="14" t="s">
        <x:v>63</x:v>
      </x:c>
      <x:c r="X679" s="14" t="s">
        <x:v>115</x:v>
      </x:c>
      <x:c r="Y679" s="32" t="str">
        <x:v>TRN-0678|20231028</x:v>
      </x:c>
      <x:c r="Z679" s="32" t="str" cm="1">
        <x:f t="array" ref="Z67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679" s="33" t="n">
        <x:f>--OR(WorkforceData[[#This Row],[Status]]="Active",WorkforceData[[#This Row],[Promoted]]="Yes",WorkforceData[[#This Row],[Total Days Worked]]&gt;=121)</x:f>
        <x:v>0</x:v>
      </x:c>
      <x:c r="AB679" s="33" t="n">
        <x:f>IF(AND(Q679="Terminated",R679="",O679=0),1,0)</x:f>
        <x:v>0</x:v>
      </x:c>
      <x:c r="AC679" s="33" t="n">
        <x:f>--OR(WorkforceData[[#This Row],[Status]]="Resigned",WorkforceData[[#This Row],[Status After Training]]="Withdrew")</x:f>
        <x:v>1</x:v>
      </x:c>
      <x:c r="AD679" s="34" t="n">
        <x:f>EOMONTH(WorkforceData[[#This Row],[Training Date]],0)</x:f>
        <x:v>45230</x:v>
      </x:c>
      <x:c r="AE679" s="32" t="str">
        <x:f>IF(M679&lt;H679,"Existing Employee",IF(U679="","No Assignment",IF(V679=0,"0 Days",IF(V679&lt;=7,"1-7 Days",IF(V679&lt;=14,"8-14 Days",IF(V679&lt;=21,"15-21 Days","21+ Days"))))))</x:f>
        <x:v>Existing Employee</x:v>
      </x:c>
      <x:c r="AF67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679" s="33" t="n">
        <x:f>--(WorkforceData[[#This Row],[Total Days Worked]]&gt;=121)</x:f>
        <x:v>0</x:v>
      </x:c>
    </x:row>
    <x:row r="680">
      <x:c r="A680" s="236" t="str">
        <x:v>TRN-0679</x:v>
      </x:c>
      <x:c r="B680" s="243"/>
      <x:c r="C680" s="243"/>
      <x:c r="D680" s="243"/>
      <x:c r="E680" s="243"/>
      <x:c r="F680" s="14" t="str">
        <x:v>Recruiter G</x:v>
      </x:c>
      <x:c r="G680" s="14" t="str">
        <x:v>Training Center A</x:v>
      </x:c>
      <x:c r="H680" s="28">
        <x:v>45227</x:v>
      </x:c>
      <x:c r="I680" s="14">
        <x:v>2023</x:v>
      </x:c>
      <x:c r="J680" s="14" t="s">
        <x:v>100</x:v>
      </x:c>
      <x:c r="K680" s="14">
        <x:v>27</x:v>
      </x:c>
      <x:c r="L680" s="29" t="s">
        <x:v>101</x:v>
      </x:c>
      <x:c r="M680" s="28">
        <x:v>45224</x:v>
      </x:c>
      <x:c r="N680" s="28">
        <x:v>45365</x:v>
      </x:c>
      <x:c r="O680" s="14">
        <x:v>141</x:v>
      </x:c>
      <x:c r="P680" s="14" t="s">
        <x:v>113</x:v>
      </x:c>
      <x:c r="Q680" s="14" t="s">
        <x:v>103</x:v>
      </x:c>
      <x:c r="R680" s="14" t="s">
        <x:v>104</x:v>
      </x:c>
      <x:c r="S680" s="14" t="s">
        <x:v>105</x:v>
      </x:c>
      <x:c r="T680" s="14" t="str">
        <x:v>Region B</x:v>
      </x:c>
      <x:c r="U680" s="28">
        <x:v>45238</x:v>
      </x:c>
      <x:c r="V680" s="30">
        <x:v>11</x:v>
      </x:c>
      <x:c r="W680" s="14" t="s">
        <x:v>45</x:v>
      </x:c>
      <x:c r="X680" s="14" t="s">
        <x:v>106</x:v>
      </x:c>
      <x:c r="Y680" s="32" t="str">
        <x:v>TRN-0679|20231028</x:v>
      </x:c>
      <x:c r="Z680" s="32" t="str" cm="1">
        <x:f t="array" ref="Z68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Complete</x:v>
      </x:c>
      <x:c r="AA680" s="33" t="n">
        <x:f>--OR(WorkforceData[[#This Row],[Status]]="Active",WorkforceData[[#This Row],[Promoted]]="Yes",WorkforceData[[#This Row],[Total Days Worked]]&gt;=121)</x:f>
        <x:v>1</x:v>
      </x:c>
      <x:c r="AB680" s="33" t="n">
        <x:f>IF(AND(Q680="Terminated",R680="",O680=0),1,0)</x:f>
        <x:v>0</x:v>
      </x:c>
      <x:c r="AC680" s="33" t="n">
        <x:f>--OR(WorkforceData[[#This Row],[Status]]="Resigned",WorkforceData[[#This Row],[Status After Training]]="Withdrew")</x:f>
        <x:v>1</x:v>
      </x:c>
      <x:c r="AD680" s="34" t="n">
        <x:f>EOMONTH(WorkforceData[[#This Row],[Training Date]],0)</x:f>
        <x:v>45230</x:v>
      </x:c>
      <x:c r="AE680" s="32" t="str">
        <x:f>IF(M680&lt;H680,"Existing Employee",IF(U680="","No Assignment",IF(V680=0,"0 Days",IF(V680&lt;=7,"1-7 Days",IF(V680&lt;=14,"8-14 Days",IF(V680&lt;=21,"15-21 Days","21+ Days"))))))</x:f>
        <x:v>Existing Employee</x:v>
      </x:c>
      <x:c r="AF68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80" s="33" t="n">
        <x:f>--(WorkforceData[[#This Row],[Total Days Worked]]&gt;=121)</x:f>
        <x:v>1</x:v>
      </x:c>
    </x:row>
    <x:row r="681">
      <x:c r="A681" s="236" t="str">
        <x:v>TRN-0680</x:v>
      </x:c>
      <x:c r="B681" s="243"/>
      <x:c r="C681" s="243"/>
      <x:c r="D681" s="243"/>
      <x:c r="E681" s="243"/>
      <x:c r="F681" s="14" t="str">
        <x:v>Recruiter B</x:v>
      </x:c>
      <x:c r="G681" s="14" t="str">
        <x:v>Training Center A</x:v>
      </x:c>
      <x:c r="H681" s="28">
        <x:v>45227</x:v>
      </x:c>
      <x:c r="I681" s="14">
        <x:v>2023</x:v>
      </x:c>
      <x:c r="J681" s="14" t="s">
        <x:v>100</x:v>
      </x:c>
      <x:c r="K681" s="14">
        <x:v>27</x:v>
      </x:c>
      <x:c r="L681" s="29" t="s">
        <x:v>101</x:v>
      </x:c>
      <x:c r="M681" s="28">
        <x:v>45217</x:v>
      </x:c>
      <x:c r="N681" s="28">
        <x:v>45219</x:v>
      </x:c>
      <x:c r="O681" s="14">
        <x:v>2</x:v>
      </x:c>
      <x:c r="P681" s="14" t="s">
        <x:v>102</x:v>
      </x:c>
      <x:c r="Q681" s="14" t="s">
        <x:v>33</x:v>
      </x:c>
      <x:c r="R681" s="14" t="s">
        <x:v>116</x:v>
      </x:c>
      <x:c r="S681" s="14" t="s">
        <x:v>105</x:v>
      </x:c>
      <x:c r="T681" s="14"/>
      <x:c r="U681" s="28"/>
      <x:c r="V681" s="30"/>
      <x:c r="W681" s="14"/>
      <x:c r="X681" s="14" t="s">
        <x:v>71</x:v>
      </x:c>
      <x:c r="Y681" s="32" t="str">
        <x:v>TRN-0680|20231028</x:v>
      </x:c>
      <x:c r="Z681" s="32" t="str" cm="1">
        <x:f t="array" ref="Z68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681" s="33" t="n">
        <x:f>--OR(WorkforceData[[#This Row],[Status]]="Active",WorkforceData[[#This Row],[Promoted]]="Yes",WorkforceData[[#This Row],[Total Days Worked]]&gt;=121)</x:f>
        <x:v>0</x:v>
      </x:c>
      <x:c r="AB681" s="33" t="n">
        <x:f>IF(AND(Q681="Terminated",R681="",O681=0),1,0)</x:f>
        <x:v>0</x:v>
      </x:c>
      <x:c r="AC681" s="33" t="n">
        <x:f>--OR(WorkforceData[[#This Row],[Status]]="Resigned",WorkforceData[[#This Row],[Status After Training]]="Withdrew")</x:f>
        <x:v>0</x:v>
      </x:c>
      <x:c r="AD681" s="34" t="n">
        <x:f>EOMONTH(WorkforceData[[#This Row],[Training Date]],0)</x:f>
        <x:v>45230</x:v>
      </x:c>
      <x:c r="AE681" s="32" t="str">
        <x:f>IF(M681&lt;H681,"Existing Employee",IF(U681="","No Assignment",IF(V681=0,"0 Days",IF(V681&lt;=7,"1-7 Days",IF(V681&lt;=14,"8-14 Days",IF(V681&lt;=21,"15-21 Days","21+ Days"))))))</x:f>
        <x:v>Existing Employee</x:v>
      </x:c>
      <x:c r="AF68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1-7 Days</x:v>
      </x:c>
      <x:c r="AG681" s="33" t="n">
        <x:f>--(WorkforceData[[#This Row],[Total Days Worked]]&gt;=121)</x:f>
        <x:v>0</x:v>
      </x:c>
    </x:row>
    <x:row r="682">
      <x:c r="A682" s="236" t="str">
        <x:v>TRN-0681</x:v>
      </x:c>
      <x:c r="B682" s="243"/>
      <x:c r="C682" s="243"/>
      <x:c r="D682" s="243"/>
      <x:c r="E682" s="243"/>
      <x:c r="F682" s="14" t="str">
        <x:v>Recruiter C</x:v>
      </x:c>
      <x:c r="G682" s="14" t="str">
        <x:v>Training Center A</x:v>
      </x:c>
      <x:c r="H682" s="28">
        <x:v>45227</x:v>
      </x:c>
      <x:c r="I682" s="14">
        <x:v>2023</x:v>
      </x:c>
      <x:c r="J682" s="14" t="s">
        <x:v>100</x:v>
      </x:c>
      <x:c r="K682" s="14">
        <x:v>27</x:v>
      </x:c>
      <x:c r="L682" s="29" t="s">
        <x:v>101</x:v>
      </x:c>
      <x:c r="M682" s="28">
        <x:v>45227</x:v>
      </x:c>
      <x:c r="N682" s="28">
        <x:v>45237</x:v>
      </x:c>
      <x:c r="O682" s="14">
        <x:v>10</x:v>
      </x:c>
      <x:c r="P682" s="14" t="s">
        <x:v>102</x:v>
      </x:c>
      <x:c r="Q682" s="14" t="s">
        <x:v>103</x:v>
      </x:c>
      <x:c r="R682" s="14" t="s">
        <x:v>104</x:v>
      </x:c>
      <x:c r="S682" s="14" t="s">
        <x:v>105</x:v>
      </x:c>
      <x:c r="T682" s="14" t="str">
        <x:v>Region D</x:v>
      </x:c>
      <x:c r="U682" s="28">
        <x:v>45237</x:v>
      </x:c>
      <x:c r="V682" s="30">
        <x:v>10</x:v>
      </x:c>
      <x:c r="W682" s="14" t="s">
        <x:v>45</x:v>
      </x:c>
      <x:c r="X682" s="14" t="s">
        <x:v>106</x:v>
      </x:c>
      <x:c r="Y682" s="32" t="str">
        <x:v>TRN-0681|20231028</x:v>
      </x:c>
      <x:c r="Z682" s="32" t="str" cm="1">
        <x:f t="array" ref="Z68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682" s="33" t="n">
        <x:f>--OR(WorkforceData[[#This Row],[Status]]="Active",WorkforceData[[#This Row],[Promoted]]="Yes",WorkforceData[[#This Row],[Total Days Worked]]&gt;=121)</x:f>
        <x:v>0</x:v>
      </x:c>
      <x:c r="AB682" s="33" t="n">
        <x:f>IF(AND(Q682="Terminated",R682="",O682=0),1,0)</x:f>
        <x:v>0</x:v>
      </x:c>
      <x:c r="AC682" s="33" t="n">
        <x:f>--OR(WorkforceData[[#This Row],[Status]]="Resigned",WorkforceData[[#This Row],[Status After Training]]="Withdrew")</x:f>
        <x:v>1</x:v>
      </x:c>
      <x:c r="AD682" s="34" t="n">
        <x:f>EOMONTH(WorkforceData[[#This Row],[Training Date]],0)</x:f>
        <x:v>45230</x:v>
      </x:c>
      <x:c r="AE682" s="32" t="str">
        <x:f>IF(M682&lt;H682,"Existing Employee",IF(U682="","No Assignment",IF(V682=0,"0 Days",IF(V682&lt;=7,"1-7 Days",IF(V682&lt;=14,"8-14 Days",IF(V682&lt;=21,"15-21 Days","21+ Days"))))))</x:f>
        <x:v>8-14 Days</x:v>
      </x:c>
      <x:c r="AF68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682" s="33" t="n">
        <x:f>--(WorkforceData[[#This Row],[Total Days Worked]]&gt;=121)</x:f>
        <x:v>0</x:v>
      </x:c>
    </x:row>
    <x:row r="683">
      <x:c r="A683" s="236" t="str">
        <x:v>TRN-0682</x:v>
      </x:c>
      <x:c r="B683" s="243"/>
      <x:c r="C683" s="243"/>
      <x:c r="D683" s="243"/>
      <x:c r="E683" s="243"/>
      <x:c r="F683" s="14" t="str">
        <x:v>Recruiter B</x:v>
      </x:c>
      <x:c r="G683" s="14" t="str">
        <x:v>Training Center A</x:v>
      </x:c>
      <x:c r="H683" s="28">
        <x:v>45227</x:v>
      </x:c>
      <x:c r="I683" s="14">
        <x:v>2023</x:v>
      </x:c>
      <x:c r="J683" s="14" t="s">
        <x:v>100</x:v>
      </x:c>
      <x:c r="K683" s="14">
        <x:v>27</x:v>
      </x:c>
      <x:c r="L683" s="29" t="s">
        <x:v>101</x:v>
      </x:c>
      <x:c r="M683" s="28">
        <x:v>45222</x:v>
      </x:c>
      <x:c r="N683" s="28">
        <x:v>45500</x:v>
      </x:c>
      <x:c r="O683" s="14">
        <x:v>278</x:v>
      </x:c>
      <x:c r="P683" s="14" t="s">
        <x:v>107</x:v>
      </x:c>
      <x:c r="Q683" s="14" t="s">
        <x:v>103</x:v>
      </x:c>
      <x:c r="R683" s="14" t="s">
        <x:v>104</x:v>
      </x:c>
      <x:c r="S683" s="14" t="s">
        <x:v>108</x:v>
      </x:c>
      <x:c r="T683" s="14" t="str">
        <x:v>Region C</x:v>
      </x:c>
      <x:c r="U683" s="28">
        <x:v>45235</x:v>
      </x:c>
      <x:c r="V683" s="30">
        <x:v>8</x:v>
      </x:c>
      <x:c r="W683" s="14" t="s">
        <x:v>45</x:v>
      </x:c>
      <x:c r="X683" s="14" t="s">
        <x:v>106</x:v>
      </x:c>
      <x:c r="Y683" s="32" t="str">
        <x:v>TRN-0682|20231028</x:v>
      </x:c>
      <x:c r="Z683" s="32" t="str" cm="1">
        <x:f t="array" ref="Z68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683" s="33" t="n">
        <x:f>--OR(WorkforceData[[#This Row],[Status]]="Active",WorkforceData[[#This Row],[Promoted]]="Yes",WorkforceData[[#This Row],[Total Days Worked]]&gt;=121)</x:f>
        <x:v>1</x:v>
      </x:c>
      <x:c r="AB683" s="33" t="n">
        <x:f>IF(AND(Q683="Terminated",R683="",O683=0),1,0)</x:f>
        <x:v>0</x:v>
      </x:c>
      <x:c r="AC683" s="33" t="n">
        <x:f>--OR(WorkforceData[[#This Row],[Status]]="Resigned",WorkforceData[[#This Row],[Status After Training]]="Withdrew")</x:f>
        <x:v>1</x:v>
      </x:c>
      <x:c r="AD683" s="34" t="n">
        <x:f>EOMONTH(WorkforceData[[#This Row],[Training Date]],0)</x:f>
        <x:v>45230</x:v>
      </x:c>
      <x:c r="AE683" s="32" t="str">
        <x:f>IF(M683&lt;H683,"Existing Employee",IF(U683="","No Assignment",IF(V683=0,"0 Days",IF(V683&lt;=7,"1-7 Days",IF(V683&lt;=14,"8-14 Days",IF(V683&lt;=21,"15-21 Days","21+ Days"))))))</x:f>
        <x:v>Existing Employee</x:v>
      </x:c>
      <x:c r="AF68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83" s="33" t="n">
        <x:f>--(WorkforceData[[#This Row],[Total Days Worked]]&gt;=121)</x:f>
        <x:v>1</x:v>
      </x:c>
    </x:row>
    <x:row r="684">
      <x:c r="A684" s="236" t="str">
        <x:v>TRN-0683</x:v>
      </x:c>
      <x:c r="B684" s="243"/>
      <x:c r="C684" s="243"/>
      <x:c r="D684" s="243"/>
      <x:c r="E684" s="243"/>
      <x:c r="F684" s="14" t="str">
        <x:v>Recruiter G</x:v>
      </x:c>
      <x:c r="G684" s="14" t="str">
        <x:v>Training Center A</x:v>
      </x:c>
      <x:c r="H684" s="28">
        <x:v>45227</x:v>
      </x:c>
      <x:c r="I684" s="14">
        <x:v>2023</x:v>
      </x:c>
      <x:c r="J684" s="14" t="s">
        <x:v>100</x:v>
      </x:c>
      <x:c r="K684" s="14">
        <x:v>27</x:v>
      </x:c>
      <x:c r="L684" s="29" t="s">
        <x:v>101</x:v>
      </x:c>
      <x:c r="M684" s="28">
        <x:v>45227</x:v>
      </x:c>
      <x:c r="N684" s="28">
        <x:v>45263</x:v>
      </x:c>
      <x:c r="O684" s="14">
        <x:v>36</x:v>
      </x:c>
      <x:c r="P684" s="14" t="s">
        <x:v>110</x:v>
      </x:c>
      <x:c r="Q684" s="14" t="s">
        <x:v>103</x:v>
      </x:c>
      <x:c r="R684" s="14" t="s">
        <x:v>111</x:v>
      </x:c>
      <x:c r="S684" s="14" t="s">
        <x:v>105</x:v>
      </x:c>
      <x:c r="T684" s="14" t="str">
        <x:v>Region D</x:v>
      </x:c>
      <x:c r="U684" s="28">
        <x:v>45232</x:v>
      </x:c>
      <x:c r="V684" s="30">
        <x:v>5</x:v>
      </x:c>
      <x:c r="W684" s="14" t="s">
        <x:v>109</x:v>
      </x:c>
      <x:c r="X684" s="14" t="s">
        <x:v>106</x:v>
      </x:c>
      <x:c r="Y684" s="32" t="str">
        <x:v>TRN-0683|20231028</x:v>
      </x:c>
      <x:c r="Z684" s="32" t="str" cm="1">
        <x:f t="array" ref="Z68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684" s="33" t="n">
        <x:f>--OR(WorkforceData[[#This Row],[Status]]="Active",WorkforceData[[#This Row],[Promoted]]="Yes",WorkforceData[[#This Row],[Total Days Worked]]&gt;=121)</x:f>
        <x:v>0</x:v>
      </x:c>
      <x:c r="AB684" s="33" t="n">
        <x:f>IF(AND(Q684="Terminated",R684="",O684=0),1,0)</x:f>
        <x:v>0</x:v>
      </x:c>
      <x:c r="AC684" s="33" t="n">
        <x:f>--OR(WorkforceData[[#This Row],[Status]]="Resigned",WorkforceData[[#This Row],[Status After Training]]="Withdrew")</x:f>
        <x:v>1</x:v>
      </x:c>
      <x:c r="AD684" s="34" t="n">
        <x:f>EOMONTH(WorkforceData[[#This Row],[Training Date]],0)</x:f>
        <x:v>45230</x:v>
      </x:c>
      <x:c r="AE684" s="32" t="str">
        <x:f>IF(M684&lt;H684,"Existing Employee",IF(U684="","No Assignment",IF(V684=0,"0 Days",IF(V684&lt;=7,"1-7 Days",IF(V684&lt;=14,"8-14 Days",IF(V684&lt;=21,"15-21 Days","21+ Days"))))))</x:f>
        <x:v>1-7 Days</x:v>
      </x:c>
      <x:c r="AF68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684" s="33" t="n">
        <x:f>--(WorkforceData[[#This Row],[Total Days Worked]]&gt;=121)</x:f>
        <x:v>0</x:v>
      </x:c>
    </x:row>
    <x:row r="685">
      <x:c r="A685" s="236" t="str">
        <x:v>TRN-0684</x:v>
      </x:c>
      <x:c r="B685" s="243"/>
      <x:c r="C685" s="243"/>
      <x:c r="D685" s="243"/>
      <x:c r="E685" s="243"/>
      <x:c r="F685" s="14" t="str">
        <x:v>Recruiter A</x:v>
      </x:c>
      <x:c r="G685" s="14" t="str">
        <x:v>Training Center A</x:v>
      </x:c>
      <x:c r="H685" s="28">
        <x:v>45227</x:v>
      </x:c>
      <x:c r="I685" s="14">
        <x:v>2023</x:v>
      </x:c>
      <x:c r="J685" s="14" t="s">
        <x:v>100</x:v>
      </x:c>
      <x:c r="K685" s="14">
        <x:v>27</x:v>
      </x:c>
      <x:c r="L685" s="29" t="s">
        <x:v>101</x:v>
      </x:c>
      <x:c r="M685" s="28">
        <x:v>45222</x:v>
      </x:c>
      <x:c r="N685" s="28">
        <x:v>45584</x:v>
      </x:c>
      <x:c r="O685" s="14">
        <x:v>362</x:v>
      </x:c>
      <x:c r="P685" s="14" t="s">
        <x:v>107</x:v>
      </x:c>
      <x:c r="Q685" s="14" t="s">
        <x:v>33</x:v>
      </x:c>
      <x:c r="R685" s="14" t="s">
        <x:v>121</x:v>
      </x:c>
      <x:c r="S685" s="14" t="s">
        <x:v>108</x:v>
      </x:c>
      <x:c r="T685" s="14" t="str">
        <x:v>Region B</x:v>
      </x:c>
      <x:c r="U685" s="28">
        <x:v>45248</x:v>
      </x:c>
      <x:c r="V685" s="30">
        <x:v>21</x:v>
      </x:c>
      <x:c r="W685" s="14" t="s">
        <x:v>112</x:v>
      </x:c>
      <x:c r="X685" s="14" t="s">
        <x:v>106</x:v>
      </x:c>
      <x:c r="Y685" s="32" t="str">
        <x:v>TRN-0684|20231028</x:v>
      </x:c>
      <x:c r="Z685" s="32" t="str" cm="1">
        <x:f t="array" ref="Z68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685" s="33" t="n">
        <x:f>--OR(WorkforceData[[#This Row],[Status]]="Active",WorkforceData[[#This Row],[Promoted]]="Yes",WorkforceData[[#This Row],[Total Days Worked]]&gt;=121)</x:f>
        <x:v>1</x:v>
      </x:c>
      <x:c r="AB685" s="33" t="n">
        <x:f>IF(AND(Q685="Terminated",R685="",O685=0),1,0)</x:f>
        <x:v>0</x:v>
      </x:c>
      <x:c r="AC685" s="33" t="n">
        <x:f>--OR(WorkforceData[[#This Row],[Status]]="Resigned",WorkforceData[[#This Row],[Status After Training]]="Withdrew")</x:f>
        <x:v>0</x:v>
      </x:c>
      <x:c r="AD685" s="34" t="n">
        <x:f>EOMONTH(WorkforceData[[#This Row],[Training Date]],0)</x:f>
        <x:v>45230</x:v>
      </x:c>
      <x:c r="AE685" s="32" t="str">
        <x:f>IF(M685&lt;H685,"Existing Employee",IF(U685="","No Assignment",IF(V685=0,"0 Days",IF(V685&lt;=7,"1-7 Days",IF(V685&lt;=14,"8-14 Days",IF(V685&lt;=21,"15-21 Days","21+ Days"))))))</x:f>
        <x:v>Existing Employee</x:v>
      </x:c>
      <x:c r="AF68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85" s="33" t="n">
        <x:f>--(WorkforceData[[#This Row],[Total Days Worked]]&gt;=121)</x:f>
        <x:v>1</x:v>
      </x:c>
    </x:row>
    <x:row r="686">
      <x:c r="A686" s="236" t="str">
        <x:v>TRN-0685</x:v>
      </x:c>
      <x:c r="B686" s="243"/>
      <x:c r="C686" s="243"/>
      <x:c r="D686" s="243"/>
      <x:c r="E686" s="243"/>
      <x:c r="F686" s="14" t="str">
        <x:v>Recruiter C</x:v>
      </x:c>
      <x:c r="G686" s="14" t="str">
        <x:v>Training Center A</x:v>
      </x:c>
      <x:c r="H686" s="28">
        <x:v>45227</x:v>
      </x:c>
      <x:c r="I686" s="14">
        <x:v>2023</x:v>
      </x:c>
      <x:c r="J686" s="14" t="s">
        <x:v>100</x:v>
      </x:c>
      <x:c r="K686" s="14">
        <x:v>27</x:v>
      </x:c>
      <x:c r="L686" s="29" t="s">
        <x:v>101</x:v>
      </x:c>
      <x:c r="M686" s="28">
        <x:v>45227</x:v>
      </x:c>
      <x:c r="N686" s="28">
        <x:v>45376</x:v>
      </x:c>
      <x:c r="O686" s="14">
        <x:v>149</x:v>
      </x:c>
      <x:c r="P686" s="14" t="s">
        <x:v>113</x:v>
      </x:c>
      <x:c r="Q686" s="14" t="s">
        <x:v>103</x:v>
      </x:c>
      <x:c r="R686" s="14" t="s">
        <x:v>104</x:v>
      </x:c>
      <x:c r="S686" s="14" t="s">
        <x:v>105</x:v>
      </x:c>
      <x:c r="T686" s="14" t="str">
        <x:v>Region D</x:v>
      </x:c>
      <x:c r="U686" s="28">
        <x:v>45232</x:v>
      </x:c>
      <x:c r="V686" s="30">
        <x:v>5</x:v>
      </x:c>
      <x:c r="W686" s="14" t="s">
        <x:v>109</x:v>
      </x:c>
      <x:c r="X686" s="14" t="s">
        <x:v>106</x:v>
      </x:c>
      <x:c r="Y686" s="32" t="str">
        <x:v>TRN-0685|20231028</x:v>
      </x:c>
      <x:c r="Z686" s="32" t="str" cm="1">
        <x:f t="array" ref="Z68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Complete</x:v>
      </x:c>
      <x:c r="AA686" s="33" t="n">
        <x:f>--OR(WorkforceData[[#This Row],[Status]]="Active",WorkforceData[[#This Row],[Promoted]]="Yes",WorkforceData[[#This Row],[Total Days Worked]]&gt;=121)</x:f>
        <x:v>1</x:v>
      </x:c>
      <x:c r="AB686" s="33" t="n">
        <x:f>IF(AND(Q686="Terminated",R686="",O686=0),1,0)</x:f>
        <x:v>0</x:v>
      </x:c>
      <x:c r="AC686" s="33" t="n">
        <x:f>--OR(WorkforceData[[#This Row],[Status]]="Resigned",WorkforceData[[#This Row],[Status After Training]]="Withdrew")</x:f>
        <x:v>1</x:v>
      </x:c>
      <x:c r="AD686" s="34" t="n">
        <x:f>EOMONTH(WorkforceData[[#This Row],[Training Date]],0)</x:f>
        <x:v>45230</x:v>
      </x:c>
      <x:c r="AE686" s="32" t="str">
        <x:f>IF(M686&lt;H686,"Existing Employee",IF(U686="","No Assignment",IF(V686=0,"0 Days",IF(V686&lt;=7,"1-7 Days",IF(V686&lt;=14,"8-14 Days",IF(V686&lt;=21,"15-21 Days","21+ Days"))))))</x:f>
        <x:v>1-7 Days</x:v>
      </x:c>
      <x:c r="AF68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86" s="33" t="n">
        <x:f>--(WorkforceData[[#This Row],[Total Days Worked]]&gt;=121)</x:f>
        <x:v>1</x:v>
      </x:c>
    </x:row>
    <x:row r="687">
      <x:c r="A687" s="236" t="str">
        <x:v>TRN-0686</x:v>
      </x:c>
      <x:c r="B687" s="243"/>
      <x:c r="C687" s="243"/>
      <x:c r="D687" s="243"/>
      <x:c r="E687" s="243"/>
      <x:c r="F687" s="14" t="str">
        <x:v>Recruiter G</x:v>
      </x:c>
      <x:c r="G687" s="14" t="str">
        <x:v>Training Center A</x:v>
      </x:c>
      <x:c r="H687" s="28">
        <x:v>45227</x:v>
      </x:c>
      <x:c r="I687" s="14">
        <x:v>2023</x:v>
      </x:c>
      <x:c r="J687" s="14" t="s">
        <x:v>100</x:v>
      </x:c>
      <x:c r="K687" s="14">
        <x:v>27</x:v>
      </x:c>
      <x:c r="L687" s="29" t="s">
        <x:v>101</x:v>
      </x:c>
      <x:c r="M687" s="28">
        <x:v>45225</x:v>
      </x:c>
      <x:c r="N687" s="14"/>
      <x:c r="O687" s="14">
        <x:v>1026</x:v>
      </x:c>
      <x:c r="P687" s="14" t="s">
        <x:v>122</x:v>
      </x:c>
      <x:c r="Q687" s="14" t="s">
        <x:v>25</x:v>
      </x:c>
      <x:c r="R687" s="14"/>
      <x:c r="S687" s="14" t="s">
        <x:v>108</x:v>
      </x:c>
      <x:c r="T687" s="14" t="str">
        <x:v>Region D</x:v>
      </x:c>
      <x:c r="U687" s="28">
        <x:v>45247</x:v>
      </x:c>
      <x:c r="V687" s="30">
        <x:v>20</x:v>
      </x:c>
      <x:c r="W687" s="14" t="s">
        <x:v>112</x:v>
      </x:c>
      <x:c r="X687" s="14" t="s">
        <x:v>106</x:v>
      </x:c>
      <x:c r="Y687" s="32" t="str">
        <x:v>TRN-0686|20231028</x:v>
      </x:c>
      <x:c r="Z687" s="32" t="str" cm="1">
        <x:f t="array" ref="Z68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687" s="33" t="n">
        <x:f>--OR(WorkforceData[[#This Row],[Status]]="Active",WorkforceData[[#This Row],[Promoted]]="Yes",WorkforceData[[#This Row],[Total Days Worked]]&gt;=121)</x:f>
        <x:v>1</x:v>
      </x:c>
      <x:c r="AB687" s="33" t="n">
        <x:f>IF(AND(Q687="Terminated",R687="",O687=0),1,0)</x:f>
        <x:v>0</x:v>
      </x:c>
      <x:c r="AC687" s="33" t="n">
        <x:f>--OR(WorkforceData[[#This Row],[Status]]="Resigned",WorkforceData[[#This Row],[Status After Training]]="Withdrew")</x:f>
        <x:v>0</x:v>
      </x:c>
      <x:c r="AD687" s="34" t="n">
        <x:f>EOMONTH(WorkforceData[[#This Row],[Training Date]],0)</x:f>
        <x:v>45230</x:v>
      </x:c>
      <x:c r="AE687" s="32" t="str">
        <x:f>IF(M687&lt;H687,"Existing Employee",IF(U687="","No Assignment",IF(V687=0,"0 Days",IF(V687&lt;=7,"1-7 Days",IF(V687&lt;=14,"8-14 Days",IF(V687&lt;=21,"15-21 Days","21+ Days"))))))</x:f>
        <x:v>Existing Employee</x:v>
      </x:c>
      <x:c r="AF68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87" s="33" t="n">
        <x:f>--(WorkforceData[[#This Row],[Total Days Worked]]&gt;=121)</x:f>
        <x:v>1</x:v>
      </x:c>
    </x:row>
    <x:row r="688">
      <x:c r="A688" s="236" t="str">
        <x:v>TRN-0687</x:v>
      </x:c>
      <x:c r="B688" s="243"/>
      <x:c r="C688" s="243"/>
      <x:c r="D688" s="243"/>
      <x:c r="E688" s="243"/>
      <x:c r="F688" s="14" t="str">
        <x:v>Recruiter F</x:v>
      </x:c>
      <x:c r="G688" s="14" t="str">
        <x:v>Training Center A</x:v>
      </x:c>
      <x:c r="H688" s="28">
        <x:v>45227</x:v>
      </x:c>
      <x:c r="I688" s="14">
        <x:v>2023</x:v>
      </x:c>
      <x:c r="J688" s="14" t="s">
        <x:v>100</x:v>
      </x:c>
      <x:c r="K688" s="14">
        <x:v>27</x:v>
      </x:c>
      <x:c r="L688" s="29" t="s">
        <x:v>101</x:v>
      </x:c>
      <x:c r="M688" s="28">
        <x:v>45227</x:v>
      </x:c>
      <x:c r="N688" s="28">
        <x:v>45604</x:v>
      </x:c>
      <x:c r="O688" s="14">
        <x:v>377</x:v>
      </x:c>
      <x:c r="P688" s="14" t="s">
        <x:v>120</x:v>
      </x:c>
      <x:c r="Q688" s="14" t="s">
        <x:v>103</x:v>
      </x:c>
      <x:c r="R688" s="14" t="s">
        <x:v>111</x:v>
      </x:c>
      <x:c r="S688" s="14" t="s">
        <x:v>108</x:v>
      </x:c>
      <x:c r="T688" s="14" t="str">
        <x:v>Region B</x:v>
      </x:c>
      <x:c r="U688" s="28">
        <x:v>45232</x:v>
      </x:c>
      <x:c r="V688" s="30">
        <x:v>5</x:v>
      </x:c>
      <x:c r="W688" s="14" t="s">
        <x:v>109</x:v>
      </x:c>
      <x:c r="X688" s="14" t="s">
        <x:v>125</x:v>
      </x:c>
      <x:c r="Y688" s="32" t="str">
        <x:v>TRN-0687|20231028</x:v>
      </x:c>
      <x:c r="Z688" s="32" t="str" cm="1">
        <x:f t="array" ref="Z68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688" s="33" t="n">
        <x:f>--OR(WorkforceData[[#This Row],[Status]]="Active",WorkforceData[[#This Row],[Promoted]]="Yes",WorkforceData[[#This Row],[Total Days Worked]]&gt;=121)</x:f>
        <x:v>1</x:v>
      </x:c>
      <x:c r="AB688" s="33" t="n">
        <x:f>IF(AND(Q688="Terminated",R688="",O688=0),1,0)</x:f>
        <x:v>0</x:v>
      </x:c>
      <x:c r="AC688" s="33" t="n">
        <x:f>--OR(WorkforceData[[#This Row],[Status]]="Resigned",WorkforceData[[#This Row],[Status After Training]]="Withdrew")</x:f>
        <x:v>1</x:v>
      </x:c>
      <x:c r="AD688" s="34" t="n">
        <x:f>EOMONTH(WorkforceData[[#This Row],[Training Date]],0)</x:f>
        <x:v>45230</x:v>
      </x:c>
      <x:c r="AE688" s="32" t="str">
        <x:f>IF(M688&lt;H688,"Existing Employee",IF(U688="","No Assignment",IF(V688=0,"0 Days",IF(V688&lt;=7,"1-7 Days",IF(V688&lt;=14,"8-14 Days",IF(V688&lt;=21,"15-21 Days","21+ Days"))))))</x:f>
        <x:v>1-7 Days</x:v>
      </x:c>
      <x:c r="AF68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88" s="33" t="n">
        <x:f>--(WorkforceData[[#This Row],[Total Days Worked]]&gt;=121)</x:f>
        <x:v>1</x:v>
      </x:c>
    </x:row>
    <x:row r="689">
      <x:c r="A689" s="236" t="str">
        <x:v>TRN-0688</x:v>
      </x:c>
      <x:c r="B689" s="243"/>
      <x:c r="C689" s="243"/>
      <x:c r="D689" s="243"/>
      <x:c r="E689" s="243"/>
      <x:c r="F689" s="14" t="str">
        <x:v>Recruiter D</x:v>
      </x:c>
      <x:c r="G689" s="14" t="str">
        <x:v>Training Center A</x:v>
      </x:c>
      <x:c r="H689" s="28">
        <x:v>45227</x:v>
      </x:c>
      <x:c r="I689" s="14">
        <x:v>2023</x:v>
      </x:c>
      <x:c r="J689" s="14" t="s">
        <x:v>100</x:v>
      </x:c>
      <x:c r="K689" s="14">
        <x:v>27</x:v>
      </x:c>
      <x:c r="L689" s="29" t="s">
        <x:v>101</x:v>
      </x:c>
      <x:c r="M689" s="28">
        <x:v>45227</x:v>
      </x:c>
      <x:c r="N689" s="28">
        <x:v>45285</x:v>
      </x:c>
      <x:c r="O689" s="14">
        <x:v>58</x:v>
      </x:c>
      <x:c r="P689" s="14" t="s">
        <x:v>110</x:v>
      </x:c>
      <x:c r="Q689" s="14" t="s">
        <x:v>33</x:v>
      </x:c>
      <x:c r="R689" s="14" t="s">
        <x:v>116</x:v>
      </x:c>
      <x:c r="S689" s="14" t="s">
        <x:v>105</x:v>
      </x:c>
      <x:c r="T689" s="14" t="str">
        <x:v>Region C</x:v>
      </x:c>
      <x:c r="U689" s="28">
        <x:v>45237</x:v>
      </x:c>
      <x:c r="V689" s="30">
        <x:v>10</x:v>
      </x:c>
      <x:c r="W689" s="14" t="s">
        <x:v>45</x:v>
      </x:c>
      <x:c r="X689" s="14" t="s">
        <x:v>106</x:v>
      </x:c>
      <x:c r="Y689" s="32" t="str">
        <x:v>TRN-0688|20231028</x:v>
      </x:c>
      <x:c r="Z689" s="32" t="str" cm="1">
        <x:f t="array" ref="Z68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689" s="33" t="n">
        <x:f>--OR(WorkforceData[[#This Row],[Status]]="Active",WorkforceData[[#This Row],[Promoted]]="Yes",WorkforceData[[#This Row],[Total Days Worked]]&gt;=121)</x:f>
        <x:v>0</x:v>
      </x:c>
      <x:c r="AB689" s="33" t="n">
        <x:f>IF(AND(Q689="Terminated",R689="",O689=0),1,0)</x:f>
        <x:v>0</x:v>
      </x:c>
      <x:c r="AC689" s="33" t="n">
        <x:f>--OR(WorkforceData[[#This Row],[Status]]="Resigned",WorkforceData[[#This Row],[Status After Training]]="Withdrew")</x:f>
        <x:v>0</x:v>
      </x:c>
      <x:c r="AD689" s="34" t="n">
        <x:f>EOMONTH(WorkforceData[[#This Row],[Training Date]],0)</x:f>
        <x:v>45230</x:v>
      </x:c>
      <x:c r="AE689" s="32" t="str">
        <x:f>IF(M689&lt;H689,"Existing Employee",IF(U689="","No Assignment",IF(V689=0,"0 Days",IF(V689&lt;=7,"1-7 Days",IF(V689&lt;=14,"8-14 Days",IF(V689&lt;=21,"15-21 Days","21+ Days"))))))</x:f>
        <x:v>8-14 Days</x:v>
      </x:c>
      <x:c r="AF68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689" s="33" t="n">
        <x:f>--(WorkforceData[[#This Row],[Total Days Worked]]&gt;=121)</x:f>
        <x:v>0</x:v>
      </x:c>
    </x:row>
    <x:row r="690">
      <x:c r="A690" s="236" t="str">
        <x:v>TRN-0689</x:v>
      </x:c>
      <x:c r="B690" s="243"/>
      <x:c r="C690" s="243"/>
      <x:c r="D690" s="243"/>
      <x:c r="E690" s="243"/>
      <x:c r="F690" s="14" t="str">
        <x:v>Recruiter G</x:v>
      </x:c>
      <x:c r="G690" s="14" t="str">
        <x:v>Training Center A</x:v>
      </x:c>
      <x:c r="H690" s="28">
        <x:v>45227</x:v>
      </x:c>
      <x:c r="I690" s="14">
        <x:v>2023</x:v>
      </x:c>
      <x:c r="J690" s="14" t="s">
        <x:v>100</x:v>
      </x:c>
      <x:c r="K690" s="14">
        <x:v>27</x:v>
      </x:c>
      <x:c r="L690" s="29" t="s">
        <x:v>101</x:v>
      </x:c>
      <x:c r="M690" s="28">
        <x:v>45226</x:v>
      </x:c>
      <x:c r="N690" s="14"/>
      <x:c r="O690" s="14">
        <x:v>1025</x:v>
      </x:c>
      <x:c r="P690" s="14" t="s">
        <x:v>122</x:v>
      </x:c>
      <x:c r="Q690" s="14" t="s">
        <x:v>25</x:v>
      </x:c>
      <x:c r="R690" s="14"/>
      <x:c r="S690" s="14" t="s">
        <x:v>108</x:v>
      </x:c>
      <x:c r="T690" s="14" t="str">
        <x:v>Region D</x:v>
      </x:c>
      <x:c r="U690" s="28">
        <x:v>45230</x:v>
      </x:c>
      <x:c r="V690" s="30">
        <x:v>3</x:v>
      </x:c>
      <x:c r="W690" s="14" t="s">
        <x:v>109</x:v>
      </x:c>
      <x:c r="X690" s="14" t="s">
        <x:v>106</x:v>
      </x:c>
      <x:c r="Y690" s="32" t="str">
        <x:v>TRN-0689|20231028</x:v>
      </x:c>
      <x:c r="Z690" s="32" t="str" cm="1">
        <x:f t="array" ref="Z69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690" s="33" t="n">
        <x:f>--OR(WorkforceData[[#This Row],[Status]]="Active",WorkforceData[[#This Row],[Promoted]]="Yes",WorkforceData[[#This Row],[Total Days Worked]]&gt;=121)</x:f>
        <x:v>1</x:v>
      </x:c>
      <x:c r="AB690" s="33" t="n">
        <x:f>IF(AND(Q690="Terminated",R690="",O690=0),1,0)</x:f>
        <x:v>0</x:v>
      </x:c>
      <x:c r="AC690" s="33" t="n">
        <x:f>--OR(WorkforceData[[#This Row],[Status]]="Resigned",WorkforceData[[#This Row],[Status After Training]]="Withdrew")</x:f>
        <x:v>0</x:v>
      </x:c>
      <x:c r="AD690" s="34" t="n">
        <x:f>EOMONTH(WorkforceData[[#This Row],[Training Date]],0)</x:f>
        <x:v>45230</x:v>
      </x:c>
      <x:c r="AE690" s="32" t="str">
        <x:f>IF(M690&lt;H690,"Existing Employee",IF(U690="","No Assignment",IF(V690=0,"0 Days",IF(V690&lt;=7,"1-7 Days",IF(V690&lt;=14,"8-14 Days",IF(V690&lt;=21,"15-21 Days","21+ Days"))))))</x:f>
        <x:v>Existing Employee</x:v>
      </x:c>
      <x:c r="AF69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90" s="33" t="n">
        <x:f>--(WorkforceData[[#This Row],[Total Days Worked]]&gt;=121)</x:f>
        <x:v>1</x:v>
      </x:c>
    </x:row>
    <x:row r="691">
      <x:c r="A691" s="236" t="str">
        <x:v>TRN-0690</x:v>
      </x:c>
      <x:c r="B691" s="243"/>
      <x:c r="C691" s="243"/>
      <x:c r="D691" s="243"/>
      <x:c r="E691" s="243"/>
      <x:c r="F691" s="14" t="str">
        <x:v>Recruiter G</x:v>
      </x:c>
      <x:c r="G691" s="14" t="str">
        <x:v>Training Center A</x:v>
      </x:c>
      <x:c r="H691" s="28">
        <x:v>45227</x:v>
      </x:c>
      <x:c r="I691" s="14">
        <x:v>2023</x:v>
      </x:c>
      <x:c r="J691" s="14" t="s">
        <x:v>100</x:v>
      </x:c>
      <x:c r="K691" s="14">
        <x:v>27</x:v>
      </x:c>
      <x:c r="L691" s="29" t="s">
        <x:v>101</x:v>
      </x:c>
      <x:c r="M691" s="28">
        <x:v>45225</x:v>
      </x:c>
      <x:c r="N691" s="14"/>
      <x:c r="O691" s="14">
        <x:v>1026</x:v>
      </x:c>
      <x:c r="P691" s="14" t="s">
        <x:v>122</x:v>
      </x:c>
      <x:c r="Q691" s="14" t="s">
        <x:v>38</x:v>
      </x:c>
      <x:c r="R691" s="14"/>
      <x:c r="S691" s="14" t="s">
        <x:v>108</x:v>
      </x:c>
      <x:c r="T691" s="14" t="str">
        <x:v>Region D</x:v>
      </x:c>
      <x:c r="U691" s="28">
        <x:v>45241</x:v>
      </x:c>
      <x:c r="V691" s="30">
        <x:v>14</x:v>
      </x:c>
      <x:c r="W691" s="14" t="s">
        <x:v>45</x:v>
      </x:c>
      <x:c r="X691" s="14" t="s">
        <x:v>106</x:v>
      </x:c>
      <x:c r="Y691" s="32" t="str">
        <x:v>TRN-0690|20231028</x:v>
      </x:c>
      <x:c r="Z691" s="32" t="str" cm="1">
        <x:f t="array" ref="Z69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691" s="33" t="n">
        <x:f>--OR(WorkforceData[[#This Row],[Status]]="Active",WorkforceData[[#This Row],[Promoted]]="Yes",WorkforceData[[#This Row],[Total Days Worked]]&gt;=121)</x:f>
        <x:v>1</x:v>
      </x:c>
      <x:c r="AB691" s="33" t="n">
        <x:f>IF(AND(Q691="Terminated",R691="",O691=0),1,0)</x:f>
        <x:v>0</x:v>
      </x:c>
      <x:c r="AC691" s="33" t="n">
        <x:f>--OR(WorkforceData[[#This Row],[Status]]="Resigned",WorkforceData[[#This Row],[Status After Training]]="Withdrew")</x:f>
        <x:v>0</x:v>
      </x:c>
      <x:c r="AD691" s="34" t="n">
        <x:f>EOMONTH(WorkforceData[[#This Row],[Training Date]],0)</x:f>
        <x:v>45230</x:v>
      </x:c>
      <x:c r="AE691" s="32" t="str">
        <x:f>IF(M691&lt;H691,"Existing Employee",IF(U691="","No Assignment",IF(V691=0,"0 Days",IF(V691&lt;=7,"1-7 Days",IF(V691&lt;=14,"8-14 Days",IF(V691&lt;=21,"15-21 Days","21+ Days"))))))</x:f>
        <x:v>Existing Employee</x:v>
      </x:c>
      <x:c r="AF69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91" s="33" t="n">
        <x:f>--(WorkforceData[[#This Row],[Total Days Worked]]&gt;=121)</x:f>
        <x:v>1</x:v>
      </x:c>
    </x:row>
    <x:row r="692">
      <x:c r="A692" s="236" t="str">
        <x:v>TRN-0691</x:v>
      </x:c>
      <x:c r="B692" s="243"/>
      <x:c r="C692" s="243"/>
      <x:c r="D692" s="243"/>
      <x:c r="E692" s="243"/>
      <x:c r="F692" s="14" t="str">
        <x:v>Recruiter D</x:v>
      </x:c>
      <x:c r="G692" s="14" t="str">
        <x:v>Training Center A</x:v>
      </x:c>
      <x:c r="H692" s="28">
        <x:v>45227</x:v>
      </x:c>
      <x:c r="I692" s="14">
        <x:v>2023</x:v>
      </x:c>
      <x:c r="J692" s="14" t="s">
        <x:v>100</x:v>
      </x:c>
      <x:c r="K692" s="14">
        <x:v>27</x:v>
      </x:c>
      <x:c r="L692" s="29" t="s">
        <x:v>101</x:v>
      </x:c>
      <x:c r="M692" s="28">
        <x:v>45222</x:v>
      </x:c>
      <x:c r="N692" s="28">
        <x:v>45307</x:v>
      </x:c>
      <x:c r="O692" s="14">
        <x:v>85</x:v>
      </x:c>
      <x:c r="P692" s="14" t="s">
        <x:v>110</x:v>
      </x:c>
      <x:c r="Q692" s="14" t="s">
        <x:v>103</x:v>
      </x:c>
      <x:c r="R692" s="14" t="s">
        <x:v>123</x:v>
      </x:c>
      <x:c r="S692" s="14" t="s">
        <x:v>105</x:v>
      </x:c>
      <x:c r="T692" s="14" t="str">
        <x:v>Region D</x:v>
      </x:c>
      <x:c r="U692" s="28">
        <x:v>45242</x:v>
      </x:c>
      <x:c r="V692" s="30">
        <x:v>15</x:v>
      </x:c>
      <x:c r="W692" s="14" t="s">
        <x:v>112</x:v>
      </x:c>
      <x:c r="X692" s="14" t="s">
        <x:v>106</x:v>
      </x:c>
      <x:c r="Y692" s="32" t="str">
        <x:v>TRN-0691|20231028</x:v>
      </x:c>
      <x:c r="Z692" s="32" t="str" cm="1">
        <x:f t="array" ref="Z69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692" s="33" t="n">
        <x:f>--OR(WorkforceData[[#This Row],[Status]]="Active",WorkforceData[[#This Row],[Promoted]]="Yes",WorkforceData[[#This Row],[Total Days Worked]]&gt;=121)</x:f>
        <x:v>0</x:v>
      </x:c>
      <x:c r="AB692" s="33" t="n">
        <x:f>IF(AND(Q692="Terminated",R692="",O692=0),1,0)</x:f>
        <x:v>0</x:v>
      </x:c>
      <x:c r="AC692" s="33" t="n">
        <x:f>--OR(WorkforceData[[#This Row],[Status]]="Resigned",WorkforceData[[#This Row],[Status After Training]]="Withdrew")</x:f>
        <x:v>1</x:v>
      </x:c>
      <x:c r="AD692" s="34" t="n">
        <x:f>EOMONTH(WorkforceData[[#This Row],[Training Date]],0)</x:f>
        <x:v>45230</x:v>
      </x:c>
      <x:c r="AE692" s="32" t="str">
        <x:f>IF(M692&lt;H692,"Existing Employee",IF(U692="","No Assignment",IF(V692=0,"0 Days",IF(V692&lt;=7,"1-7 Days",IF(V692&lt;=14,"8-14 Days",IF(V692&lt;=21,"15-21 Days","21+ Days"))))))</x:f>
        <x:v>Existing Employee</x:v>
      </x:c>
      <x:c r="AF69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61-90 Days</x:v>
      </x:c>
      <x:c r="AG692" s="33" t="n">
        <x:f>--(WorkforceData[[#This Row],[Total Days Worked]]&gt;=121)</x:f>
        <x:v>0</x:v>
      </x:c>
    </x:row>
    <x:row r="693">
      <x:c r="A693" s="236" t="str">
        <x:v>TRN-0692</x:v>
      </x:c>
      <x:c r="B693" s="243"/>
      <x:c r="C693" s="243"/>
      <x:c r="D693" s="243"/>
      <x:c r="E693" s="243"/>
      <x:c r="F693" s="14" t="str">
        <x:v>Recruiter B</x:v>
      </x:c>
      <x:c r="G693" s="14" t="str">
        <x:v>Training Center A</x:v>
      </x:c>
      <x:c r="H693" s="28">
        <x:v>45227</x:v>
      </x:c>
      <x:c r="I693" s="14">
        <x:v>2023</x:v>
      </x:c>
      <x:c r="J693" s="14" t="s">
        <x:v>100</x:v>
      </x:c>
      <x:c r="K693" s="14">
        <x:v>27</x:v>
      </x:c>
      <x:c r="L693" s="29" t="s">
        <x:v>101</x:v>
      </x:c>
      <x:c r="M693" s="28">
        <x:v>45227</x:v>
      </x:c>
      <x:c r="N693" s="28">
        <x:v>45317</x:v>
      </x:c>
      <x:c r="O693" s="14">
        <x:v>90</x:v>
      </x:c>
      <x:c r="P693" s="14" t="s">
        <x:v>110</x:v>
      </x:c>
      <x:c r="Q693" s="14" t="s">
        <x:v>103</x:v>
      </x:c>
      <x:c r="R693" s="14" t="s">
        <x:v>104</x:v>
      </x:c>
      <x:c r="S693" s="14" t="s">
        <x:v>105</x:v>
      </x:c>
      <x:c r="T693" s="14" t="str">
        <x:v>Region D</x:v>
      </x:c>
      <x:c r="U693" s="28">
        <x:v>45230</x:v>
      </x:c>
      <x:c r="V693" s="30">
        <x:v>3</x:v>
      </x:c>
      <x:c r="W693" s="14" t="s">
        <x:v>109</x:v>
      </x:c>
      <x:c r="X693" s="14" t="s">
        <x:v>106</x:v>
      </x:c>
      <x:c r="Y693" s="32" t="str">
        <x:v>TRN-0692|20231028</x:v>
      </x:c>
      <x:c r="Z693" s="32" t="str" cm="1">
        <x:f t="array" ref="Z69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693" s="33" t="n">
        <x:f>--OR(WorkforceData[[#This Row],[Status]]="Active",WorkforceData[[#This Row],[Promoted]]="Yes",WorkforceData[[#This Row],[Total Days Worked]]&gt;=121)</x:f>
        <x:v>0</x:v>
      </x:c>
      <x:c r="AB693" s="33" t="n">
        <x:f>IF(AND(Q693="Terminated",R693="",O693=0),1,0)</x:f>
        <x:v>0</x:v>
      </x:c>
      <x:c r="AC693" s="33" t="n">
        <x:f>--OR(WorkforceData[[#This Row],[Status]]="Resigned",WorkforceData[[#This Row],[Status After Training]]="Withdrew")</x:f>
        <x:v>1</x:v>
      </x:c>
      <x:c r="AD693" s="34" t="n">
        <x:f>EOMONTH(WorkforceData[[#This Row],[Training Date]],0)</x:f>
        <x:v>45230</x:v>
      </x:c>
      <x:c r="AE693" s="32" t="str">
        <x:f>IF(M693&lt;H693,"Existing Employee",IF(U693="","No Assignment",IF(V693=0,"0 Days",IF(V693&lt;=7,"1-7 Days",IF(V693&lt;=14,"8-14 Days",IF(V693&lt;=21,"15-21 Days","21+ Days"))))))</x:f>
        <x:v>1-7 Days</x:v>
      </x:c>
      <x:c r="AF69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61-90 Days</x:v>
      </x:c>
      <x:c r="AG693" s="33" t="n">
        <x:f>--(WorkforceData[[#This Row],[Total Days Worked]]&gt;=121)</x:f>
        <x:v>0</x:v>
      </x:c>
    </x:row>
    <x:row r="694">
      <x:c r="A694" s="236" t="str">
        <x:v>TRN-0693</x:v>
      </x:c>
      <x:c r="B694" s="243"/>
      <x:c r="C694" s="243"/>
      <x:c r="D694" s="243"/>
      <x:c r="E694" s="243"/>
      <x:c r="F694" s="14" t="str">
        <x:v>Recruiter E</x:v>
      </x:c>
      <x:c r="G694" s="14" t="str">
        <x:v>Training Center A</x:v>
      </x:c>
      <x:c r="H694" s="28">
        <x:v>45227</x:v>
      </x:c>
      <x:c r="I694" s="14">
        <x:v>2023</x:v>
      </x:c>
      <x:c r="J694" s="14" t="s">
        <x:v>100</x:v>
      </x:c>
      <x:c r="K694" s="14">
        <x:v>27</x:v>
      </x:c>
      <x:c r="L694" s="29" t="s">
        <x:v>101</x:v>
      </x:c>
      <x:c r="M694" s="28">
        <x:v>45220</x:v>
      </x:c>
      <x:c r="N694" s="28">
        <x:v>45420</x:v>
      </x:c>
      <x:c r="O694" s="14">
        <x:v>200</x:v>
      </x:c>
      <x:c r="P694" s="14" t="s">
        <x:v>107</x:v>
      </x:c>
      <x:c r="Q694" s="14" t="s">
        <x:v>103</x:v>
      </x:c>
      <x:c r="R694" s="14" t="s">
        <x:v>111</x:v>
      </x:c>
      <x:c r="S694" s="14" t="s">
        <x:v>108</x:v>
      </x:c>
      <x:c r="T694" s="14" t="str">
        <x:v>Region A</x:v>
      </x:c>
      <x:c r="U694" s="28">
        <x:v>45230</x:v>
      </x:c>
      <x:c r="V694" s="30">
        <x:v>3</x:v>
      </x:c>
      <x:c r="W694" s="14" t="s">
        <x:v>109</x:v>
      </x:c>
      <x:c r="X694" s="14" t="s">
        <x:v>106</x:v>
      </x:c>
      <x:c r="Y694" s="32" t="str">
        <x:v>TRN-0693|20231028</x:v>
      </x:c>
      <x:c r="Z694" s="32" t="str" cm="1">
        <x:f t="array" ref="Z69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694" s="33" t="n">
        <x:f>--OR(WorkforceData[[#This Row],[Status]]="Active",WorkforceData[[#This Row],[Promoted]]="Yes",WorkforceData[[#This Row],[Total Days Worked]]&gt;=121)</x:f>
        <x:v>1</x:v>
      </x:c>
      <x:c r="AB694" s="33" t="n">
        <x:f>IF(AND(Q694="Terminated",R694="",O694=0),1,0)</x:f>
        <x:v>0</x:v>
      </x:c>
      <x:c r="AC694" s="33" t="n">
        <x:f>--OR(WorkforceData[[#This Row],[Status]]="Resigned",WorkforceData[[#This Row],[Status After Training]]="Withdrew")</x:f>
        <x:v>1</x:v>
      </x:c>
      <x:c r="AD694" s="34" t="n">
        <x:f>EOMONTH(WorkforceData[[#This Row],[Training Date]],0)</x:f>
        <x:v>45230</x:v>
      </x:c>
      <x:c r="AE694" s="32" t="str">
        <x:f>IF(M694&lt;H694,"Existing Employee",IF(U694="","No Assignment",IF(V694=0,"0 Days",IF(V694&lt;=7,"1-7 Days",IF(V694&lt;=14,"8-14 Days",IF(V694&lt;=21,"15-21 Days","21+ Days"))))))</x:f>
        <x:v>Existing Employee</x:v>
      </x:c>
      <x:c r="AF69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94" s="33" t="n">
        <x:f>--(WorkforceData[[#This Row],[Total Days Worked]]&gt;=121)</x:f>
        <x:v>1</x:v>
      </x:c>
    </x:row>
    <x:row r="695">
      <x:c r="A695" s="236" t="str">
        <x:v>TRN-0694</x:v>
      </x:c>
      <x:c r="B695" s="243"/>
      <x:c r="C695" s="243"/>
      <x:c r="D695" s="243"/>
      <x:c r="E695" s="243"/>
      <x:c r="F695" s="14" t="str">
        <x:v>Recruiter H</x:v>
      </x:c>
      <x:c r="G695" s="14" t="str">
        <x:v>Training Center A</x:v>
      </x:c>
      <x:c r="H695" s="28">
        <x:v>45227</x:v>
      </x:c>
      <x:c r="I695" s="14">
        <x:v>2023</x:v>
      </x:c>
      <x:c r="J695" s="14" t="s">
        <x:v>100</x:v>
      </x:c>
      <x:c r="K695" s="14">
        <x:v>27</x:v>
      </x:c>
      <x:c r="L695" s="29" t="s">
        <x:v>101</x:v>
      </x:c>
      <x:c r="M695" s="28">
        <x:v>45227</x:v>
      </x:c>
      <x:c r="N695" s="28">
        <x:v>45275</x:v>
      </x:c>
      <x:c r="O695" s="14">
        <x:v>48</x:v>
      </x:c>
      <x:c r="P695" s="14" t="s">
        <x:v>110</x:v>
      </x:c>
      <x:c r="Q695" s="14" t="s">
        <x:v>103</x:v>
      </x:c>
      <x:c r="R695" s="14" t="s">
        <x:v>104</x:v>
      </x:c>
      <x:c r="S695" s="14" t="s">
        <x:v>105</x:v>
      </x:c>
      <x:c r="T695" s="14" t="str">
        <x:v>Region C</x:v>
      </x:c>
      <x:c r="U695" s="28">
        <x:v>45244</x:v>
      </x:c>
      <x:c r="V695" s="30">
        <x:v>17</x:v>
      </x:c>
      <x:c r="W695" s="14" t="s">
        <x:v>112</x:v>
      </x:c>
      <x:c r="X695" s="14" t="s">
        <x:v>106</x:v>
      </x:c>
      <x:c r="Y695" s="32" t="str">
        <x:v>TRN-0694|20231028</x:v>
      </x:c>
      <x:c r="Z695" s="32" t="str" cm="1">
        <x:f t="array" ref="Z69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695" s="33" t="n">
        <x:f>--OR(WorkforceData[[#This Row],[Status]]="Active",WorkforceData[[#This Row],[Promoted]]="Yes",WorkforceData[[#This Row],[Total Days Worked]]&gt;=121)</x:f>
        <x:v>0</x:v>
      </x:c>
      <x:c r="AB695" s="33" t="n">
        <x:f>IF(AND(Q695="Terminated",R695="",O695=0),1,0)</x:f>
        <x:v>0</x:v>
      </x:c>
      <x:c r="AC695" s="33" t="n">
        <x:f>--OR(WorkforceData[[#This Row],[Status]]="Resigned",WorkforceData[[#This Row],[Status After Training]]="Withdrew")</x:f>
        <x:v>1</x:v>
      </x:c>
      <x:c r="AD695" s="34" t="n">
        <x:f>EOMONTH(WorkforceData[[#This Row],[Training Date]],0)</x:f>
        <x:v>45230</x:v>
      </x:c>
      <x:c r="AE695" s="32" t="str">
        <x:f>IF(M695&lt;H695,"Existing Employee",IF(U695="","No Assignment",IF(V695=0,"0 Days",IF(V695&lt;=7,"1-7 Days",IF(V695&lt;=14,"8-14 Days",IF(V695&lt;=21,"15-21 Days","21+ Days"))))))</x:f>
        <x:v>15-21 Days</x:v>
      </x:c>
      <x:c r="AF69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695" s="33" t="n">
        <x:f>--(WorkforceData[[#This Row],[Total Days Worked]]&gt;=121)</x:f>
        <x:v>0</x:v>
      </x:c>
    </x:row>
    <x:row r="696">
      <x:c r="A696" s="236" t="str">
        <x:v>TRN-0695</x:v>
      </x:c>
      <x:c r="B696" s="243"/>
      <x:c r="C696" s="243"/>
      <x:c r="D696" s="243"/>
      <x:c r="E696" s="243"/>
      <x:c r="F696" s="14" t="str">
        <x:v>Recruiter E</x:v>
      </x:c>
      <x:c r="G696" s="14" t="str">
        <x:v>Training Center A</x:v>
      </x:c>
      <x:c r="H696" s="28">
        <x:v>45227</x:v>
      </x:c>
      <x:c r="I696" s="14">
        <x:v>2023</x:v>
      </x:c>
      <x:c r="J696" s="14" t="s">
        <x:v>100</x:v>
      </x:c>
      <x:c r="K696" s="14">
        <x:v>27</x:v>
      </x:c>
      <x:c r="L696" s="29" t="s">
        <x:v>101</x:v>
      </x:c>
      <x:c r="M696" s="28">
        <x:v>45220</x:v>
      </x:c>
      <x:c r="N696" s="28">
        <x:v>45226</x:v>
      </x:c>
      <x:c r="O696" s="14">
        <x:v>6</x:v>
      </x:c>
      <x:c r="P696" s="14" t="s">
        <x:v>102</x:v>
      </x:c>
      <x:c r="Q696" s="14" t="s">
        <x:v>33</x:v>
      </x:c>
      <x:c r="R696" s="14" t="s">
        <x:v>124</x:v>
      </x:c>
      <x:c r="S696" s="14" t="s">
        <x:v>105</x:v>
      </x:c>
      <x:c r="T696" s="14"/>
      <x:c r="U696" s="28"/>
      <x:c r="V696" s="30"/>
      <x:c r="W696" s="14"/>
      <x:c r="X696" s="14" t="s">
        <x:v>71</x:v>
      </x:c>
      <x:c r="Y696" s="32" t="str">
        <x:v>TRN-0695|20231028</x:v>
      </x:c>
      <x:c r="Z696" s="32" t="str" cm="1">
        <x:f t="array" ref="Z69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696" s="33" t="n">
        <x:f>--OR(WorkforceData[[#This Row],[Status]]="Active",WorkforceData[[#This Row],[Promoted]]="Yes",WorkforceData[[#This Row],[Total Days Worked]]&gt;=121)</x:f>
        <x:v>0</x:v>
      </x:c>
      <x:c r="AB696" s="33" t="n">
        <x:f>IF(AND(Q696="Terminated",R696="",O696=0),1,0)</x:f>
        <x:v>0</x:v>
      </x:c>
      <x:c r="AC696" s="33" t="n">
        <x:f>--OR(WorkforceData[[#This Row],[Status]]="Resigned",WorkforceData[[#This Row],[Status After Training]]="Withdrew")</x:f>
        <x:v>0</x:v>
      </x:c>
      <x:c r="AD696" s="34" t="n">
        <x:f>EOMONTH(WorkforceData[[#This Row],[Training Date]],0)</x:f>
        <x:v>45230</x:v>
      </x:c>
      <x:c r="AE696" s="32" t="str">
        <x:f>IF(M696&lt;H696,"Existing Employee",IF(U696="","No Assignment",IF(V696=0,"0 Days",IF(V696&lt;=7,"1-7 Days",IF(V696&lt;=14,"8-14 Days",IF(V696&lt;=21,"15-21 Days","21+ Days"))))))</x:f>
        <x:v>Existing Employee</x:v>
      </x:c>
      <x:c r="AF69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1-7 Days</x:v>
      </x:c>
      <x:c r="AG696" s="33" t="n">
        <x:f>--(WorkforceData[[#This Row],[Total Days Worked]]&gt;=121)</x:f>
        <x:v>0</x:v>
      </x:c>
    </x:row>
    <x:row r="697">
      <x:c r="A697" s="236" t="str">
        <x:v>TRN-0696</x:v>
      </x:c>
      <x:c r="B697" s="243"/>
      <x:c r="C697" s="243"/>
      <x:c r="D697" s="243"/>
      <x:c r="E697" s="243"/>
      <x:c r="F697" s="14" t="str">
        <x:v>Recruiter H</x:v>
      </x:c>
      <x:c r="G697" s="14" t="str">
        <x:v>Training Center A</x:v>
      </x:c>
      <x:c r="H697" s="28">
        <x:v>45227</x:v>
      </x:c>
      <x:c r="I697" s="14">
        <x:v>2023</x:v>
      </x:c>
      <x:c r="J697" s="14" t="s">
        <x:v>100</x:v>
      </x:c>
      <x:c r="K697" s="14">
        <x:v>27</x:v>
      </x:c>
      <x:c r="L697" s="29" t="s">
        <x:v>101</x:v>
      </x:c>
      <x:c r="M697" s="28">
        <x:v>45222</x:v>
      </x:c>
      <x:c r="N697" s="28">
        <x:v>45223</x:v>
      </x:c>
      <x:c r="O697" s="14">
        <x:v>1</x:v>
      </x:c>
      <x:c r="P697" s="14" t="s">
        <x:v>102</x:v>
      </x:c>
      <x:c r="Q697" s="14" t="s">
        <x:v>103</x:v>
      </x:c>
      <x:c r="R697" s="14" t="s">
        <x:v>123</x:v>
      </x:c>
      <x:c r="S697" s="14" t="s">
        <x:v>105</x:v>
      </x:c>
      <x:c r="T697" s="14"/>
      <x:c r="U697" s="28"/>
      <x:c r="V697" s="30"/>
      <x:c r="W697" s="14"/>
      <x:c r="X697" s="14" t="s">
        <x:v>71</x:v>
      </x:c>
      <x:c r="Y697" s="32" t="str">
        <x:v>TRN-0696|20231028</x:v>
      </x:c>
      <x:c r="Z697" s="32" t="str" cm="1">
        <x:f t="array" ref="Z69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697" s="33" t="n">
        <x:f>--OR(WorkforceData[[#This Row],[Status]]="Active",WorkforceData[[#This Row],[Promoted]]="Yes",WorkforceData[[#This Row],[Total Days Worked]]&gt;=121)</x:f>
        <x:v>0</x:v>
      </x:c>
      <x:c r="AB697" s="33" t="n">
        <x:f>IF(AND(Q697="Terminated",R697="",O697=0),1,0)</x:f>
        <x:v>0</x:v>
      </x:c>
      <x:c r="AC697" s="33" t="n">
        <x:f>--OR(WorkforceData[[#This Row],[Status]]="Resigned",WorkforceData[[#This Row],[Status After Training]]="Withdrew")</x:f>
        <x:v>1</x:v>
      </x:c>
      <x:c r="AD697" s="34" t="n">
        <x:f>EOMONTH(WorkforceData[[#This Row],[Training Date]],0)</x:f>
        <x:v>45230</x:v>
      </x:c>
      <x:c r="AE697" s="32" t="str">
        <x:f>IF(M697&lt;H697,"Existing Employee",IF(U697="","No Assignment",IF(V697=0,"0 Days",IF(V697&lt;=7,"1-7 Days",IF(V697&lt;=14,"8-14 Days",IF(V697&lt;=21,"15-21 Days","21+ Days"))))))</x:f>
        <x:v>Existing Employee</x:v>
      </x:c>
      <x:c r="AF69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1-7 Days</x:v>
      </x:c>
      <x:c r="AG697" s="33" t="n">
        <x:f>--(WorkforceData[[#This Row],[Total Days Worked]]&gt;=121)</x:f>
        <x:v>0</x:v>
      </x:c>
    </x:row>
    <x:row r="698">
      <x:c r="A698" s="236" t="str">
        <x:v>TRN-0697</x:v>
      </x:c>
      <x:c r="B698" s="243"/>
      <x:c r="C698" s="243"/>
      <x:c r="D698" s="243"/>
      <x:c r="E698" s="243"/>
      <x:c r="F698" s="14" t="str">
        <x:v>Recruiter G</x:v>
      </x:c>
      <x:c r="G698" s="14" t="str">
        <x:v>Training Center A</x:v>
      </x:c>
      <x:c r="H698" s="28">
        <x:v>45227</x:v>
      </x:c>
      <x:c r="I698" s="14">
        <x:v>2023</x:v>
      </x:c>
      <x:c r="J698" s="14" t="s">
        <x:v>100</x:v>
      </x:c>
      <x:c r="K698" s="14">
        <x:v>27</x:v>
      </x:c>
      <x:c r="L698" s="29" t="s">
        <x:v>101</x:v>
      </x:c>
      <x:c r="M698" s="28">
        <x:v>45227</x:v>
      </x:c>
      <x:c r="N698" s="14"/>
      <x:c r="O698" s="14">
        <x:v>1024</x:v>
      </x:c>
      <x:c r="P698" s="14" t="s">
        <x:v>122</x:v>
      </x:c>
      <x:c r="Q698" s="14" t="s">
        <x:v>25</x:v>
      </x:c>
      <x:c r="R698" s="14"/>
      <x:c r="S698" s="14" t="s">
        <x:v>108</x:v>
      </x:c>
      <x:c r="T698" s="14" t="str">
        <x:v>Region B</x:v>
      </x:c>
      <x:c r="U698" s="28">
        <x:v>45237</x:v>
      </x:c>
      <x:c r="V698" s="30">
        <x:v>10</x:v>
      </x:c>
      <x:c r="W698" s="14" t="s">
        <x:v>45</x:v>
      </x:c>
      <x:c r="X698" s="14" t="s">
        <x:v>106</x:v>
      </x:c>
      <x:c r="Y698" s="32" t="str">
        <x:v>TRN-0697|20231028</x:v>
      </x:c>
      <x:c r="Z698" s="32" t="str" cm="1">
        <x:f t="array" ref="Z69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698" s="33" t="n">
        <x:f>--OR(WorkforceData[[#This Row],[Status]]="Active",WorkforceData[[#This Row],[Promoted]]="Yes",WorkforceData[[#This Row],[Total Days Worked]]&gt;=121)</x:f>
        <x:v>1</x:v>
      </x:c>
      <x:c r="AB698" s="33" t="n">
        <x:f>IF(AND(Q698="Terminated",R698="",O698=0),1,0)</x:f>
        <x:v>0</x:v>
      </x:c>
      <x:c r="AC698" s="33" t="n">
        <x:f>--OR(WorkforceData[[#This Row],[Status]]="Resigned",WorkforceData[[#This Row],[Status After Training]]="Withdrew")</x:f>
        <x:v>0</x:v>
      </x:c>
      <x:c r="AD698" s="34" t="n">
        <x:f>EOMONTH(WorkforceData[[#This Row],[Training Date]],0)</x:f>
        <x:v>45230</x:v>
      </x:c>
      <x:c r="AE698" s="32" t="str">
        <x:f>IF(M698&lt;H698,"Existing Employee",IF(U698="","No Assignment",IF(V698=0,"0 Days",IF(V698&lt;=7,"1-7 Days",IF(V698&lt;=14,"8-14 Days",IF(V698&lt;=21,"15-21 Days","21+ Days"))))))</x:f>
        <x:v>8-14 Days</x:v>
      </x:c>
      <x:c r="AF69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98" s="33" t="n">
        <x:f>--(WorkforceData[[#This Row],[Total Days Worked]]&gt;=121)</x:f>
        <x:v>1</x:v>
      </x:c>
    </x:row>
    <x:row r="699">
      <x:c r="A699" s="236" t="str">
        <x:v>TRN-0698</x:v>
      </x:c>
      <x:c r="B699" s="243"/>
      <x:c r="C699" s="243"/>
      <x:c r="D699" s="243"/>
      <x:c r="E699" s="243"/>
      <x:c r="F699" s="14" t="str">
        <x:v>Recruiter G</x:v>
      </x:c>
      <x:c r="G699" s="14" t="str">
        <x:v>Training Center A</x:v>
      </x:c>
      <x:c r="H699" s="28">
        <x:v>45227</x:v>
      </x:c>
      <x:c r="I699" s="14">
        <x:v>2023</x:v>
      </x:c>
      <x:c r="J699" s="14" t="s">
        <x:v>100</x:v>
      </x:c>
      <x:c r="K699" s="14">
        <x:v>27</x:v>
      </x:c>
      <x:c r="L699" s="29" t="s">
        <x:v>101</x:v>
      </x:c>
      <x:c r="M699" s="28">
        <x:v>45226</x:v>
      </x:c>
      <x:c r="N699" s="14"/>
      <x:c r="O699" s="14">
        <x:v>1025</x:v>
      </x:c>
      <x:c r="P699" s="14" t="s">
        <x:v>122</x:v>
      </x:c>
      <x:c r="Q699" s="14" t="s">
        <x:v>25</x:v>
      </x:c>
      <x:c r="R699" s="14"/>
      <x:c r="S699" s="14" t="s">
        <x:v>108</x:v>
      </x:c>
      <x:c r="T699" s="14" t="str">
        <x:v>Region C</x:v>
      </x:c>
      <x:c r="U699" s="28">
        <x:v>45227</x:v>
      </x:c>
      <x:c r="V699" s="30">
        <x:v>0</x:v>
      </x:c>
      <x:c r="W699" s="14" t="s">
        <x:v>109</x:v>
      </x:c>
      <x:c r="X699" s="14" t="s">
        <x:v>106</x:v>
      </x:c>
      <x:c r="Y699" s="32" t="str">
        <x:v>TRN-0698|20231028</x:v>
      </x:c>
      <x:c r="Z699" s="32" t="str" cm="1">
        <x:f t="array" ref="Z69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699" s="33" t="n">
        <x:f>--OR(WorkforceData[[#This Row],[Status]]="Active",WorkforceData[[#This Row],[Promoted]]="Yes",WorkforceData[[#This Row],[Total Days Worked]]&gt;=121)</x:f>
        <x:v>1</x:v>
      </x:c>
      <x:c r="AB699" s="33" t="n">
        <x:f>IF(AND(Q699="Terminated",R699="",O699=0),1,0)</x:f>
        <x:v>0</x:v>
      </x:c>
      <x:c r="AC699" s="33" t="n">
        <x:f>--OR(WorkforceData[[#This Row],[Status]]="Resigned",WorkforceData[[#This Row],[Status After Training]]="Withdrew")</x:f>
        <x:v>0</x:v>
      </x:c>
      <x:c r="AD699" s="34" t="n">
        <x:f>EOMONTH(WorkforceData[[#This Row],[Training Date]],0)</x:f>
        <x:v>45230</x:v>
      </x:c>
      <x:c r="AE699" s="32" t="str">
        <x:f>IF(M699&lt;H699,"Existing Employee",IF(U699="","No Assignment",IF(V699=0,"0 Days",IF(V699&lt;=7,"1-7 Days",IF(V699&lt;=14,"8-14 Days",IF(V699&lt;=21,"15-21 Days","21+ Days"))))))</x:f>
        <x:v>Existing Employee</x:v>
      </x:c>
      <x:c r="AF69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699" s="33" t="n">
        <x:f>--(WorkforceData[[#This Row],[Total Days Worked]]&gt;=121)</x:f>
        <x:v>1</x:v>
      </x:c>
    </x:row>
    <x:row r="700">
      <x:c r="A700" s="236" t="str">
        <x:v>TRN-0699</x:v>
      </x:c>
      <x:c r="B700" s="243"/>
      <x:c r="C700" s="243"/>
      <x:c r="D700" s="243"/>
      <x:c r="E700" s="243"/>
      <x:c r="F700" s="14" t="str">
        <x:v>Recruiter H</x:v>
      </x:c>
      <x:c r="G700" s="14" t="str">
        <x:v>Training Center A</x:v>
      </x:c>
      <x:c r="H700" s="28">
        <x:v>45227</x:v>
      </x:c>
      <x:c r="I700" s="14">
        <x:v>2023</x:v>
      </x:c>
      <x:c r="J700" s="14" t="s">
        <x:v>100</x:v>
      </x:c>
      <x:c r="K700" s="14">
        <x:v>27</x:v>
      </x:c>
      <x:c r="L700" s="29" t="s">
        <x:v>101</x:v>
      </x:c>
      <x:c r="M700" s="28">
        <x:v>45227</x:v>
      </x:c>
      <x:c r="N700" s="28">
        <x:v>45780</x:v>
      </x:c>
      <x:c r="O700" s="14">
        <x:v>553</x:v>
      </x:c>
      <x:c r="P700" s="14" t="s">
        <x:v>120</x:v>
      </x:c>
      <x:c r="Q700" s="14" t="s">
        <x:v>103</x:v>
      </x:c>
      <x:c r="R700" s="14" t="s">
        <x:v>123</x:v>
      </x:c>
      <x:c r="S700" s="14" t="s">
        <x:v>108</x:v>
      </x:c>
      <x:c r="T700" s="14" t="str">
        <x:v>Region B</x:v>
      </x:c>
      <x:c r="U700" s="28">
        <x:v>45229</x:v>
      </x:c>
      <x:c r="V700" s="30">
        <x:v>2</x:v>
      </x:c>
      <x:c r="W700" s="14" t="s">
        <x:v>109</x:v>
      </x:c>
      <x:c r="X700" s="14" t="s">
        <x:v>106</x:v>
      </x:c>
      <x:c r="Y700" s="32" t="str">
        <x:v>TRN-0699|20231028</x:v>
      </x:c>
      <x:c r="Z700" s="32" t="str" cm="1">
        <x:f t="array" ref="Z70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700" s="33" t="n">
        <x:f>--OR(WorkforceData[[#This Row],[Status]]="Active",WorkforceData[[#This Row],[Promoted]]="Yes",WorkforceData[[#This Row],[Total Days Worked]]&gt;=121)</x:f>
        <x:v>1</x:v>
      </x:c>
      <x:c r="AB700" s="33" t="n">
        <x:f>IF(AND(Q700="Terminated",R700="",O700=0),1,0)</x:f>
        <x:v>0</x:v>
      </x:c>
      <x:c r="AC700" s="33" t="n">
        <x:f>--OR(WorkforceData[[#This Row],[Status]]="Resigned",WorkforceData[[#This Row],[Status After Training]]="Withdrew")</x:f>
        <x:v>1</x:v>
      </x:c>
      <x:c r="AD700" s="34" t="n">
        <x:f>EOMONTH(WorkforceData[[#This Row],[Training Date]],0)</x:f>
        <x:v>45230</x:v>
      </x:c>
      <x:c r="AE700" s="32" t="str">
        <x:f>IF(M700&lt;H700,"Existing Employee",IF(U700="","No Assignment",IF(V700=0,"0 Days",IF(V700&lt;=7,"1-7 Days",IF(V700&lt;=14,"8-14 Days",IF(V700&lt;=21,"15-21 Days","21+ Days"))))))</x:f>
        <x:v>1-7 Days</x:v>
      </x:c>
      <x:c r="AF70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00" s="33" t="n">
        <x:f>--(WorkforceData[[#This Row],[Total Days Worked]]&gt;=121)</x:f>
        <x:v>1</x:v>
      </x:c>
    </x:row>
    <x:row r="701">
      <x:c r="A701" s="236" t="str">
        <x:v>TRN-0700</x:v>
      </x:c>
      <x:c r="B701" s="243"/>
      <x:c r="C701" s="243"/>
      <x:c r="D701" s="243"/>
      <x:c r="E701" s="243"/>
      <x:c r="F701" s="14" t="str">
        <x:v>Recruiter G</x:v>
      </x:c>
      <x:c r="G701" s="14" t="str">
        <x:v>Training Center A</x:v>
      </x:c>
      <x:c r="H701" s="28">
        <x:v>45227</x:v>
      </x:c>
      <x:c r="I701" s="14">
        <x:v>2023</x:v>
      </x:c>
      <x:c r="J701" s="14" t="s">
        <x:v>100</x:v>
      </x:c>
      <x:c r="K701" s="14">
        <x:v>27</x:v>
      </x:c>
      <x:c r="L701" s="29" t="s">
        <x:v>101</x:v>
      </x:c>
      <x:c r="M701" s="28">
        <x:v>45227</x:v>
      </x:c>
      <x:c r="N701" s="28">
        <x:v>45318</x:v>
      </x:c>
      <x:c r="O701" s="14">
        <x:v>91</x:v>
      </x:c>
      <x:c r="P701" s="14" t="s">
        <x:v>113</x:v>
      </x:c>
      <x:c r="Q701" s="14" t="s">
        <x:v>103</x:v>
      </x:c>
      <x:c r="R701" s="14" t="s">
        <x:v>104</x:v>
      </x:c>
      <x:c r="S701" s="14" t="s">
        <x:v>105</x:v>
      </x:c>
      <x:c r="T701" s="14" t="str">
        <x:v>Region B</x:v>
      </x:c>
      <x:c r="U701" s="28">
        <x:v>45231</x:v>
      </x:c>
      <x:c r="V701" s="30">
        <x:v>4</x:v>
      </x:c>
      <x:c r="W701" s="14" t="s">
        <x:v>109</x:v>
      </x:c>
      <x:c r="X701" s="14" t="s">
        <x:v>106</x:v>
      </x:c>
      <x:c r="Y701" s="32" t="str">
        <x:v>TRN-0700|20231028</x:v>
      </x:c>
      <x:c r="Z701" s="32" t="str" cm="1">
        <x:f t="array" ref="Z70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701" s="33" t="n">
        <x:f>--OR(WorkforceData[[#This Row],[Status]]="Active",WorkforceData[[#This Row],[Promoted]]="Yes",WorkforceData[[#This Row],[Total Days Worked]]&gt;=121)</x:f>
        <x:v>0</x:v>
      </x:c>
      <x:c r="AB701" s="33" t="n">
        <x:f>IF(AND(Q701="Terminated",R701="",O701=0),1,0)</x:f>
        <x:v>0</x:v>
      </x:c>
      <x:c r="AC701" s="33" t="n">
        <x:f>--OR(WorkforceData[[#This Row],[Status]]="Resigned",WorkforceData[[#This Row],[Status After Training]]="Withdrew")</x:f>
        <x:v>1</x:v>
      </x:c>
      <x:c r="AD701" s="34" t="n">
        <x:f>EOMONTH(WorkforceData[[#This Row],[Training Date]],0)</x:f>
        <x:v>45230</x:v>
      </x:c>
      <x:c r="AE701" s="32" t="str">
        <x:f>IF(M701&lt;H701,"Existing Employee",IF(U701="","No Assignment",IF(V701=0,"0 Days",IF(V701&lt;=7,"1-7 Days",IF(V701&lt;=14,"8-14 Days",IF(V701&lt;=21,"15-21 Days","21+ Days"))))))</x:f>
        <x:v>1-7 Days</x:v>
      </x:c>
      <x:c r="AF70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91-120 Days</x:v>
      </x:c>
      <x:c r="AG701" s="33" t="n">
        <x:f>--(WorkforceData[[#This Row],[Total Days Worked]]&gt;=121)</x:f>
        <x:v>0</x:v>
      </x:c>
    </x:row>
    <x:row r="702">
      <x:c r="A702" s="236" t="str">
        <x:v>TRN-0701</x:v>
      </x:c>
      <x:c r="B702" s="243"/>
      <x:c r="C702" s="243"/>
      <x:c r="D702" s="243"/>
      <x:c r="E702" s="243"/>
      <x:c r="F702" s="14" t="str">
        <x:v>Recruiter B</x:v>
      </x:c>
      <x:c r="G702" s="14" t="str">
        <x:v>Training Center A</x:v>
      </x:c>
      <x:c r="H702" s="28">
        <x:v>45227</x:v>
      </x:c>
      <x:c r="I702" s="14">
        <x:v>2023</x:v>
      </x:c>
      <x:c r="J702" s="14" t="s">
        <x:v>100</x:v>
      </x:c>
      <x:c r="K702" s="14">
        <x:v>27</x:v>
      </x:c>
      <x:c r="L702" s="29" t="s">
        <x:v>101</x:v>
      </x:c>
      <x:c r="M702" s="28">
        <x:v>45224</x:v>
      </x:c>
      <x:c r="N702" s="14"/>
      <x:c r="O702" s="14">
        <x:v>1027</x:v>
      </x:c>
      <x:c r="P702" s="14" t="s">
        <x:v>122</x:v>
      </x:c>
      <x:c r="Q702" s="14" t="s">
        <x:v>38</x:v>
      </x:c>
      <x:c r="R702" s="14"/>
      <x:c r="S702" s="14" t="s">
        <x:v>108</x:v>
      </x:c>
      <x:c r="T702" s="14" t="str">
        <x:v>Region A</x:v>
      </x:c>
      <x:c r="U702" s="28">
        <x:v>45240</x:v>
      </x:c>
      <x:c r="V702" s="30">
        <x:v>13</x:v>
      </x:c>
      <x:c r="W702" s="14" t="s">
        <x:v>45</x:v>
      </x:c>
      <x:c r="X702" s="14" t="s">
        <x:v>106</x:v>
      </x:c>
      <x:c r="Y702" s="32" t="str">
        <x:v>TRN-0701|20231028</x:v>
      </x:c>
      <x:c r="Z702" s="32" t="str" cm="1">
        <x:f t="array" ref="Z70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702" s="33" t="n">
        <x:f>--OR(WorkforceData[[#This Row],[Status]]="Active",WorkforceData[[#This Row],[Promoted]]="Yes",WorkforceData[[#This Row],[Total Days Worked]]&gt;=121)</x:f>
        <x:v>1</x:v>
      </x:c>
      <x:c r="AB702" s="33" t="n">
        <x:f>IF(AND(Q702="Terminated",R702="",O702=0),1,0)</x:f>
        <x:v>0</x:v>
      </x:c>
      <x:c r="AC702" s="33" t="n">
        <x:f>--OR(WorkforceData[[#This Row],[Status]]="Resigned",WorkforceData[[#This Row],[Status After Training]]="Withdrew")</x:f>
        <x:v>0</x:v>
      </x:c>
      <x:c r="AD702" s="34" t="n">
        <x:f>EOMONTH(WorkforceData[[#This Row],[Training Date]],0)</x:f>
        <x:v>45230</x:v>
      </x:c>
      <x:c r="AE702" s="32" t="str">
        <x:f>IF(M702&lt;H702,"Existing Employee",IF(U702="","No Assignment",IF(V702=0,"0 Days",IF(V702&lt;=7,"1-7 Days",IF(V702&lt;=14,"8-14 Days",IF(V702&lt;=21,"15-21 Days","21+ Days"))))))</x:f>
        <x:v>Existing Employee</x:v>
      </x:c>
      <x:c r="AF70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02" s="33" t="n">
        <x:f>--(WorkforceData[[#This Row],[Total Days Worked]]&gt;=121)</x:f>
        <x:v>1</x:v>
      </x:c>
    </x:row>
    <x:row r="703">
      <x:c r="A703" s="236" t="str">
        <x:v>TRN-0702</x:v>
      </x:c>
      <x:c r="B703" s="243"/>
      <x:c r="C703" s="243"/>
      <x:c r="D703" s="243"/>
      <x:c r="E703" s="243"/>
      <x:c r="F703" s="14" t="str">
        <x:v>Recruiter A</x:v>
      </x:c>
      <x:c r="G703" s="14" t="str">
        <x:v>Training Center A</x:v>
      </x:c>
      <x:c r="H703" s="28">
        <x:v>45227</x:v>
      </x:c>
      <x:c r="I703" s="14">
        <x:v>2023</x:v>
      </x:c>
      <x:c r="J703" s="14" t="s">
        <x:v>100</x:v>
      </x:c>
      <x:c r="K703" s="14">
        <x:v>27</x:v>
      </x:c>
      <x:c r="L703" s="29" t="s">
        <x:v>101</x:v>
      </x:c>
      <x:c r="M703" s="28">
        <x:v>45227</x:v>
      </x:c>
      <x:c r="N703" s="28">
        <x:v>45343</x:v>
      </x:c>
      <x:c r="O703" s="14">
        <x:v>116</x:v>
      </x:c>
      <x:c r="P703" s="14" t="s">
        <x:v>113</x:v>
      </x:c>
      <x:c r="Q703" s="14" t="s">
        <x:v>103</x:v>
      </x:c>
      <x:c r="R703" s="14" t="s">
        <x:v>104</x:v>
      </x:c>
      <x:c r="S703" s="14" t="s">
        <x:v>105</x:v>
      </x:c>
      <x:c r="T703" s="14" t="str">
        <x:v>Region A</x:v>
      </x:c>
      <x:c r="U703" s="28">
        <x:v>45239</x:v>
      </x:c>
      <x:c r="V703" s="30">
        <x:v>12</x:v>
      </x:c>
      <x:c r="W703" s="14" t="s">
        <x:v>45</x:v>
      </x:c>
      <x:c r="X703" s="14" t="s">
        <x:v>106</x:v>
      </x:c>
      <x:c r="Y703" s="32" t="str">
        <x:v>TRN-0702|20231028</x:v>
      </x:c>
      <x:c r="Z703" s="32" t="str" cm="1">
        <x:f t="array" ref="Z70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703" s="33" t="n">
        <x:f>--OR(WorkforceData[[#This Row],[Status]]="Active",WorkforceData[[#This Row],[Promoted]]="Yes",WorkforceData[[#This Row],[Total Days Worked]]&gt;=121)</x:f>
        <x:v>0</x:v>
      </x:c>
      <x:c r="AB703" s="33" t="n">
        <x:f>IF(AND(Q703="Terminated",R703="",O703=0),1,0)</x:f>
        <x:v>0</x:v>
      </x:c>
      <x:c r="AC703" s="33" t="n">
        <x:f>--OR(WorkforceData[[#This Row],[Status]]="Resigned",WorkforceData[[#This Row],[Status After Training]]="Withdrew")</x:f>
        <x:v>1</x:v>
      </x:c>
      <x:c r="AD703" s="34" t="n">
        <x:f>EOMONTH(WorkforceData[[#This Row],[Training Date]],0)</x:f>
        <x:v>45230</x:v>
      </x:c>
      <x:c r="AE703" s="32" t="str">
        <x:f>IF(M703&lt;H703,"Existing Employee",IF(U703="","No Assignment",IF(V703=0,"0 Days",IF(V703&lt;=7,"1-7 Days",IF(V703&lt;=14,"8-14 Days",IF(V703&lt;=21,"15-21 Days","21+ Days"))))))</x:f>
        <x:v>8-14 Days</x:v>
      </x:c>
      <x:c r="AF70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91-120 Days</x:v>
      </x:c>
      <x:c r="AG703" s="33" t="n">
        <x:f>--(WorkforceData[[#This Row],[Total Days Worked]]&gt;=121)</x:f>
        <x:v>0</x:v>
      </x:c>
    </x:row>
    <x:row r="704">
      <x:c r="A704" s="236" t="str">
        <x:v>TRN-0703</x:v>
      </x:c>
      <x:c r="B704" s="243"/>
      <x:c r="C704" s="243"/>
      <x:c r="D704" s="243"/>
      <x:c r="E704" s="243"/>
      <x:c r="F704" s="14" t="str">
        <x:v>Recruiter B</x:v>
      </x:c>
      <x:c r="G704" s="14" t="str">
        <x:v>Training Center A</x:v>
      </x:c>
      <x:c r="H704" s="28">
        <x:v>45227</x:v>
      </x:c>
      <x:c r="I704" s="14">
        <x:v>2023</x:v>
      </x:c>
      <x:c r="J704" s="14" t="s">
        <x:v>100</x:v>
      </x:c>
      <x:c r="K704" s="14">
        <x:v>27</x:v>
      </x:c>
      <x:c r="L704" s="29" t="s">
        <x:v>101</x:v>
      </x:c>
      <x:c r="M704" s="28">
        <x:v>45220</x:v>
      </x:c>
      <x:c r="N704" s="28">
        <x:v>45389</x:v>
      </x:c>
      <x:c r="O704" s="14">
        <x:v>169</x:v>
      </x:c>
      <x:c r="P704" s="14" t="s">
        <x:v>113</x:v>
      </x:c>
      <x:c r="Q704" s="14" t="s">
        <x:v>103</x:v>
      </x:c>
      <x:c r="R704" s="14" t="s">
        <x:v>104</x:v>
      </x:c>
      <x:c r="S704" s="14" t="s">
        <x:v>105</x:v>
      </x:c>
      <x:c r="T704" s="14" t="str">
        <x:v>Region D</x:v>
      </x:c>
      <x:c r="U704" s="28">
        <x:v>45236</x:v>
      </x:c>
      <x:c r="V704" s="30">
        <x:v>9</x:v>
      </x:c>
      <x:c r="W704" s="14" t="s">
        <x:v>45</x:v>
      </x:c>
      <x:c r="X704" s="14" t="s">
        <x:v>106</x:v>
      </x:c>
      <x:c r="Y704" s="32" t="str">
        <x:v>TRN-0703|20231028</x:v>
      </x:c>
      <x:c r="Z704" s="32" t="str" cm="1">
        <x:f t="array" ref="Z70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Complete</x:v>
      </x:c>
      <x:c r="AA704" s="33" t="n">
        <x:f>--OR(WorkforceData[[#This Row],[Status]]="Active",WorkforceData[[#This Row],[Promoted]]="Yes",WorkforceData[[#This Row],[Total Days Worked]]&gt;=121)</x:f>
        <x:v>1</x:v>
      </x:c>
      <x:c r="AB704" s="33" t="n">
        <x:f>IF(AND(Q704="Terminated",R704="",O704=0),1,0)</x:f>
        <x:v>0</x:v>
      </x:c>
      <x:c r="AC704" s="33" t="n">
        <x:f>--OR(WorkforceData[[#This Row],[Status]]="Resigned",WorkforceData[[#This Row],[Status After Training]]="Withdrew")</x:f>
        <x:v>1</x:v>
      </x:c>
      <x:c r="AD704" s="34" t="n">
        <x:f>EOMONTH(WorkforceData[[#This Row],[Training Date]],0)</x:f>
        <x:v>45230</x:v>
      </x:c>
      <x:c r="AE704" s="32" t="str">
        <x:f>IF(M704&lt;H704,"Existing Employee",IF(U704="","No Assignment",IF(V704=0,"0 Days",IF(V704&lt;=7,"1-7 Days",IF(V704&lt;=14,"8-14 Days",IF(V704&lt;=21,"15-21 Days","21+ Days"))))))</x:f>
        <x:v>Existing Employee</x:v>
      </x:c>
      <x:c r="AF70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04" s="33" t="n">
        <x:f>--(WorkforceData[[#This Row],[Total Days Worked]]&gt;=121)</x:f>
        <x:v>1</x:v>
      </x:c>
    </x:row>
    <x:row r="705">
      <x:c r="A705" s="236" t="str">
        <x:v>TRN-0704</x:v>
      </x:c>
      <x:c r="B705" s="243"/>
      <x:c r="C705" s="243"/>
      <x:c r="D705" s="243"/>
      <x:c r="E705" s="243"/>
      <x:c r="F705" s="14" t="str">
        <x:v>Recruiter C</x:v>
      </x:c>
      <x:c r="G705" s="14" t="str">
        <x:v>Training Center B</x:v>
      </x:c>
      <x:c r="H705" s="28">
        <x:v>46116</x:v>
      </x:c>
      <x:c r="I705" s="14">
        <x:v>2026</x:v>
      </x:c>
      <x:c r="J705" s="14" t="s">
        <x:v>126</x:v>
      </x:c>
      <x:c r="K705" s="14">
        <x:v>13</x:v>
      </x:c>
      <x:c r="L705" s="29" t="s">
        <x:v>119</x:v>
      </x:c>
      <x:c r="M705" s="28">
        <x:v>46116</x:v>
      </x:c>
      <x:c r="N705" s="14"/>
      <x:c r="O705" s="14">
        <x:v>135</x:v>
      </x:c>
      <x:c r="P705" s="14" t="s">
        <x:v>113</x:v>
      </x:c>
      <x:c r="Q705" s="14" t="s">
        <x:v>25</x:v>
      </x:c>
      <x:c r="R705" s="14"/>
      <x:c r="S705" s="14" t="s">
        <x:v>105</x:v>
      </x:c>
      <x:c r="T705" s="14" t="str">
        <x:v>Region B</x:v>
      </x:c>
      <x:c r="U705" s="28">
        <x:v>46124</x:v>
      </x:c>
      <x:c r="V705" s="30">
        <x:v>8</x:v>
      </x:c>
      <x:c r="W705" s="14" t="s">
        <x:v>45</x:v>
      </x:c>
      <x:c r="X705" s="14" t="s">
        <x:v>125</x:v>
      </x:c>
      <x:c r="Y705" s="32" t="str">
        <x:v>TRN-0704|20260404</x:v>
      </x:c>
      <x:c r="Z705" s="32" t="str" cm="1">
        <x:f t="array" ref="Z70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705" s="33" t="n">
        <x:f>--OR(WorkforceData[[#This Row],[Status]]="Active",WorkforceData[[#This Row],[Promoted]]="Yes",WorkforceData[[#This Row],[Total Days Worked]]&gt;=121)</x:f>
        <x:v>1</x:v>
      </x:c>
      <x:c r="AB705" s="33" t="n">
        <x:f>IF(AND(Q705="Terminated",R705="",O705=0),1,0)</x:f>
        <x:v>0</x:v>
      </x:c>
      <x:c r="AC705" s="33" t="n">
        <x:f>--OR(WorkforceData[[#This Row],[Status]]="Resigned",WorkforceData[[#This Row],[Status After Training]]="Withdrew")</x:f>
        <x:v>0</x:v>
      </x:c>
      <x:c r="AD705" s="34" t="n">
        <x:f>EOMONTH(WorkforceData[[#This Row],[Training Date]],0)</x:f>
        <x:v>46142</x:v>
      </x:c>
      <x:c r="AE705" s="32" t="str">
        <x:f>IF(M705&lt;H705,"Existing Employee",IF(U705="","No Assignment",IF(V705=0,"0 Days",IF(V705&lt;=7,"1-7 Days",IF(V705&lt;=14,"8-14 Days",IF(V705&lt;=21,"15-21 Days","21+ Days"))))))</x:f>
        <x:v>8-14 Days</x:v>
      </x:c>
      <x:c r="AF70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05" s="33" t="n">
        <x:f>--(WorkforceData[[#This Row],[Total Days Worked]]&gt;=121)</x:f>
        <x:v>1</x:v>
      </x:c>
    </x:row>
    <x:row r="706">
      <x:c r="A706" s="236" t="str">
        <x:v>TRN-0705</x:v>
      </x:c>
      <x:c r="B706" s="243"/>
      <x:c r="C706" s="243"/>
      <x:c r="D706" s="243"/>
      <x:c r="E706" s="243"/>
      <x:c r="F706" s="14" t="str">
        <x:v>Recruiter A</x:v>
      </x:c>
      <x:c r="G706" s="14" t="str">
        <x:v>Training Center B</x:v>
      </x:c>
      <x:c r="H706" s="28">
        <x:v>46116</x:v>
      </x:c>
      <x:c r="I706" s="14">
        <x:v>2026</x:v>
      </x:c>
      <x:c r="J706" s="14" t="s">
        <x:v>126</x:v>
      </x:c>
      <x:c r="K706" s="14">
        <x:v>13</x:v>
      </x:c>
      <x:c r="L706" s="29" t="s">
        <x:v>119</x:v>
      </x:c>
      <x:c r="M706" s="28">
        <x:v>46116</x:v>
      </x:c>
      <x:c r="N706" s="14"/>
      <x:c r="O706" s="14">
        <x:v>135</x:v>
      </x:c>
      <x:c r="P706" s="14" t="s">
        <x:v>113</x:v>
      </x:c>
      <x:c r="Q706" s="14" t="s">
        <x:v>25</x:v>
      </x:c>
      <x:c r="R706" s="14"/>
      <x:c r="S706" s="14" t="s">
        <x:v>105</x:v>
      </x:c>
      <x:c r="T706" s="14" t="str">
        <x:v>Region B</x:v>
      </x:c>
      <x:c r="U706" s="28">
        <x:v>46132</x:v>
      </x:c>
      <x:c r="V706" s="30">
        <x:v>16</x:v>
      </x:c>
      <x:c r="W706" s="14" t="s">
        <x:v>112</x:v>
      </x:c>
      <x:c r="X706" s="14" t="s">
        <x:v>106</x:v>
      </x:c>
      <x:c r="Y706" s="32" t="str">
        <x:v>TRN-0705|20260404</x:v>
      </x:c>
      <x:c r="Z706" s="32" t="str" cm="1">
        <x:f t="array" ref="Z70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706" s="33" t="n">
        <x:f>--OR(WorkforceData[[#This Row],[Status]]="Active",WorkforceData[[#This Row],[Promoted]]="Yes",WorkforceData[[#This Row],[Total Days Worked]]&gt;=121)</x:f>
        <x:v>1</x:v>
      </x:c>
      <x:c r="AB706" s="33" t="n">
        <x:f>IF(AND(Q706="Terminated",R706="",O706=0),1,0)</x:f>
        <x:v>0</x:v>
      </x:c>
      <x:c r="AC706" s="33" t="n">
        <x:f>--OR(WorkforceData[[#This Row],[Status]]="Resigned",WorkforceData[[#This Row],[Status After Training]]="Withdrew")</x:f>
        <x:v>0</x:v>
      </x:c>
      <x:c r="AD706" s="34" t="n">
        <x:f>EOMONTH(WorkforceData[[#This Row],[Training Date]],0)</x:f>
        <x:v>46142</x:v>
      </x:c>
      <x:c r="AE706" s="32" t="str">
        <x:f>IF(M706&lt;H706,"Existing Employee",IF(U706="","No Assignment",IF(V706=0,"0 Days",IF(V706&lt;=7,"1-7 Days",IF(V706&lt;=14,"8-14 Days",IF(V706&lt;=21,"15-21 Days","21+ Days"))))))</x:f>
        <x:v>15-21 Days</x:v>
      </x:c>
      <x:c r="AF70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06" s="33" t="n">
        <x:f>--(WorkforceData[[#This Row],[Total Days Worked]]&gt;=121)</x:f>
        <x:v>1</x:v>
      </x:c>
    </x:row>
    <x:row r="707">
      <x:c r="A707" s="236" t="str">
        <x:v>TRN-0706</x:v>
      </x:c>
      <x:c r="B707" s="243"/>
      <x:c r="C707" s="243"/>
      <x:c r="D707" s="243"/>
      <x:c r="E707" s="243"/>
      <x:c r="F707" s="14" t="str">
        <x:v>Recruiter H</x:v>
      </x:c>
      <x:c r="G707" s="14" t="str">
        <x:v>Training Center B</x:v>
      </x:c>
      <x:c r="H707" s="28">
        <x:v>46116</x:v>
      </x:c>
      <x:c r="I707" s="14">
        <x:v>2026</x:v>
      </x:c>
      <x:c r="J707" s="14" t="s">
        <x:v>126</x:v>
      </x:c>
      <x:c r="K707" s="14">
        <x:v>13</x:v>
      </x:c>
      <x:c r="L707" s="29" t="s">
        <x:v>119</x:v>
      </x:c>
      <x:c r="M707" s="28">
        <x:v>46109</x:v>
      </x:c>
      <x:c r="N707" s="28">
        <x:v>46128</x:v>
      </x:c>
      <x:c r="O707" s="14">
        <x:v>19</x:v>
      </x:c>
      <x:c r="P707" s="14" t="s">
        <x:v>102</x:v>
      </x:c>
      <x:c r="Q707" s="14" t="s">
        <x:v>33</x:v>
      </x:c>
      <x:c r="R707" s="14" t="s">
        <x:v>116</x:v>
      </x:c>
      <x:c r="S707" s="14" t="s">
        <x:v>105</x:v>
      </x:c>
      <x:c r="T707" s="14" t="str">
        <x:v>Region D</x:v>
      </x:c>
      <x:c r="U707" s="28">
        <x:v>46122</x:v>
      </x:c>
      <x:c r="V707" s="30">
        <x:v>6</x:v>
      </x:c>
      <x:c r="W707" s="14" t="s">
        <x:v>109</x:v>
      </x:c>
      <x:c r="X707" s="14" t="s">
        <x:v>106</x:v>
      </x:c>
      <x:c r="Y707" s="32" t="str">
        <x:v>TRN-0706|20260404</x:v>
      </x:c>
      <x:c r="Z707" s="32" t="str" cm="1">
        <x:f t="array" ref="Z70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707" s="33" t="n">
        <x:f>--OR(WorkforceData[[#This Row],[Status]]="Active",WorkforceData[[#This Row],[Promoted]]="Yes",WorkforceData[[#This Row],[Total Days Worked]]&gt;=121)</x:f>
        <x:v>0</x:v>
      </x:c>
      <x:c r="AB707" s="33" t="n">
        <x:f>IF(AND(Q707="Terminated",R707="",O707=0),1,0)</x:f>
        <x:v>0</x:v>
      </x:c>
      <x:c r="AC707" s="33" t="n">
        <x:f>--OR(WorkforceData[[#This Row],[Status]]="Resigned",WorkforceData[[#This Row],[Status After Training]]="Withdrew")</x:f>
        <x:v>0</x:v>
      </x:c>
      <x:c r="AD707" s="34" t="n">
        <x:f>EOMONTH(WorkforceData[[#This Row],[Training Date]],0)</x:f>
        <x:v>46142</x:v>
      </x:c>
      <x:c r="AE707" s="32" t="str">
        <x:f>IF(M707&lt;H707,"Existing Employee",IF(U707="","No Assignment",IF(V707=0,"0 Days",IF(V707&lt;=7,"1-7 Days",IF(V707&lt;=14,"8-14 Days",IF(V707&lt;=21,"15-21 Days","21+ Days"))))))</x:f>
        <x:v>Existing Employee</x:v>
      </x:c>
      <x:c r="AF70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707" s="33" t="n">
        <x:f>--(WorkforceData[[#This Row],[Total Days Worked]]&gt;=121)</x:f>
        <x:v>0</x:v>
      </x:c>
    </x:row>
    <x:row r="708">
      <x:c r="A708" s="236" t="str">
        <x:v>TRN-0707</x:v>
      </x:c>
      <x:c r="B708" s="243"/>
      <x:c r="C708" s="243"/>
      <x:c r="D708" s="243"/>
      <x:c r="E708" s="243"/>
      <x:c r="F708" s="14" t="str">
        <x:v>Recruiter F</x:v>
      </x:c>
      <x:c r="G708" s="14" t="str">
        <x:v>Training Center B</x:v>
      </x:c>
      <x:c r="H708" s="28">
        <x:v>46116</x:v>
      </x:c>
      <x:c r="I708" s="14">
        <x:v>2026</x:v>
      </x:c>
      <x:c r="J708" s="14" t="s">
        <x:v>126</x:v>
      </x:c>
      <x:c r="K708" s="14">
        <x:v>13</x:v>
      </x:c>
      <x:c r="L708" s="29" t="s">
        <x:v>119</x:v>
      </x:c>
      <x:c r="M708" s="28">
        <x:v>46113</x:v>
      </x:c>
      <x:c r="N708" s="14"/>
      <x:c r="O708" s="14">
        <x:v>138</x:v>
      </x:c>
      <x:c r="P708" s="14" t="s">
        <x:v>113</x:v>
      </x:c>
      <x:c r="Q708" s="14" t="s">
        <x:v>25</x:v>
      </x:c>
      <x:c r="R708" s="14"/>
      <x:c r="S708" s="14" t="s">
        <x:v>105</x:v>
      </x:c>
      <x:c r="T708" s="14" t="str">
        <x:v>Region D</x:v>
      </x:c>
      <x:c r="U708" s="28">
        <x:v>46116</x:v>
      </x:c>
      <x:c r="V708" s="30">
        <x:v>0</x:v>
      </x:c>
      <x:c r="W708" s="14" t="s">
        <x:v>109</x:v>
      </x:c>
      <x:c r="X708" s="14" t="s">
        <x:v>106</x:v>
      </x:c>
      <x:c r="Y708" s="32" t="str">
        <x:v>TRN-0707|20260404</x:v>
      </x:c>
      <x:c r="Z708" s="32" t="str" cm="1">
        <x:f t="array" ref="Z70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708" s="33" t="n">
        <x:f>--OR(WorkforceData[[#This Row],[Status]]="Active",WorkforceData[[#This Row],[Promoted]]="Yes",WorkforceData[[#This Row],[Total Days Worked]]&gt;=121)</x:f>
        <x:v>1</x:v>
      </x:c>
      <x:c r="AB708" s="33" t="n">
        <x:f>IF(AND(Q708="Terminated",R708="",O708=0),1,0)</x:f>
        <x:v>0</x:v>
      </x:c>
      <x:c r="AC708" s="33" t="n">
        <x:f>--OR(WorkforceData[[#This Row],[Status]]="Resigned",WorkforceData[[#This Row],[Status After Training]]="Withdrew")</x:f>
        <x:v>0</x:v>
      </x:c>
      <x:c r="AD708" s="34" t="n">
        <x:f>EOMONTH(WorkforceData[[#This Row],[Training Date]],0)</x:f>
        <x:v>46142</x:v>
      </x:c>
      <x:c r="AE708" s="32" t="str">
        <x:f>IF(M708&lt;H708,"Existing Employee",IF(U708="","No Assignment",IF(V708=0,"0 Days",IF(V708&lt;=7,"1-7 Days",IF(V708&lt;=14,"8-14 Days",IF(V708&lt;=21,"15-21 Days","21+ Days"))))))</x:f>
        <x:v>Existing Employee</x:v>
      </x:c>
      <x:c r="AF70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08" s="33" t="n">
        <x:f>--(WorkforceData[[#This Row],[Total Days Worked]]&gt;=121)</x:f>
        <x:v>1</x:v>
      </x:c>
    </x:row>
    <x:row r="709">
      <x:c r="A709" s="236" t="str">
        <x:v>TRN-0708</x:v>
      </x:c>
      <x:c r="B709" s="243"/>
      <x:c r="C709" s="243"/>
      <x:c r="D709" s="243"/>
      <x:c r="E709" s="243"/>
      <x:c r="F709" s="14" t="str">
        <x:v>Recruiter D</x:v>
      </x:c>
      <x:c r="G709" s="14" t="str">
        <x:v>Training Center B</x:v>
      </x:c>
      <x:c r="H709" s="28">
        <x:v>46116</x:v>
      </x:c>
      <x:c r="I709" s="14">
        <x:v>2026</x:v>
      </x:c>
      <x:c r="J709" s="14" t="s">
        <x:v>126</x:v>
      </x:c>
      <x:c r="K709" s="14">
        <x:v>13</x:v>
      </x:c>
      <x:c r="L709" s="29" t="s">
        <x:v>119</x:v>
      </x:c>
      <x:c r="M709" s="28">
        <x:v>46113</x:v>
      </x:c>
      <x:c r="N709" s="14"/>
      <x:c r="O709" s="14">
        <x:v>138</x:v>
      </x:c>
      <x:c r="P709" s="14" t="s">
        <x:v>113</x:v>
      </x:c>
      <x:c r="Q709" s="14" t="s">
        <x:v>38</x:v>
      </x:c>
      <x:c r="R709" s="14"/>
      <x:c r="S709" s="14" t="s">
        <x:v>105</x:v>
      </x:c>
      <x:c r="T709" s="14" t="str">
        <x:v>Region B</x:v>
      </x:c>
      <x:c r="U709" s="28">
        <x:v>46144</x:v>
      </x:c>
      <x:c r="V709" s="30">
        <x:v>28</x:v>
      </x:c>
      <x:c r="W709" s="14" t="s">
        <x:v>112</x:v>
      </x:c>
      <x:c r="X709" s="14" t="s">
        <x:v>125</x:v>
      </x:c>
      <x:c r="Y709" s="32" t="str">
        <x:v>TRN-0708|20260404</x:v>
      </x:c>
      <x:c r="Z709" s="32" t="str" cm="1">
        <x:f t="array" ref="Z70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709" s="33" t="n">
        <x:f>--OR(WorkforceData[[#This Row],[Status]]="Active",WorkforceData[[#This Row],[Promoted]]="Yes",WorkforceData[[#This Row],[Total Days Worked]]&gt;=121)</x:f>
        <x:v>1</x:v>
      </x:c>
      <x:c r="AB709" s="33" t="n">
        <x:f>IF(AND(Q709="Terminated",R709="",O709=0),1,0)</x:f>
        <x:v>0</x:v>
      </x:c>
      <x:c r="AC709" s="33" t="n">
        <x:f>--OR(WorkforceData[[#This Row],[Status]]="Resigned",WorkforceData[[#This Row],[Status After Training]]="Withdrew")</x:f>
        <x:v>0</x:v>
      </x:c>
      <x:c r="AD709" s="34" t="n">
        <x:f>EOMONTH(WorkforceData[[#This Row],[Training Date]],0)</x:f>
        <x:v>46142</x:v>
      </x:c>
      <x:c r="AE709" s="32" t="str">
        <x:f>IF(M709&lt;H709,"Existing Employee",IF(U709="","No Assignment",IF(V709=0,"0 Days",IF(V709&lt;=7,"1-7 Days",IF(V709&lt;=14,"8-14 Days",IF(V709&lt;=21,"15-21 Days","21+ Days"))))))</x:f>
        <x:v>Existing Employee</x:v>
      </x:c>
      <x:c r="AF70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09" s="33" t="n">
        <x:f>--(WorkforceData[[#This Row],[Total Days Worked]]&gt;=121)</x:f>
        <x:v>1</x:v>
      </x:c>
    </x:row>
    <x:row r="710">
      <x:c r="A710" s="236" t="str">
        <x:v>TRN-0709</x:v>
      </x:c>
      <x:c r="B710" s="243"/>
      <x:c r="C710" s="243"/>
      <x:c r="D710" s="243"/>
      <x:c r="E710" s="243"/>
      <x:c r="F710" s="14" t="str">
        <x:v>Recruiter A</x:v>
      </x:c>
      <x:c r="G710" s="14" t="str">
        <x:v>Training Center B</x:v>
      </x:c>
      <x:c r="H710" s="28">
        <x:v>46116</x:v>
      </x:c>
      <x:c r="I710" s="14">
        <x:v>2026</x:v>
      </x:c>
      <x:c r="J710" s="14" t="s">
        <x:v>126</x:v>
      </x:c>
      <x:c r="K710" s="14">
        <x:v>13</x:v>
      </x:c>
      <x:c r="L710" s="29" t="s">
        <x:v>119</x:v>
      </x:c>
      <x:c r="M710" s="28">
        <x:v>46113</x:v>
      </x:c>
      <x:c r="N710" s="14"/>
      <x:c r="O710" s="14">
        <x:v>138</x:v>
      </x:c>
      <x:c r="P710" s="14" t="s">
        <x:v>113</x:v>
      </x:c>
      <x:c r="Q710" s="14" t="s">
        <x:v>25</x:v>
      </x:c>
      <x:c r="R710" s="14"/>
      <x:c r="S710" s="14" t="s">
        <x:v>105</x:v>
      </x:c>
      <x:c r="T710" s="14" t="str">
        <x:v>Region C</x:v>
      </x:c>
      <x:c r="U710" s="28">
        <x:v>46129</x:v>
      </x:c>
      <x:c r="V710" s="30">
        <x:v>13</x:v>
      </x:c>
      <x:c r="W710" s="14" t="s">
        <x:v>45</x:v>
      </x:c>
      <x:c r="X710" s="14" t="s">
        <x:v>106</x:v>
      </x:c>
      <x:c r="Y710" s="32" t="str">
        <x:v>TRN-0709|20260404</x:v>
      </x:c>
      <x:c r="Z710" s="32" t="str" cm="1">
        <x:f t="array" ref="Z71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710" s="33" t="n">
        <x:f>--OR(WorkforceData[[#This Row],[Status]]="Active",WorkforceData[[#This Row],[Promoted]]="Yes",WorkforceData[[#This Row],[Total Days Worked]]&gt;=121)</x:f>
        <x:v>1</x:v>
      </x:c>
      <x:c r="AB710" s="33" t="n">
        <x:f>IF(AND(Q710="Terminated",R710="",O710=0),1,0)</x:f>
        <x:v>0</x:v>
      </x:c>
      <x:c r="AC710" s="33" t="n">
        <x:f>--OR(WorkforceData[[#This Row],[Status]]="Resigned",WorkforceData[[#This Row],[Status After Training]]="Withdrew")</x:f>
        <x:v>0</x:v>
      </x:c>
      <x:c r="AD710" s="34" t="n">
        <x:f>EOMONTH(WorkforceData[[#This Row],[Training Date]],0)</x:f>
        <x:v>46142</x:v>
      </x:c>
      <x:c r="AE710" s="32" t="str">
        <x:f>IF(M710&lt;H710,"Existing Employee",IF(U710="","No Assignment",IF(V710=0,"0 Days",IF(V710&lt;=7,"1-7 Days",IF(V710&lt;=14,"8-14 Days",IF(V710&lt;=21,"15-21 Days","21+ Days"))))))</x:f>
        <x:v>Existing Employee</x:v>
      </x:c>
      <x:c r="AF71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10" s="33" t="n">
        <x:f>--(WorkforceData[[#This Row],[Total Days Worked]]&gt;=121)</x:f>
        <x:v>1</x:v>
      </x:c>
    </x:row>
    <x:row r="711">
      <x:c r="A711" s="236" t="str">
        <x:v>TRN-0710</x:v>
      </x:c>
      <x:c r="B711" s="243"/>
      <x:c r="C711" s="243"/>
      <x:c r="D711" s="243"/>
      <x:c r="E711" s="243"/>
      <x:c r="F711" s="14" t="str">
        <x:v>Recruiter G</x:v>
      </x:c>
      <x:c r="G711" s="14" t="str">
        <x:v>Training Center B</x:v>
      </x:c>
      <x:c r="H711" s="28">
        <x:v>46116</x:v>
      </x:c>
      <x:c r="I711" s="14">
        <x:v>2026</x:v>
      </x:c>
      <x:c r="J711" s="14" t="s">
        <x:v>126</x:v>
      </x:c>
      <x:c r="K711" s="14">
        <x:v>13</x:v>
      </x:c>
      <x:c r="L711" s="29" t="s">
        <x:v>119</x:v>
      </x:c>
      <x:c r="M711" s="28">
        <x:v>46109</x:v>
      </x:c>
      <x:c r="N711" s="14"/>
      <x:c r="O711" s="14">
        <x:v>142</x:v>
      </x:c>
      <x:c r="P711" s="14" t="s">
        <x:v>113</x:v>
      </x:c>
      <x:c r="Q711" s="14" t="s">
        <x:v>25</x:v>
      </x:c>
      <x:c r="R711" s="14"/>
      <x:c r="S711" s="14" t="s">
        <x:v>105</x:v>
      </x:c>
      <x:c r="T711" s="14" t="str">
        <x:v>Region D</x:v>
      </x:c>
      <x:c r="U711" s="28">
        <x:v>46129</x:v>
      </x:c>
      <x:c r="V711" s="30">
        <x:v>13</x:v>
      </x:c>
      <x:c r="W711" s="14" t="s">
        <x:v>45</x:v>
      </x:c>
      <x:c r="X711" s="14" t="s">
        <x:v>106</x:v>
      </x:c>
      <x:c r="Y711" s="32" t="str">
        <x:v>TRN-0710|20260404</x:v>
      </x:c>
      <x:c r="Z711" s="32" t="str" cm="1">
        <x:f t="array" ref="Z71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711" s="33" t="n">
        <x:f>--OR(WorkforceData[[#This Row],[Status]]="Active",WorkforceData[[#This Row],[Promoted]]="Yes",WorkforceData[[#This Row],[Total Days Worked]]&gt;=121)</x:f>
        <x:v>1</x:v>
      </x:c>
      <x:c r="AB711" s="33" t="n">
        <x:f>IF(AND(Q711="Terminated",R711="",O711=0),1,0)</x:f>
        <x:v>0</x:v>
      </x:c>
      <x:c r="AC711" s="33" t="n">
        <x:f>--OR(WorkforceData[[#This Row],[Status]]="Resigned",WorkforceData[[#This Row],[Status After Training]]="Withdrew")</x:f>
        <x:v>0</x:v>
      </x:c>
      <x:c r="AD711" s="34" t="n">
        <x:f>EOMONTH(WorkforceData[[#This Row],[Training Date]],0)</x:f>
        <x:v>46142</x:v>
      </x:c>
      <x:c r="AE711" s="32" t="str">
        <x:f>IF(M711&lt;H711,"Existing Employee",IF(U711="","No Assignment",IF(V711=0,"0 Days",IF(V711&lt;=7,"1-7 Days",IF(V711&lt;=14,"8-14 Days",IF(V711&lt;=21,"15-21 Days","21+ Days"))))))</x:f>
        <x:v>Existing Employee</x:v>
      </x:c>
      <x:c r="AF71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11" s="33" t="n">
        <x:f>--(WorkforceData[[#This Row],[Total Days Worked]]&gt;=121)</x:f>
        <x:v>1</x:v>
      </x:c>
    </x:row>
    <x:row r="712">
      <x:c r="A712" s="236" t="str">
        <x:v>TRN-0711</x:v>
      </x:c>
      <x:c r="B712" s="243"/>
      <x:c r="C712" s="243"/>
      <x:c r="D712" s="243"/>
      <x:c r="E712" s="243"/>
      <x:c r="F712" s="14" t="str">
        <x:v>Recruiter C</x:v>
      </x:c>
      <x:c r="G712" s="14" t="str">
        <x:v>Training Center B</x:v>
      </x:c>
      <x:c r="H712" s="28">
        <x:v>46116</x:v>
      </x:c>
      <x:c r="I712" s="14">
        <x:v>2026</x:v>
      </x:c>
      <x:c r="J712" s="14" t="s">
        <x:v>126</x:v>
      </x:c>
      <x:c r="K712" s="14">
        <x:v>13</x:v>
      </x:c>
      <x:c r="L712" s="29" t="s">
        <x:v>119</x:v>
      </x:c>
      <x:c r="M712" s="28">
        <x:v>46109</x:v>
      </x:c>
      <x:c r="N712" s="14"/>
      <x:c r="O712" s="14">
        <x:v>142</x:v>
      </x:c>
      <x:c r="P712" s="14" t="s">
        <x:v>113</x:v>
      </x:c>
      <x:c r="Q712" s="14" t="s">
        <x:v>25</x:v>
      </x:c>
      <x:c r="R712" s="14"/>
      <x:c r="S712" s="14" t="s">
        <x:v>105</x:v>
      </x:c>
      <x:c r="T712" s="14" t="str">
        <x:v>Region C</x:v>
      </x:c>
      <x:c r="U712" s="28">
        <x:v>46120</x:v>
      </x:c>
      <x:c r="V712" s="30">
        <x:v>4</x:v>
      </x:c>
      <x:c r="W712" s="14" t="s">
        <x:v>109</x:v>
      </x:c>
      <x:c r="X712" s="14" t="s">
        <x:v>106</x:v>
      </x:c>
      <x:c r="Y712" s="32" t="str">
        <x:v>TRN-0711|20260404</x:v>
      </x:c>
      <x:c r="Z712" s="32" t="str" cm="1">
        <x:f t="array" ref="Z71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712" s="33" t="n">
        <x:f>--OR(WorkforceData[[#This Row],[Status]]="Active",WorkforceData[[#This Row],[Promoted]]="Yes",WorkforceData[[#This Row],[Total Days Worked]]&gt;=121)</x:f>
        <x:v>1</x:v>
      </x:c>
      <x:c r="AB712" s="33" t="n">
        <x:f>IF(AND(Q712="Terminated",R712="",O712=0),1,0)</x:f>
        <x:v>0</x:v>
      </x:c>
      <x:c r="AC712" s="33" t="n">
        <x:f>--OR(WorkforceData[[#This Row],[Status]]="Resigned",WorkforceData[[#This Row],[Status After Training]]="Withdrew")</x:f>
        <x:v>0</x:v>
      </x:c>
      <x:c r="AD712" s="34" t="n">
        <x:f>EOMONTH(WorkforceData[[#This Row],[Training Date]],0)</x:f>
        <x:v>46142</x:v>
      </x:c>
      <x:c r="AE712" s="32" t="str">
        <x:f>IF(M712&lt;H712,"Existing Employee",IF(U712="","No Assignment",IF(V712=0,"0 Days",IF(V712&lt;=7,"1-7 Days",IF(V712&lt;=14,"8-14 Days",IF(V712&lt;=21,"15-21 Days","21+ Days"))))))</x:f>
        <x:v>Existing Employee</x:v>
      </x:c>
      <x:c r="AF71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12" s="33" t="n">
        <x:f>--(WorkforceData[[#This Row],[Total Days Worked]]&gt;=121)</x:f>
        <x:v>1</x:v>
      </x:c>
    </x:row>
    <x:row r="713">
      <x:c r="A713" s="236" t="str">
        <x:v>TRN-0712</x:v>
      </x:c>
      <x:c r="B713" s="243"/>
      <x:c r="C713" s="243"/>
      <x:c r="D713" s="243"/>
      <x:c r="E713" s="243"/>
      <x:c r="F713" s="14" t="str">
        <x:v>Recruiter D</x:v>
      </x:c>
      <x:c r="G713" s="14" t="str">
        <x:v>Training Center B</x:v>
      </x:c>
      <x:c r="H713" s="28">
        <x:v>46116</x:v>
      </x:c>
      <x:c r="I713" s="14">
        <x:v>2026</x:v>
      </x:c>
      <x:c r="J713" s="14" t="s">
        <x:v>126</x:v>
      </x:c>
      <x:c r="K713" s="14">
        <x:v>13</x:v>
      </x:c>
      <x:c r="L713" s="29" t="s">
        <x:v>119</x:v>
      </x:c>
      <x:c r="M713" s="28">
        <x:v>46115</x:v>
      </x:c>
      <x:c r="N713" s="14"/>
      <x:c r="O713" s="14">
        <x:v>136</x:v>
      </x:c>
      <x:c r="P713" s="14" t="s">
        <x:v>113</x:v>
      </x:c>
      <x:c r="Q713" s="14" t="s">
        <x:v>38</x:v>
      </x:c>
      <x:c r="R713" s="14"/>
      <x:c r="S713" s="14" t="s">
        <x:v>105</x:v>
      </x:c>
      <x:c r="T713" s="14" t="str">
        <x:v>Region D</x:v>
      </x:c>
      <x:c r="U713" s="28">
        <x:v>46117</x:v>
      </x:c>
      <x:c r="V713" s="30">
        <x:v>1</x:v>
      </x:c>
      <x:c r="W713" s="14" t="s">
        <x:v>109</x:v>
      </x:c>
      <x:c r="X713" s="14" t="s">
        <x:v>106</x:v>
      </x:c>
      <x:c r="Y713" s="32" t="str">
        <x:v>TRN-0712|20260404</x:v>
      </x:c>
      <x:c r="Z713" s="32" t="str" cm="1">
        <x:f t="array" ref="Z71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713" s="33" t="n">
        <x:f>--OR(WorkforceData[[#This Row],[Status]]="Active",WorkforceData[[#This Row],[Promoted]]="Yes",WorkforceData[[#This Row],[Total Days Worked]]&gt;=121)</x:f>
        <x:v>1</x:v>
      </x:c>
      <x:c r="AB713" s="33" t="n">
        <x:f>IF(AND(Q713="Terminated",R713="",O713=0),1,0)</x:f>
        <x:v>0</x:v>
      </x:c>
      <x:c r="AC713" s="33" t="n">
        <x:f>--OR(WorkforceData[[#This Row],[Status]]="Resigned",WorkforceData[[#This Row],[Status After Training]]="Withdrew")</x:f>
        <x:v>0</x:v>
      </x:c>
      <x:c r="AD713" s="34" t="n">
        <x:f>EOMONTH(WorkforceData[[#This Row],[Training Date]],0)</x:f>
        <x:v>46142</x:v>
      </x:c>
      <x:c r="AE713" s="32" t="str">
        <x:f>IF(M713&lt;H713,"Existing Employee",IF(U713="","No Assignment",IF(V713=0,"0 Days",IF(V713&lt;=7,"1-7 Days",IF(V713&lt;=14,"8-14 Days",IF(V713&lt;=21,"15-21 Days","21+ Days"))))))</x:f>
        <x:v>Existing Employee</x:v>
      </x:c>
      <x:c r="AF71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13" s="33" t="n">
        <x:f>--(WorkforceData[[#This Row],[Total Days Worked]]&gt;=121)</x:f>
        <x:v>1</x:v>
      </x:c>
    </x:row>
    <x:row r="714">
      <x:c r="A714" s="236" t="str">
        <x:v>TRN-0713</x:v>
      </x:c>
      <x:c r="B714" s="243"/>
      <x:c r="C714" s="243"/>
      <x:c r="D714" s="243"/>
      <x:c r="E714" s="243"/>
      <x:c r="F714" s="14" t="str">
        <x:v>Recruiter D</x:v>
      </x:c>
      <x:c r="G714" s="14" t="str">
        <x:v>Training Center B</x:v>
      </x:c>
      <x:c r="H714" s="28">
        <x:v>46116</x:v>
      </x:c>
      <x:c r="I714" s="14">
        <x:v>2026</x:v>
      </x:c>
      <x:c r="J714" s="14" t="s">
        <x:v>126</x:v>
      </x:c>
      <x:c r="K714" s="14">
        <x:v>13</x:v>
      </x:c>
      <x:c r="L714" s="29" t="s">
        <x:v>119</x:v>
      </x:c>
      <x:c r="M714" s="28">
        <x:v>46114</x:v>
      </x:c>
      <x:c r="N714" s="14"/>
      <x:c r="O714" s="14">
        <x:v>137</x:v>
      </x:c>
      <x:c r="P714" s="14" t="s">
        <x:v>113</x:v>
      </x:c>
      <x:c r="Q714" s="14" t="s">
        <x:v>25</x:v>
      </x:c>
      <x:c r="R714" s="14"/>
      <x:c r="S714" s="14" t="s">
        <x:v>105</x:v>
      </x:c>
      <x:c r="T714" s="14" t="str">
        <x:v>Region B</x:v>
      </x:c>
      <x:c r="U714" s="28">
        <x:v>46117</x:v>
      </x:c>
      <x:c r="V714" s="30">
        <x:v>1</x:v>
      </x:c>
      <x:c r="W714" s="14" t="s">
        <x:v>109</x:v>
      </x:c>
      <x:c r="X714" s="14" t="s">
        <x:v>106</x:v>
      </x:c>
      <x:c r="Y714" s="32" t="str">
        <x:v>TRN-0713|20260404</x:v>
      </x:c>
      <x:c r="Z714" s="32" t="str" cm="1">
        <x:f t="array" ref="Z71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714" s="33" t="n">
        <x:f>--OR(WorkforceData[[#This Row],[Status]]="Active",WorkforceData[[#This Row],[Promoted]]="Yes",WorkforceData[[#This Row],[Total Days Worked]]&gt;=121)</x:f>
        <x:v>1</x:v>
      </x:c>
      <x:c r="AB714" s="33" t="n">
        <x:f>IF(AND(Q714="Terminated",R714="",O714=0),1,0)</x:f>
        <x:v>0</x:v>
      </x:c>
      <x:c r="AC714" s="33" t="n">
        <x:f>--OR(WorkforceData[[#This Row],[Status]]="Resigned",WorkforceData[[#This Row],[Status After Training]]="Withdrew")</x:f>
        <x:v>0</x:v>
      </x:c>
      <x:c r="AD714" s="34" t="n">
        <x:f>EOMONTH(WorkforceData[[#This Row],[Training Date]],0)</x:f>
        <x:v>46142</x:v>
      </x:c>
      <x:c r="AE714" s="32" t="str">
        <x:f>IF(M714&lt;H714,"Existing Employee",IF(U714="","No Assignment",IF(V714=0,"0 Days",IF(V714&lt;=7,"1-7 Days",IF(V714&lt;=14,"8-14 Days",IF(V714&lt;=21,"15-21 Days","21+ Days"))))))</x:f>
        <x:v>Existing Employee</x:v>
      </x:c>
      <x:c r="AF71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14" s="33" t="n">
        <x:f>--(WorkforceData[[#This Row],[Total Days Worked]]&gt;=121)</x:f>
        <x:v>1</x:v>
      </x:c>
    </x:row>
    <x:row r="715">
      <x:c r="A715" s="236" t="str">
        <x:v>TRN-0714</x:v>
      </x:c>
      <x:c r="B715" s="243"/>
      <x:c r="C715" s="243"/>
      <x:c r="D715" s="243"/>
      <x:c r="E715" s="243"/>
      <x:c r="F715" s="14" t="str">
        <x:v>Recruiter D</x:v>
      </x:c>
      <x:c r="G715" s="14" t="str">
        <x:v>Training Center B</x:v>
      </x:c>
      <x:c r="H715" s="28">
        <x:v>46116</x:v>
      </x:c>
      <x:c r="I715" s="14">
        <x:v>2026</x:v>
      </x:c>
      <x:c r="J715" s="14" t="s">
        <x:v>126</x:v>
      </x:c>
      <x:c r="K715" s="14">
        <x:v>13</x:v>
      </x:c>
      <x:c r="L715" s="29" t="s">
        <x:v>119</x:v>
      </x:c>
      <x:c r="M715" s="28">
        <x:v>46116</x:v>
      </x:c>
      <x:c r="N715" s="28">
        <x:v>46251</x:v>
      </x:c>
      <x:c r="O715" s="14">
        <x:v>135</x:v>
      </x:c>
      <x:c r="P715" s="14" t="s">
        <x:v>113</x:v>
      </x:c>
      <x:c r="Q715" s="14" t="s">
        <x:v>33</x:v>
      </x:c>
      <x:c r="R715" s="14" t="s">
        <x:v>121</x:v>
      </x:c>
      <x:c r="S715" s="14" t="s">
        <x:v>105</x:v>
      </x:c>
      <x:c r="T715" s="14" t="str">
        <x:v>Region E</x:v>
      </x:c>
      <x:c r="U715" s="28">
        <x:v>46129</x:v>
      </x:c>
      <x:c r="V715" s="30">
        <x:v>13</x:v>
      </x:c>
      <x:c r="W715" s="14" t="s">
        <x:v>45</x:v>
      </x:c>
      <x:c r="X715" s="14" t="s">
        <x:v>106</x:v>
      </x:c>
      <x:c r="Y715" s="32" t="str">
        <x:v>TRN-0714|20260404</x:v>
      </x:c>
      <x:c r="Z715" s="32" t="str" cm="1">
        <x:f t="array" ref="Z71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Complete</x:v>
      </x:c>
      <x:c r="AA715" s="33" t="n">
        <x:f>--OR(WorkforceData[[#This Row],[Status]]="Active",WorkforceData[[#This Row],[Promoted]]="Yes",WorkforceData[[#This Row],[Total Days Worked]]&gt;=121)</x:f>
        <x:v>1</x:v>
      </x:c>
      <x:c r="AB715" s="33" t="n">
        <x:f>IF(AND(Q715="Terminated",R715="",O715=0),1,0)</x:f>
        <x:v>0</x:v>
      </x:c>
      <x:c r="AC715" s="33" t="n">
        <x:f>--OR(WorkforceData[[#This Row],[Status]]="Resigned",WorkforceData[[#This Row],[Status After Training]]="Withdrew")</x:f>
        <x:v>0</x:v>
      </x:c>
      <x:c r="AD715" s="34" t="n">
        <x:f>EOMONTH(WorkforceData[[#This Row],[Training Date]],0)</x:f>
        <x:v>46142</x:v>
      </x:c>
      <x:c r="AE715" s="32" t="str">
        <x:f>IF(M715&lt;H715,"Existing Employee",IF(U715="","No Assignment",IF(V715=0,"0 Days",IF(V715&lt;=7,"1-7 Days",IF(V715&lt;=14,"8-14 Days",IF(V715&lt;=21,"15-21 Days","21+ Days"))))))</x:f>
        <x:v>8-14 Days</x:v>
      </x:c>
      <x:c r="AF71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15" s="33" t="n">
        <x:f>--(WorkforceData[[#This Row],[Total Days Worked]]&gt;=121)</x:f>
        <x:v>1</x:v>
      </x:c>
    </x:row>
    <x:row r="716">
      <x:c r="A716" s="236" t="str">
        <x:v>TRN-0715</x:v>
      </x:c>
      <x:c r="B716" s="243"/>
      <x:c r="C716" s="243"/>
      <x:c r="D716" s="243"/>
      <x:c r="E716" s="243"/>
      <x:c r="F716" s="14" t="str">
        <x:v>Recruiter B</x:v>
      </x:c>
      <x:c r="G716" s="14" t="str">
        <x:v>Training Center B</x:v>
      </x:c>
      <x:c r="H716" s="28">
        <x:v>46116</x:v>
      </x:c>
      <x:c r="I716" s="14">
        <x:v>2026</x:v>
      </x:c>
      <x:c r="J716" s="14" t="s">
        <x:v>126</x:v>
      </x:c>
      <x:c r="K716" s="14">
        <x:v>13</x:v>
      </x:c>
      <x:c r="L716" s="29" t="s">
        <x:v>119</x:v>
      </x:c>
      <x:c r="M716" s="28">
        <x:v>46116</x:v>
      </x:c>
      <x:c r="N716" s="28">
        <x:v>46251</x:v>
      </x:c>
      <x:c r="O716" s="14">
        <x:v>135</x:v>
      </x:c>
      <x:c r="P716" s="14" t="s">
        <x:v>113</x:v>
      </x:c>
      <x:c r="Q716" s="14" t="s">
        <x:v>103</x:v>
      </x:c>
      <x:c r="R716" s="14" t="s">
        <x:v>104</x:v>
      </x:c>
      <x:c r="S716" s="14" t="s">
        <x:v>105</x:v>
      </x:c>
      <x:c r="T716" s="14" t="str">
        <x:v>Region D</x:v>
      </x:c>
      <x:c r="U716" s="28">
        <x:v>46119</x:v>
      </x:c>
      <x:c r="V716" s="30">
        <x:v>3</x:v>
      </x:c>
      <x:c r="W716" s="14" t="s">
        <x:v>109</x:v>
      </x:c>
      <x:c r="X716" s="14" t="s">
        <x:v>106</x:v>
      </x:c>
      <x:c r="Y716" s="32" t="str">
        <x:v>TRN-0715|20260404</x:v>
      </x:c>
      <x:c r="Z716" s="32" t="str" cm="1">
        <x:f t="array" ref="Z71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Complete</x:v>
      </x:c>
      <x:c r="AA716" s="33" t="n">
        <x:f>--OR(WorkforceData[[#This Row],[Status]]="Active",WorkforceData[[#This Row],[Promoted]]="Yes",WorkforceData[[#This Row],[Total Days Worked]]&gt;=121)</x:f>
        <x:v>1</x:v>
      </x:c>
      <x:c r="AB716" s="33" t="n">
        <x:f>IF(AND(Q716="Terminated",R716="",O716=0),1,0)</x:f>
        <x:v>0</x:v>
      </x:c>
      <x:c r="AC716" s="33" t="n">
        <x:f>--OR(WorkforceData[[#This Row],[Status]]="Resigned",WorkforceData[[#This Row],[Status After Training]]="Withdrew")</x:f>
        <x:v>1</x:v>
      </x:c>
      <x:c r="AD716" s="34" t="n">
        <x:f>EOMONTH(WorkforceData[[#This Row],[Training Date]],0)</x:f>
        <x:v>46142</x:v>
      </x:c>
      <x:c r="AE716" s="32" t="str">
        <x:f>IF(M716&lt;H716,"Existing Employee",IF(U716="","No Assignment",IF(V716=0,"0 Days",IF(V716&lt;=7,"1-7 Days",IF(V716&lt;=14,"8-14 Days",IF(V716&lt;=21,"15-21 Days","21+ Days"))))))</x:f>
        <x:v>1-7 Days</x:v>
      </x:c>
      <x:c r="AF71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16" s="33" t="n">
        <x:f>--(WorkforceData[[#This Row],[Total Days Worked]]&gt;=121)</x:f>
        <x:v>1</x:v>
      </x:c>
    </x:row>
    <x:row r="717">
      <x:c r="A717" s="236" t="str">
        <x:v>TRN-0716</x:v>
      </x:c>
      <x:c r="B717" s="243"/>
      <x:c r="C717" s="243"/>
      <x:c r="D717" s="243"/>
      <x:c r="E717" s="243"/>
      <x:c r="F717" s="14" t="str">
        <x:v>Recruiter G</x:v>
      </x:c>
      <x:c r="G717" s="14" t="str">
        <x:v>Training Center B</x:v>
      </x:c>
      <x:c r="H717" s="28">
        <x:v>46116</x:v>
      </x:c>
      <x:c r="I717" s="14">
        <x:v>2026</x:v>
      </x:c>
      <x:c r="J717" s="14" t="s">
        <x:v>126</x:v>
      </x:c>
      <x:c r="K717" s="14">
        <x:v>13</x:v>
      </x:c>
      <x:c r="L717" s="29" t="s">
        <x:v>119</x:v>
      </x:c>
      <x:c r="M717" s="28">
        <x:v>46111</x:v>
      </x:c>
      <x:c r="N717" s="28">
        <x:v>46251</x:v>
      </x:c>
      <x:c r="O717" s="14">
        <x:v>140</x:v>
      </x:c>
      <x:c r="P717" s="14" t="s">
        <x:v>113</x:v>
      </x:c>
      <x:c r="Q717" s="14" t="s">
        <x:v>103</x:v>
      </x:c>
      <x:c r="R717" s="14" t="s">
        <x:v>104</x:v>
      </x:c>
      <x:c r="S717" s="14" t="s">
        <x:v>105</x:v>
      </x:c>
      <x:c r="T717" s="14" t="str">
        <x:v>Region B</x:v>
      </x:c>
      <x:c r="U717" s="28">
        <x:v>46121</x:v>
      </x:c>
      <x:c r="V717" s="30">
        <x:v>5</x:v>
      </x:c>
      <x:c r="W717" s="14" t="s">
        <x:v>109</x:v>
      </x:c>
      <x:c r="X717" s="14" t="s">
        <x:v>106</x:v>
      </x:c>
      <x:c r="Y717" s="32" t="str">
        <x:v>TRN-0716|20260404</x:v>
      </x:c>
      <x:c r="Z717" s="32" t="str" cm="1">
        <x:f t="array" ref="Z71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Complete</x:v>
      </x:c>
      <x:c r="AA717" s="33" t="n">
        <x:f>--OR(WorkforceData[[#This Row],[Status]]="Active",WorkforceData[[#This Row],[Promoted]]="Yes",WorkforceData[[#This Row],[Total Days Worked]]&gt;=121)</x:f>
        <x:v>1</x:v>
      </x:c>
      <x:c r="AB717" s="33" t="n">
        <x:f>IF(AND(Q717="Terminated",R717="",O717=0),1,0)</x:f>
        <x:v>0</x:v>
      </x:c>
      <x:c r="AC717" s="33" t="n">
        <x:f>--OR(WorkforceData[[#This Row],[Status]]="Resigned",WorkforceData[[#This Row],[Status After Training]]="Withdrew")</x:f>
        <x:v>1</x:v>
      </x:c>
      <x:c r="AD717" s="34" t="n">
        <x:f>EOMONTH(WorkforceData[[#This Row],[Training Date]],0)</x:f>
        <x:v>46142</x:v>
      </x:c>
      <x:c r="AE717" s="32" t="str">
        <x:f>IF(M717&lt;H717,"Existing Employee",IF(U717="","No Assignment",IF(V717=0,"0 Days",IF(V717&lt;=7,"1-7 Days",IF(V717&lt;=14,"8-14 Days",IF(V717&lt;=21,"15-21 Days","21+ Days"))))))</x:f>
        <x:v>Existing Employee</x:v>
      </x:c>
      <x:c r="AF71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17" s="33" t="n">
        <x:f>--(WorkforceData[[#This Row],[Total Days Worked]]&gt;=121)</x:f>
        <x:v>1</x:v>
      </x:c>
    </x:row>
    <x:row r="718">
      <x:c r="A718" s="236" t="str">
        <x:v>TRN-0717</x:v>
      </x:c>
      <x:c r="B718" s="243"/>
      <x:c r="C718" s="243"/>
      <x:c r="D718" s="243"/>
      <x:c r="E718" s="243"/>
      <x:c r="F718" s="14" t="str">
        <x:v>Recruiter E</x:v>
      </x:c>
      <x:c r="G718" s="14" t="str">
        <x:v>Training Center A</x:v>
      </x:c>
      <x:c r="H718" s="28">
        <x:v>45824</x:v>
      </x:c>
      <x:c r="I718" s="14">
        <x:v>2025</x:v>
      </x:c>
      <x:c r="J718" s="14" t="s">
        <x:v>129</x:v>
      </x:c>
      <x:c r="K718" s="14">
        <x:v>17</x:v>
      </x:c>
      <x:c r="L718" s="29" t="s">
        <x:v>119</x:v>
      </x:c>
      <x:c r="M718" s="28">
        <x:v>45823</x:v>
      </x:c>
      <x:c r="N718" s="14"/>
      <x:c r="O718" s="14">
        <x:v>428</x:v>
      </x:c>
      <x:c r="P718" s="14" t="s">
        <x:v>120</x:v>
      </x:c>
      <x:c r="Q718" s="14" t="s">
        <x:v>25</x:v>
      </x:c>
      <x:c r="R718" s="14"/>
      <x:c r="S718" s="14" t="s">
        <x:v>108</x:v>
      </x:c>
      <x:c r="T718" s="14" t="str">
        <x:v>Region D</x:v>
      </x:c>
      <x:c r="U718" s="28">
        <x:v>45831</x:v>
      </x:c>
      <x:c r="V718" s="30">
        <x:v>7</x:v>
      </x:c>
      <x:c r="W718" s="14" t="s">
        <x:v>109</x:v>
      </x:c>
      <x:c r="X718" s="14" t="s">
        <x:v>106</x:v>
      </x:c>
      <x:c r="Y718" s="32" t="str">
        <x:v>TRN-0717|20250616</x:v>
      </x:c>
      <x:c r="Z718" s="32" t="str" cm="1">
        <x:f t="array" ref="Z71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718" s="33" t="n">
        <x:f>--OR(WorkforceData[[#This Row],[Status]]="Active",WorkforceData[[#This Row],[Promoted]]="Yes",WorkforceData[[#This Row],[Total Days Worked]]&gt;=121)</x:f>
        <x:v>1</x:v>
      </x:c>
      <x:c r="AB718" s="33" t="n">
        <x:f>IF(AND(Q718="Terminated",R718="",O718=0),1,0)</x:f>
        <x:v>0</x:v>
      </x:c>
      <x:c r="AC718" s="33" t="n">
        <x:f>--OR(WorkforceData[[#This Row],[Status]]="Resigned",WorkforceData[[#This Row],[Status After Training]]="Withdrew")</x:f>
        <x:v>0</x:v>
      </x:c>
      <x:c r="AD718" s="34" t="n">
        <x:f>EOMONTH(WorkforceData[[#This Row],[Training Date]],0)</x:f>
        <x:v>45838</x:v>
      </x:c>
      <x:c r="AE718" s="32" t="str">
        <x:f>IF(M718&lt;H718,"Existing Employee",IF(U718="","No Assignment",IF(V718=0,"0 Days",IF(V718&lt;=7,"1-7 Days",IF(V718&lt;=14,"8-14 Days",IF(V718&lt;=21,"15-21 Days","21+ Days"))))))</x:f>
        <x:v>Existing Employee</x:v>
      </x:c>
      <x:c r="AF71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18" s="33" t="n">
        <x:f>--(WorkforceData[[#This Row],[Total Days Worked]]&gt;=121)</x:f>
        <x:v>1</x:v>
      </x:c>
    </x:row>
    <x:row r="719">
      <x:c r="A719" s="236" t="str">
        <x:v>TRN-0718</x:v>
      </x:c>
      <x:c r="B719" s="243"/>
      <x:c r="C719" s="243"/>
      <x:c r="D719" s="243"/>
      <x:c r="E719" s="243"/>
      <x:c r="F719" s="14" t="str">
        <x:v>Recruiter E</x:v>
      </x:c>
      <x:c r="G719" s="14" t="str">
        <x:v>Training Center A</x:v>
      </x:c>
      <x:c r="H719" s="28">
        <x:v>45824</x:v>
      </x:c>
      <x:c r="I719" s="14">
        <x:v>2025</x:v>
      </x:c>
      <x:c r="J719" s="14" t="s">
        <x:v>129</x:v>
      </x:c>
      <x:c r="K719" s="14">
        <x:v>17</x:v>
      </x:c>
      <x:c r="L719" s="29" t="s">
        <x:v>119</x:v>
      </x:c>
      <x:c r="M719" s="28">
        <x:v>45814</x:v>
      </x:c>
      <x:c r="N719" s="14"/>
      <x:c r="O719" s="14">
        <x:v>437</x:v>
      </x:c>
      <x:c r="P719" s="14" t="s">
        <x:v>120</x:v>
      </x:c>
      <x:c r="Q719" s="14" t="s">
        <x:v>38</x:v>
      </x:c>
      <x:c r="R719" s="14"/>
      <x:c r="S719" s="14" t="s">
        <x:v>108</x:v>
      </x:c>
      <x:c r="T719" s="14" t="str">
        <x:v>Region A</x:v>
      </x:c>
      <x:c r="U719" s="28">
        <x:v>45834</x:v>
      </x:c>
      <x:c r="V719" s="30">
        <x:v>10</x:v>
      </x:c>
      <x:c r="W719" s="14" t="s">
        <x:v>45</x:v>
      </x:c>
      <x:c r="X719" s="14" t="s">
        <x:v>106</x:v>
      </x:c>
      <x:c r="Y719" s="32" t="str">
        <x:v>TRN-0718|20250616</x:v>
      </x:c>
      <x:c r="Z719" s="32" t="str" cm="1">
        <x:f t="array" ref="Z71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719" s="33" t="n">
        <x:f>--OR(WorkforceData[[#This Row],[Status]]="Active",WorkforceData[[#This Row],[Promoted]]="Yes",WorkforceData[[#This Row],[Total Days Worked]]&gt;=121)</x:f>
        <x:v>1</x:v>
      </x:c>
      <x:c r="AB719" s="33" t="n">
        <x:f>IF(AND(Q719="Terminated",R719="",O719=0),1,0)</x:f>
        <x:v>0</x:v>
      </x:c>
      <x:c r="AC719" s="33" t="n">
        <x:f>--OR(WorkforceData[[#This Row],[Status]]="Resigned",WorkforceData[[#This Row],[Status After Training]]="Withdrew")</x:f>
        <x:v>0</x:v>
      </x:c>
      <x:c r="AD719" s="34" t="n">
        <x:f>EOMONTH(WorkforceData[[#This Row],[Training Date]],0)</x:f>
        <x:v>45838</x:v>
      </x:c>
      <x:c r="AE719" s="32" t="str">
        <x:f>IF(M719&lt;H719,"Existing Employee",IF(U719="","No Assignment",IF(V719=0,"0 Days",IF(V719&lt;=7,"1-7 Days",IF(V719&lt;=14,"8-14 Days",IF(V719&lt;=21,"15-21 Days","21+ Days"))))))</x:f>
        <x:v>Existing Employee</x:v>
      </x:c>
      <x:c r="AF71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19" s="33" t="n">
        <x:f>--(WorkforceData[[#This Row],[Total Days Worked]]&gt;=121)</x:f>
        <x:v>1</x:v>
      </x:c>
    </x:row>
    <x:row r="720">
      <x:c r="A720" s="236" t="str">
        <x:v>TRN-0719</x:v>
      </x:c>
      <x:c r="B720" s="243"/>
      <x:c r="C720" s="243"/>
      <x:c r="D720" s="243"/>
      <x:c r="E720" s="243"/>
      <x:c r="F720" s="14" t="str">
        <x:v>Recruiter F</x:v>
      </x:c>
      <x:c r="G720" s="14" t="str">
        <x:v>Training Center A</x:v>
      </x:c>
      <x:c r="H720" s="28">
        <x:v>45824</x:v>
      </x:c>
      <x:c r="I720" s="14">
        <x:v>2025</x:v>
      </x:c>
      <x:c r="J720" s="14" t="s">
        <x:v>129</x:v>
      </x:c>
      <x:c r="K720" s="14">
        <x:v>17</x:v>
      </x:c>
      <x:c r="L720" s="29" t="s">
        <x:v>119</x:v>
      </x:c>
      <x:c r="M720" s="28">
        <x:v>45824</x:v>
      </x:c>
      <x:c r="N720" s="28">
        <x:v>45825</x:v>
      </x:c>
      <x:c r="O720" s="14">
        <x:v>1</x:v>
      </x:c>
      <x:c r="P720" s="14" t="s">
        <x:v>102</x:v>
      </x:c>
      <x:c r="Q720" s="14" t="s">
        <x:v>103</x:v>
      </x:c>
      <x:c r="R720" s="14" t="s">
        <x:v>104</x:v>
      </x:c>
      <x:c r="S720" s="14" t="s">
        <x:v>105</x:v>
      </x:c>
      <x:c r="T720" s="14" t="str">
        <x:v>Region D</x:v>
      </x:c>
      <x:c r="U720" s="28">
        <x:v>45825</x:v>
      </x:c>
      <x:c r="V720" s="30">
        <x:v>1</x:v>
      </x:c>
      <x:c r="W720" s="14" t="s">
        <x:v>109</x:v>
      </x:c>
      <x:c r="X720" s="14" t="s">
        <x:v>106</x:v>
      </x:c>
      <x:c r="Y720" s="32" t="str">
        <x:v>TRN-0719|20250616</x:v>
      </x:c>
      <x:c r="Z720" s="32" t="str" cm="1">
        <x:f t="array" ref="Z72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720" s="33" t="n">
        <x:f>--OR(WorkforceData[[#This Row],[Status]]="Active",WorkforceData[[#This Row],[Promoted]]="Yes",WorkforceData[[#This Row],[Total Days Worked]]&gt;=121)</x:f>
        <x:v>0</x:v>
      </x:c>
      <x:c r="AB720" s="33" t="n">
        <x:f>IF(AND(Q720="Terminated",R720="",O720=0),1,0)</x:f>
        <x:v>0</x:v>
      </x:c>
      <x:c r="AC720" s="33" t="n">
        <x:f>--OR(WorkforceData[[#This Row],[Status]]="Resigned",WorkforceData[[#This Row],[Status After Training]]="Withdrew")</x:f>
        <x:v>1</x:v>
      </x:c>
      <x:c r="AD720" s="34" t="n">
        <x:f>EOMONTH(WorkforceData[[#This Row],[Training Date]],0)</x:f>
        <x:v>45838</x:v>
      </x:c>
      <x:c r="AE720" s="32" t="str">
        <x:f>IF(M720&lt;H720,"Existing Employee",IF(U720="","No Assignment",IF(V720=0,"0 Days",IF(V720&lt;=7,"1-7 Days",IF(V720&lt;=14,"8-14 Days",IF(V720&lt;=21,"15-21 Days","21+ Days"))))))</x:f>
        <x:v>1-7 Days</x:v>
      </x:c>
      <x:c r="AF72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1-7 Days</x:v>
      </x:c>
      <x:c r="AG720" s="33" t="n">
        <x:f>--(WorkforceData[[#This Row],[Total Days Worked]]&gt;=121)</x:f>
        <x:v>0</x:v>
      </x:c>
    </x:row>
    <x:row r="721">
      <x:c r="A721" s="236" t="str">
        <x:v>TRN-0720</x:v>
      </x:c>
      <x:c r="B721" s="243"/>
      <x:c r="C721" s="243"/>
      <x:c r="D721" s="243"/>
      <x:c r="E721" s="243"/>
      <x:c r="F721" s="14" t="str">
        <x:v>Recruiter A</x:v>
      </x:c>
      <x:c r="G721" s="14" t="str">
        <x:v>Training Center A</x:v>
      </x:c>
      <x:c r="H721" s="28">
        <x:v>45824</x:v>
      </x:c>
      <x:c r="I721" s="14">
        <x:v>2025</x:v>
      </x:c>
      <x:c r="J721" s="14" t="s">
        <x:v>129</x:v>
      </x:c>
      <x:c r="K721" s="14">
        <x:v>17</x:v>
      </x:c>
      <x:c r="L721" s="29" t="s">
        <x:v>119</x:v>
      </x:c>
      <x:c r="M721" s="28">
        <x:v>45814</x:v>
      </x:c>
      <x:c r="N721" s="14"/>
      <x:c r="O721" s="14">
        <x:v>437</x:v>
      </x:c>
      <x:c r="P721" s="14" t="s">
        <x:v>120</x:v>
      </x:c>
      <x:c r="Q721" s="14" t="s">
        <x:v>25</x:v>
      </x:c>
      <x:c r="R721" s="14"/>
      <x:c r="S721" s="14" t="s">
        <x:v>108</x:v>
      </x:c>
      <x:c r="T721" s="14" t="str">
        <x:v>Region B</x:v>
      </x:c>
      <x:c r="U721" s="28">
        <x:v>45837</x:v>
      </x:c>
      <x:c r="V721" s="30">
        <x:v>13</x:v>
      </x:c>
      <x:c r="W721" s="14" t="s">
        <x:v>45</x:v>
      </x:c>
      <x:c r="X721" s="14" t="s">
        <x:v>106</x:v>
      </x:c>
      <x:c r="Y721" s="32" t="str">
        <x:v>TRN-0720|20250616</x:v>
      </x:c>
      <x:c r="Z721" s="32" t="str" cm="1">
        <x:f t="array" ref="Z72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721" s="33" t="n">
        <x:f>--OR(WorkforceData[[#This Row],[Status]]="Active",WorkforceData[[#This Row],[Promoted]]="Yes",WorkforceData[[#This Row],[Total Days Worked]]&gt;=121)</x:f>
        <x:v>1</x:v>
      </x:c>
      <x:c r="AB721" s="33" t="n">
        <x:f>IF(AND(Q721="Terminated",R721="",O721=0),1,0)</x:f>
        <x:v>0</x:v>
      </x:c>
      <x:c r="AC721" s="33" t="n">
        <x:f>--OR(WorkforceData[[#This Row],[Status]]="Resigned",WorkforceData[[#This Row],[Status After Training]]="Withdrew")</x:f>
        <x:v>0</x:v>
      </x:c>
      <x:c r="AD721" s="34" t="n">
        <x:f>EOMONTH(WorkforceData[[#This Row],[Training Date]],0)</x:f>
        <x:v>45838</x:v>
      </x:c>
      <x:c r="AE721" s="32" t="str">
        <x:f>IF(M721&lt;H721,"Existing Employee",IF(U721="","No Assignment",IF(V721=0,"0 Days",IF(V721&lt;=7,"1-7 Days",IF(V721&lt;=14,"8-14 Days",IF(V721&lt;=21,"15-21 Days","21+ Days"))))))</x:f>
        <x:v>Existing Employee</x:v>
      </x:c>
      <x:c r="AF72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21" s="33" t="n">
        <x:f>--(WorkforceData[[#This Row],[Total Days Worked]]&gt;=121)</x:f>
        <x:v>1</x:v>
      </x:c>
    </x:row>
    <x:row r="722">
      <x:c r="A722" s="236" t="str">
        <x:v>TRN-0721</x:v>
      </x:c>
      <x:c r="B722" s="243"/>
      <x:c r="C722" s="243"/>
      <x:c r="D722" s="243"/>
      <x:c r="E722" s="243"/>
      <x:c r="F722" s="14" t="str">
        <x:v>Recruiter D</x:v>
      </x:c>
      <x:c r="G722" s="14" t="str">
        <x:v>Training Center A</x:v>
      </x:c>
      <x:c r="H722" s="28">
        <x:v>45824</x:v>
      </x:c>
      <x:c r="I722" s="14">
        <x:v>2025</x:v>
      </x:c>
      <x:c r="J722" s="14" t="s">
        <x:v>129</x:v>
      </x:c>
      <x:c r="K722" s="14">
        <x:v>17</x:v>
      </x:c>
      <x:c r="L722" s="29" t="s">
        <x:v>119</x:v>
      </x:c>
      <x:c r="M722" s="28">
        <x:v>45814</x:v>
      </x:c>
      <x:c r="N722" s="28">
        <x:v>45870</x:v>
      </x:c>
      <x:c r="O722" s="14">
        <x:v>56</x:v>
      </x:c>
      <x:c r="P722" s="14" t="s">
        <x:v>110</x:v>
      </x:c>
      <x:c r="Q722" s="14" t="s">
        <x:v>103</x:v>
      </x:c>
      <x:c r="R722" s="14" t="s">
        <x:v>111</x:v>
      </x:c>
      <x:c r="S722" s="14" t="s">
        <x:v>105</x:v>
      </x:c>
      <x:c r="T722" s="14" t="str">
        <x:v>Region C</x:v>
      </x:c>
      <x:c r="U722" s="28">
        <x:v>45840</x:v>
      </x:c>
      <x:c r="V722" s="30">
        <x:v>16</x:v>
      </x:c>
      <x:c r="W722" s="14" t="s">
        <x:v>112</x:v>
      </x:c>
      <x:c r="X722" s="14" t="s">
        <x:v>106</x:v>
      </x:c>
      <x:c r="Y722" s="32" t="str">
        <x:v>TRN-0721|20250616</x:v>
      </x:c>
      <x:c r="Z722" s="32" t="str" cm="1">
        <x:f t="array" ref="Z72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722" s="33" t="n">
        <x:f>--OR(WorkforceData[[#This Row],[Status]]="Active",WorkforceData[[#This Row],[Promoted]]="Yes",WorkforceData[[#This Row],[Total Days Worked]]&gt;=121)</x:f>
        <x:v>0</x:v>
      </x:c>
      <x:c r="AB722" s="33" t="n">
        <x:f>IF(AND(Q722="Terminated",R722="",O722=0),1,0)</x:f>
        <x:v>0</x:v>
      </x:c>
      <x:c r="AC722" s="33" t="n">
        <x:f>--OR(WorkforceData[[#This Row],[Status]]="Resigned",WorkforceData[[#This Row],[Status After Training]]="Withdrew")</x:f>
        <x:v>1</x:v>
      </x:c>
      <x:c r="AD722" s="34" t="n">
        <x:f>EOMONTH(WorkforceData[[#This Row],[Training Date]],0)</x:f>
        <x:v>45838</x:v>
      </x:c>
      <x:c r="AE722" s="32" t="str">
        <x:f>IF(M722&lt;H722,"Existing Employee",IF(U722="","No Assignment",IF(V722=0,"0 Days",IF(V722&lt;=7,"1-7 Days",IF(V722&lt;=14,"8-14 Days",IF(V722&lt;=21,"15-21 Days","21+ Days"))))))</x:f>
        <x:v>Existing Employee</x:v>
      </x:c>
      <x:c r="AF72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722" s="33" t="n">
        <x:f>--(WorkforceData[[#This Row],[Total Days Worked]]&gt;=121)</x:f>
        <x:v>0</x:v>
      </x:c>
    </x:row>
    <x:row r="723">
      <x:c r="A723" s="236" t="str">
        <x:v>TRN-0722</x:v>
      </x:c>
      <x:c r="B723" s="243"/>
      <x:c r="C723" s="243"/>
      <x:c r="D723" s="243"/>
      <x:c r="E723" s="243"/>
      <x:c r="F723" s="14" t="str">
        <x:v>Recruiter C</x:v>
      </x:c>
      <x:c r="G723" s="14" t="str">
        <x:v>Training Center A</x:v>
      </x:c>
      <x:c r="H723" s="28">
        <x:v>45824</x:v>
      </x:c>
      <x:c r="I723" s="14">
        <x:v>2025</x:v>
      </x:c>
      <x:c r="J723" s="14" t="s">
        <x:v>129</x:v>
      </x:c>
      <x:c r="K723" s="14">
        <x:v>17</x:v>
      </x:c>
      <x:c r="L723" s="29" t="s">
        <x:v>119</x:v>
      </x:c>
      <x:c r="M723" s="28">
        <x:v>45823</x:v>
      </x:c>
      <x:c r="N723" s="14"/>
      <x:c r="O723" s="14">
        <x:v>428</x:v>
      </x:c>
      <x:c r="P723" s="14" t="s">
        <x:v>120</x:v>
      </x:c>
      <x:c r="Q723" s="14" t="s">
        <x:v>25</x:v>
      </x:c>
      <x:c r="R723" s="14"/>
      <x:c r="S723" s="14" t="s">
        <x:v>108</x:v>
      </x:c>
      <x:c r="T723" s="14" t="str">
        <x:v>Region A</x:v>
      </x:c>
      <x:c r="U723" s="28">
        <x:v>45839</x:v>
      </x:c>
      <x:c r="V723" s="30">
        <x:v>15</x:v>
      </x:c>
      <x:c r="W723" s="14" t="s">
        <x:v>112</x:v>
      </x:c>
      <x:c r="X723" s="14" t="s">
        <x:v>106</x:v>
      </x:c>
      <x:c r="Y723" s="32" t="str">
        <x:v>TRN-0722|20250616</x:v>
      </x:c>
      <x:c r="Z723" s="32" t="str" cm="1">
        <x:f t="array" ref="Z72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723" s="33" t="n">
        <x:f>--OR(WorkforceData[[#This Row],[Status]]="Active",WorkforceData[[#This Row],[Promoted]]="Yes",WorkforceData[[#This Row],[Total Days Worked]]&gt;=121)</x:f>
        <x:v>1</x:v>
      </x:c>
      <x:c r="AB723" s="33" t="n">
        <x:f>IF(AND(Q723="Terminated",R723="",O723=0),1,0)</x:f>
        <x:v>0</x:v>
      </x:c>
      <x:c r="AC723" s="33" t="n">
        <x:f>--OR(WorkforceData[[#This Row],[Status]]="Resigned",WorkforceData[[#This Row],[Status After Training]]="Withdrew")</x:f>
        <x:v>0</x:v>
      </x:c>
      <x:c r="AD723" s="34" t="n">
        <x:f>EOMONTH(WorkforceData[[#This Row],[Training Date]],0)</x:f>
        <x:v>45838</x:v>
      </x:c>
      <x:c r="AE723" s="32" t="str">
        <x:f>IF(M723&lt;H723,"Existing Employee",IF(U723="","No Assignment",IF(V723=0,"0 Days",IF(V723&lt;=7,"1-7 Days",IF(V723&lt;=14,"8-14 Days",IF(V723&lt;=21,"15-21 Days","21+ Days"))))))</x:f>
        <x:v>Existing Employee</x:v>
      </x:c>
      <x:c r="AF72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23" s="33" t="n">
        <x:f>--(WorkforceData[[#This Row],[Total Days Worked]]&gt;=121)</x:f>
        <x:v>1</x:v>
      </x:c>
    </x:row>
    <x:row r="724">
      <x:c r="A724" s="236" t="str">
        <x:v>TRN-0723</x:v>
      </x:c>
      <x:c r="B724" s="243"/>
      <x:c r="C724" s="243"/>
      <x:c r="D724" s="243"/>
      <x:c r="E724" s="243"/>
      <x:c r="F724" s="14" t="str">
        <x:v>Recruiter G</x:v>
      </x:c>
      <x:c r="G724" s="14" t="str">
        <x:v>Training Center A</x:v>
      </x:c>
      <x:c r="H724" s="28">
        <x:v>45824</x:v>
      </x:c>
      <x:c r="I724" s="14">
        <x:v>2025</x:v>
      </x:c>
      <x:c r="J724" s="14" t="s">
        <x:v>129</x:v>
      </x:c>
      <x:c r="K724" s="14">
        <x:v>17</x:v>
      </x:c>
      <x:c r="L724" s="29" t="s">
        <x:v>119</x:v>
      </x:c>
      <x:c r="M724" s="28">
        <x:v>45819</x:v>
      </x:c>
      <x:c r="N724" s="14"/>
      <x:c r="O724" s="14">
        <x:v>432</x:v>
      </x:c>
      <x:c r="P724" s="14" t="s">
        <x:v>120</x:v>
      </x:c>
      <x:c r="Q724" s="14" t="s">
        <x:v>38</x:v>
      </x:c>
      <x:c r="R724" s="14"/>
      <x:c r="S724" s="14" t="s">
        <x:v>108</x:v>
      </x:c>
      <x:c r="T724" s="14" t="str">
        <x:v>Region C</x:v>
      </x:c>
      <x:c r="U724" s="28">
        <x:v>45826</x:v>
      </x:c>
      <x:c r="V724" s="30">
        <x:v>2</x:v>
      </x:c>
      <x:c r="W724" s="14" t="s">
        <x:v>109</x:v>
      </x:c>
      <x:c r="X724" s="14" t="s">
        <x:v>106</x:v>
      </x:c>
      <x:c r="Y724" s="32" t="str">
        <x:v>TRN-0723|20250616</x:v>
      </x:c>
      <x:c r="Z724" s="32" t="str" cm="1">
        <x:f t="array" ref="Z72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724" s="33" t="n">
        <x:f>--OR(WorkforceData[[#This Row],[Status]]="Active",WorkforceData[[#This Row],[Promoted]]="Yes",WorkforceData[[#This Row],[Total Days Worked]]&gt;=121)</x:f>
        <x:v>1</x:v>
      </x:c>
      <x:c r="AB724" s="33" t="n">
        <x:f>IF(AND(Q724="Terminated",R724="",O724=0),1,0)</x:f>
        <x:v>0</x:v>
      </x:c>
      <x:c r="AC724" s="33" t="n">
        <x:f>--OR(WorkforceData[[#This Row],[Status]]="Resigned",WorkforceData[[#This Row],[Status After Training]]="Withdrew")</x:f>
        <x:v>0</x:v>
      </x:c>
      <x:c r="AD724" s="34" t="n">
        <x:f>EOMONTH(WorkforceData[[#This Row],[Training Date]],0)</x:f>
        <x:v>45838</x:v>
      </x:c>
      <x:c r="AE724" s="32" t="str">
        <x:f>IF(M724&lt;H724,"Existing Employee",IF(U724="","No Assignment",IF(V724=0,"0 Days",IF(V724&lt;=7,"1-7 Days",IF(V724&lt;=14,"8-14 Days",IF(V724&lt;=21,"15-21 Days","21+ Days"))))))</x:f>
        <x:v>Existing Employee</x:v>
      </x:c>
      <x:c r="AF72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24" s="33" t="n">
        <x:f>--(WorkforceData[[#This Row],[Total Days Worked]]&gt;=121)</x:f>
        <x:v>1</x:v>
      </x:c>
    </x:row>
    <x:row r="725">
      <x:c r="A725" s="236" t="str">
        <x:v>TRN-0724</x:v>
      </x:c>
      <x:c r="B725" s="243"/>
      <x:c r="C725" s="243"/>
      <x:c r="D725" s="243"/>
      <x:c r="E725" s="243"/>
      <x:c r="F725" s="14" t="str">
        <x:v>Recruiter G</x:v>
      </x:c>
      <x:c r="G725" s="14" t="str">
        <x:v>Training Center A</x:v>
      </x:c>
      <x:c r="H725" s="28">
        <x:v>45824</x:v>
      </x:c>
      <x:c r="I725" s="14">
        <x:v>2025</x:v>
      </x:c>
      <x:c r="J725" s="14" t="s">
        <x:v>129</x:v>
      </x:c>
      <x:c r="K725" s="14">
        <x:v>17</x:v>
      </x:c>
      <x:c r="L725" s="29" t="s">
        <x:v>119</x:v>
      </x:c>
      <x:c r="M725" s="28">
        <x:v>45824</x:v>
      </x:c>
      <x:c r="N725" s="14"/>
      <x:c r="O725" s="14">
        <x:v>427</x:v>
      </x:c>
      <x:c r="P725" s="14" t="s">
        <x:v>120</x:v>
      </x:c>
      <x:c r="Q725" s="14" t="s">
        <x:v>25</x:v>
      </x:c>
      <x:c r="R725" s="14"/>
      <x:c r="S725" s="14" t="s">
        <x:v>108</x:v>
      </x:c>
      <x:c r="T725" s="14" t="str">
        <x:v>Region A</x:v>
      </x:c>
      <x:c r="U725" s="28">
        <x:v>45840</x:v>
      </x:c>
      <x:c r="V725" s="30">
        <x:v>16</x:v>
      </x:c>
      <x:c r="W725" s="14" t="s">
        <x:v>112</x:v>
      </x:c>
      <x:c r="X725" s="14" t="s">
        <x:v>106</x:v>
      </x:c>
      <x:c r="Y725" s="32" t="str">
        <x:v>TRN-0724|20250616</x:v>
      </x:c>
      <x:c r="Z725" s="32" t="str" cm="1">
        <x:f t="array" ref="Z72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725" s="33" t="n">
        <x:f>--OR(WorkforceData[[#This Row],[Status]]="Active",WorkforceData[[#This Row],[Promoted]]="Yes",WorkforceData[[#This Row],[Total Days Worked]]&gt;=121)</x:f>
        <x:v>1</x:v>
      </x:c>
      <x:c r="AB725" s="33" t="n">
        <x:f>IF(AND(Q725="Terminated",R725="",O725=0),1,0)</x:f>
        <x:v>0</x:v>
      </x:c>
      <x:c r="AC725" s="33" t="n">
        <x:f>--OR(WorkforceData[[#This Row],[Status]]="Resigned",WorkforceData[[#This Row],[Status After Training]]="Withdrew")</x:f>
        <x:v>0</x:v>
      </x:c>
      <x:c r="AD725" s="34" t="n">
        <x:f>EOMONTH(WorkforceData[[#This Row],[Training Date]],0)</x:f>
        <x:v>45838</x:v>
      </x:c>
      <x:c r="AE725" s="32" t="str">
        <x:f>IF(M725&lt;H725,"Existing Employee",IF(U725="","No Assignment",IF(V725=0,"0 Days",IF(V725&lt;=7,"1-7 Days",IF(V725&lt;=14,"8-14 Days",IF(V725&lt;=21,"15-21 Days","21+ Days"))))))</x:f>
        <x:v>15-21 Days</x:v>
      </x:c>
      <x:c r="AF72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25" s="33" t="n">
        <x:f>--(WorkforceData[[#This Row],[Total Days Worked]]&gt;=121)</x:f>
        <x:v>1</x:v>
      </x:c>
    </x:row>
    <x:row r="726">
      <x:c r="A726" s="236" t="str">
        <x:v>TRN-0725</x:v>
      </x:c>
      <x:c r="B726" s="243"/>
      <x:c r="C726" s="243"/>
      <x:c r="D726" s="243"/>
      <x:c r="E726" s="243"/>
      <x:c r="F726" s="14" t="str">
        <x:v>Recruiter G</x:v>
      </x:c>
      <x:c r="G726" s="14" t="str">
        <x:v>Training Center A</x:v>
      </x:c>
      <x:c r="H726" s="28">
        <x:v>45824</x:v>
      </x:c>
      <x:c r="I726" s="14">
        <x:v>2025</x:v>
      </x:c>
      <x:c r="J726" s="14" t="s">
        <x:v>129</x:v>
      </x:c>
      <x:c r="K726" s="14">
        <x:v>17</x:v>
      </x:c>
      <x:c r="L726" s="29" t="s">
        <x:v>119</x:v>
      </x:c>
      <x:c r="M726" s="28">
        <x:v>45824</x:v>
      </x:c>
      <x:c r="N726" s="14"/>
      <x:c r="O726" s="14">
        <x:v>427</x:v>
      </x:c>
      <x:c r="P726" s="14" t="s">
        <x:v>120</x:v>
      </x:c>
      <x:c r="Q726" s="14" t="s">
        <x:v>25</x:v>
      </x:c>
      <x:c r="R726" s="14"/>
      <x:c r="S726" s="14" t="s">
        <x:v>108</x:v>
      </x:c>
      <x:c r="T726" s="14" t="str">
        <x:v>Region A</x:v>
      </x:c>
      <x:c r="U726" s="28">
        <x:v>45834</x:v>
      </x:c>
      <x:c r="V726" s="30">
        <x:v>10</x:v>
      </x:c>
      <x:c r="W726" s="14" t="s">
        <x:v>45</x:v>
      </x:c>
      <x:c r="X726" s="14" t="s">
        <x:v>106</x:v>
      </x:c>
      <x:c r="Y726" s="32" t="str">
        <x:v>TRN-0725|20250616</x:v>
      </x:c>
      <x:c r="Z726" s="32" t="str" cm="1">
        <x:f t="array" ref="Z72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726" s="33" t="n">
        <x:f>--OR(WorkforceData[[#This Row],[Status]]="Active",WorkforceData[[#This Row],[Promoted]]="Yes",WorkforceData[[#This Row],[Total Days Worked]]&gt;=121)</x:f>
        <x:v>1</x:v>
      </x:c>
      <x:c r="AB726" s="33" t="n">
        <x:f>IF(AND(Q726="Terminated",R726="",O726=0),1,0)</x:f>
        <x:v>0</x:v>
      </x:c>
      <x:c r="AC726" s="33" t="n">
        <x:f>--OR(WorkforceData[[#This Row],[Status]]="Resigned",WorkforceData[[#This Row],[Status After Training]]="Withdrew")</x:f>
        <x:v>0</x:v>
      </x:c>
      <x:c r="AD726" s="34" t="n">
        <x:f>EOMONTH(WorkforceData[[#This Row],[Training Date]],0)</x:f>
        <x:v>45838</x:v>
      </x:c>
      <x:c r="AE726" s="32" t="str">
        <x:f>IF(M726&lt;H726,"Existing Employee",IF(U726="","No Assignment",IF(V726=0,"0 Days",IF(V726&lt;=7,"1-7 Days",IF(V726&lt;=14,"8-14 Days",IF(V726&lt;=21,"15-21 Days","21+ Days"))))))</x:f>
        <x:v>8-14 Days</x:v>
      </x:c>
      <x:c r="AF72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26" s="33" t="n">
        <x:f>--(WorkforceData[[#This Row],[Total Days Worked]]&gt;=121)</x:f>
        <x:v>1</x:v>
      </x:c>
    </x:row>
    <x:row r="727">
      <x:c r="A727" s="236" t="str">
        <x:v>TRN-0726</x:v>
      </x:c>
      <x:c r="B727" s="243"/>
      <x:c r="C727" s="243"/>
      <x:c r="D727" s="243"/>
      <x:c r="E727" s="243"/>
      <x:c r="F727" s="14" t="str">
        <x:v>Recruiter A</x:v>
      </x:c>
      <x:c r="G727" s="14" t="str">
        <x:v>Training Center A</x:v>
      </x:c>
      <x:c r="H727" s="28">
        <x:v>45824</x:v>
      </x:c>
      <x:c r="I727" s="14">
        <x:v>2025</x:v>
      </x:c>
      <x:c r="J727" s="14" t="s">
        <x:v>129</x:v>
      </x:c>
      <x:c r="K727" s="14">
        <x:v>17</x:v>
      </x:c>
      <x:c r="L727" s="29" t="s">
        <x:v>119</x:v>
      </x:c>
      <x:c r="M727" s="28">
        <x:v>45817</x:v>
      </x:c>
      <x:c r="N727" s="28">
        <x:v>45929</x:v>
      </x:c>
      <x:c r="O727" s="14">
        <x:v>112</x:v>
      </x:c>
      <x:c r="P727" s="14" t="s">
        <x:v>113</x:v>
      </x:c>
      <x:c r="Q727" s="14" t="s">
        <x:v>33</x:v>
      </x:c>
      <x:c r="R727" s="14" t="s">
        <x:v>116</x:v>
      </x:c>
      <x:c r="S727" s="14" t="s">
        <x:v>105</x:v>
      </x:c>
      <x:c r="T727" s="14" t="str">
        <x:v>Region B</x:v>
      </x:c>
      <x:c r="U727" s="28">
        <x:v>45844</x:v>
      </x:c>
      <x:c r="V727" s="30">
        <x:v>20</x:v>
      </x:c>
      <x:c r="W727" s="14" t="s">
        <x:v>112</x:v>
      </x:c>
      <x:c r="X727" s="14" t="s">
        <x:v>106</x:v>
      </x:c>
      <x:c r="Y727" s="32" t="str">
        <x:v>TRN-0726|20250616</x:v>
      </x:c>
      <x:c r="Z727" s="32" t="str" cm="1">
        <x:f t="array" ref="Z72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727" s="33" t="n">
        <x:f>--OR(WorkforceData[[#This Row],[Status]]="Active",WorkforceData[[#This Row],[Promoted]]="Yes",WorkforceData[[#This Row],[Total Days Worked]]&gt;=121)</x:f>
        <x:v>0</x:v>
      </x:c>
      <x:c r="AB727" s="33" t="n">
        <x:f>IF(AND(Q727="Terminated",R727="",O727=0),1,0)</x:f>
        <x:v>0</x:v>
      </x:c>
      <x:c r="AC727" s="33" t="n">
        <x:f>--OR(WorkforceData[[#This Row],[Status]]="Resigned",WorkforceData[[#This Row],[Status After Training]]="Withdrew")</x:f>
        <x:v>0</x:v>
      </x:c>
      <x:c r="AD727" s="34" t="n">
        <x:f>EOMONTH(WorkforceData[[#This Row],[Training Date]],0)</x:f>
        <x:v>45838</x:v>
      </x:c>
      <x:c r="AE727" s="32" t="str">
        <x:f>IF(M727&lt;H727,"Existing Employee",IF(U727="","No Assignment",IF(V727=0,"0 Days",IF(V727&lt;=7,"1-7 Days",IF(V727&lt;=14,"8-14 Days",IF(V727&lt;=21,"15-21 Days","21+ Days"))))))</x:f>
        <x:v>Existing Employee</x:v>
      </x:c>
      <x:c r="AF72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91-120 Days</x:v>
      </x:c>
      <x:c r="AG727" s="33" t="n">
        <x:f>--(WorkforceData[[#This Row],[Total Days Worked]]&gt;=121)</x:f>
        <x:v>0</x:v>
      </x:c>
    </x:row>
    <x:row r="728">
      <x:c r="A728" s="236" t="str">
        <x:v>TRN-0727</x:v>
      </x:c>
      <x:c r="B728" s="243"/>
      <x:c r="C728" s="243"/>
      <x:c r="D728" s="243"/>
      <x:c r="E728" s="243"/>
      <x:c r="F728" s="14" t="str">
        <x:v>Recruiter G</x:v>
      </x:c>
      <x:c r="G728" s="14" t="str">
        <x:v>Training Center A</x:v>
      </x:c>
      <x:c r="H728" s="28">
        <x:v>45824</x:v>
      </x:c>
      <x:c r="I728" s="14">
        <x:v>2025</x:v>
      </x:c>
      <x:c r="J728" s="14" t="s">
        <x:v>129</x:v>
      </x:c>
      <x:c r="K728" s="14">
        <x:v>17</x:v>
      </x:c>
      <x:c r="L728" s="29" t="s">
        <x:v>119</x:v>
      </x:c>
      <x:c r="M728" s="28">
        <x:v>45824</x:v>
      </x:c>
      <x:c r="N728" s="28">
        <x:v>45848</x:v>
      </x:c>
      <x:c r="O728" s="14">
        <x:v>24</x:v>
      </x:c>
      <x:c r="P728" s="14" t="s">
        <x:v>102</x:v>
      </x:c>
      <x:c r="Q728" s="14" t="s">
        <x:v>103</x:v>
      </x:c>
      <x:c r="R728" s="14" t="s">
        <x:v>111</x:v>
      </x:c>
      <x:c r="S728" s="14" t="s">
        <x:v>105</x:v>
      </x:c>
      <x:c r="T728" s="14" t="str">
        <x:v>Region E</x:v>
      </x:c>
      <x:c r="U728" s="28">
        <x:v>45831</x:v>
      </x:c>
      <x:c r="V728" s="30">
        <x:v>7</x:v>
      </x:c>
      <x:c r="W728" s="14" t="s">
        <x:v>109</x:v>
      </x:c>
      <x:c r="X728" s="14" t="s">
        <x:v>106</x:v>
      </x:c>
      <x:c r="Y728" s="32" t="str">
        <x:v>TRN-0727|20250616</x:v>
      </x:c>
      <x:c r="Z728" s="32" t="str" cm="1">
        <x:f t="array" ref="Z72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728" s="33" t="n">
        <x:f>--OR(WorkforceData[[#This Row],[Status]]="Active",WorkforceData[[#This Row],[Promoted]]="Yes",WorkforceData[[#This Row],[Total Days Worked]]&gt;=121)</x:f>
        <x:v>0</x:v>
      </x:c>
      <x:c r="AB728" s="33" t="n">
        <x:f>IF(AND(Q728="Terminated",R728="",O728=0),1,0)</x:f>
        <x:v>0</x:v>
      </x:c>
      <x:c r="AC728" s="33" t="n">
        <x:f>--OR(WorkforceData[[#This Row],[Status]]="Resigned",WorkforceData[[#This Row],[Status After Training]]="Withdrew")</x:f>
        <x:v>1</x:v>
      </x:c>
      <x:c r="AD728" s="34" t="n">
        <x:f>EOMONTH(WorkforceData[[#This Row],[Training Date]],0)</x:f>
        <x:v>45838</x:v>
      </x:c>
      <x:c r="AE728" s="32" t="str">
        <x:f>IF(M728&lt;H728,"Existing Employee",IF(U728="","No Assignment",IF(V728=0,"0 Days",IF(V728&lt;=7,"1-7 Days",IF(V728&lt;=14,"8-14 Days",IF(V728&lt;=21,"15-21 Days","21+ Days"))))))</x:f>
        <x:v>1-7 Days</x:v>
      </x:c>
      <x:c r="AF72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728" s="33" t="n">
        <x:f>--(WorkforceData[[#This Row],[Total Days Worked]]&gt;=121)</x:f>
        <x:v>0</x:v>
      </x:c>
    </x:row>
    <x:row r="729">
      <x:c r="A729" s="236" t="str">
        <x:v>TRN-0728</x:v>
      </x:c>
      <x:c r="B729" s="243"/>
      <x:c r="C729" s="243"/>
      <x:c r="D729" s="243"/>
      <x:c r="E729" s="243"/>
      <x:c r="F729" s="14" t="str">
        <x:v>Recruiter H</x:v>
      </x:c>
      <x:c r="G729" s="14" t="str">
        <x:v>Training Center A</x:v>
      </x:c>
      <x:c r="H729" s="28">
        <x:v>45824</x:v>
      </x:c>
      <x:c r="I729" s="14">
        <x:v>2025</x:v>
      </x:c>
      <x:c r="J729" s="14" t="s">
        <x:v>129</x:v>
      </x:c>
      <x:c r="K729" s="14">
        <x:v>17</x:v>
      </x:c>
      <x:c r="L729" s="29" t="s">
        <x:v>119</x:v>
      </x:c>
      <x:c r="M729" s="28">
        <x:v>45821</x:v>
      </x:c>
      <x:c r="N729" s="14"/>
      <x:c r="O729" s="14">
        <x:v>430</x:v>
      </x:c>
      <x:c r="P729" s="14" t="s">
        <x:v>120</x:v>
      </x:c>
      <x:c r="Q729" s="14" t="s">
        <x:v>25</x:v>
      </x:c>
      <x:c r="R729" s="14"/>
      <x:c r="S729" s="14" t="s">
        <x:v>108</x:v>
      </x:c>
      <x:c r="T729" s="14" t="str">
        <x:v>Region D</x:v>
      </x:c>
      <x:c r="U729" s="28">
        <x:v>45845</x:v>
      </x:c>
      <x:c r="V729" s="30">
        <x:v>21</x:v>
      </x:c>
      <x:c r="W729" s="14" t="s">
        <x:v>112</x:v>
      </x:c>
      <x:c r="X729" s="14" t="s">
        <x:v>106</x:v>
      </x:c>
      <x:c r="Y729" s="32" t="str">
        <x:v>TRN-0728|20250616</x:v>
      </x:c>
      <x:c r="Z729" s="32" t="str" cm="1">
        <x:f t="array" ref="Z72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729" s="33" t="n">
        <x:f>--OR(WorkforceData[[#This Row],[Status]]="Active",WorkforceData[[#This Row],[Promoted]]="Yes",WorkforceData[[#This Row],[Total Days Worked]]&gt;=121)</x:f>
        <x:v>1</x:v>
      </x:c>
      <x:c r="AB729" s="33" t="n">
        <x:f>IF(AND(Q729="Terminated",R729="",O729=0),1,0)</x:f>
        <x:v>0</x:v>
      </x:c>
      <x:c r="AC729" s="33" t="n">
        <x:f>--OR(WorkforceData[[#This Row],[Status]]="Resigned",WorkforceData[[#This Row],[Status After Training]]="Withdrew")</x:f>
        <x:v>0</x:v>
      </x:c>
      <x:c r="AD729" s="34" t="n">
        <x:f>EOMONTH(WorkforceData[[#This Row],[Training Date]],0)</x:f>
        <x:v>45838</x:v>
      </x:c>
      <x:c r="AE729" s="32" t="str">
        <x:f>IF(M729&lt;H729,"Existing Employee",IF(U729="","No Assignment",IF(V729=0,"0 Days",IF(V729&lt;=7,"1-7 Days",IF(V729&lt;=14,"8-14 Days",IF(V729&lt;=21,"15-21 Days","21+ Days"))))))</x:f>
        <x:v>Existing Employee</x:v>
      </x:c>
      <x:c r="AF72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29" s="33" t="n">
        <x:f>--(WorkforceData[[#This Row],[Total Days Worked]]&gt;=121)</x:f>
        <x:v>1</x:v>
      </x:c>
    </x:row>
    <x:row r="730">
      <x:c r="A730" s="236" t="str">
        <x:v>TRN-0729</x:v>
      </x:c>
      <x:c r="B730" s="243"/>
      <x:c r="C730" s="243"/>
      <x:c r="D730" s="243"/>
      <x:c r="E730" s="243"/>
      <x:c r="F730" s="14" t="str">
        <x:v>Recruiter B</x:v>
      </x:c>
      <x:c r="G730" s="14" t="str">
        <x:v>Training Center A</x:v>
      </x:c>
      <x:c r="H730" s="28">
        <x:v>45824</x:v>
      </x:c>
      <x:c r="I730" s="14">
        <x:v>2025</x:v>
      </x:c>
      <x:c r="J730" s="14" t="s">
        <x:v>129</x:v>
      </x:c>
      <x:c r="K730" s="14">
        <x:v>17</x:v>
      </x:c>
      <x:c r="L730" s="29" t="s">
        <x:v>119</x:v>
      </x:c>
      <x:c r="M730" s="28">
        <x:v>45814</x:v>
      </x:c>
      <x:c r="N730" s="14"/>
      <x:c r="O730" s="14">
        <x:v>437</x:v>
      </x:c>
      <x:c r="P730" s="14" t="s">
        <x:v>120</x:v>
      </x:c>
      <x:c r="Q730" s="14" t="s">
        <x:v>38</x:v>
      </x:c>
      <x:c r="R730" s="14"/>
      <x:c r="S730" s="14" t="s">
        <x:v>108</x:v>
      </x:c>
      <x:c r="T730" s="14" t="str">
        <x:v>Region B</x:v>
      </x:c>
      <x:c r="U730" s="28">
        <x:v>45839</x:v>
      </x:c>
      <x:c r="V730" s="30">
        <x:v>15</x:v>
      </x:c>
      <x:c r="W730" s="14" t="s">
        <x:v>112</x:v>
      </x:c>
      <x:c r="X730" s="14" t="s">
        <x:v>106</x:v>
      </x:c>
      <x:c r="Y730" s="32" t="str">
        <x:v>TRN-0729|20250616</x:v>
      </x:c>
      <x:c r="Z730" s="32" t="str" cm="1">
        <x:f t="array" ref="Z73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730" s="33" t="n">
        <x:f>--OR(WorkforceData[[#This Row],[Status]]="Active",WorkforceData[[#This Row],[Promoted]]="Yes",WorkforceData[[#This Row],[Total Days Worked]]&gt;=121)</x:f>
        <x:v>1</x:v>
      </x:c>
      <x:c r="AB730" s="33" t="n">
        <x:f>IF(AND(Q730="Terminated",R730="",O730=0),1,0)</x:f>
        <x:v>0</x:v>
      </x:c>
      <x:c r="AC730" s="33" t="n">
        <x:f>--OR(WorkforceData[[#This Row],[Status]]="Resigned",WorkforceData[[#This Row],[Status After Training]]="Withdrew")</x:f>
        <x:v>0</x:v>
      </x:c>
      <x:c r="AD730" s="34" t="n">
        <x:f>EOMONTH(WorkforceData[[#This Row],[Training Date]],0)</x:f>
        <x:v>45838</x:v>
      </x:c>
      <x:c r="AE730" s="32" t="str">
        <x:f>IF(M730&lt;H730,"Existing Employee",IF(U730="","No Assignment",IF(V730=0,"0 Days",IF(V730&lt;=7,"1-7 Days",IF(V730&lt;=14,"8-14 Days",IF(V730&lt;=21,"15-21 Days","21+ Days"))))))</x:f>
        <x:v>Existing Employee</x:v>
      </x:c>
      <x:c r="AF73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30" s="33" t="n">
        <x:f>--(WorkforceData[[#This Row],[Total Days Worked]]&gt;=121)</x:f>
        <x:v>1</x:v>
      </x:c>
    </x:row>
    <x:row r="731">
      <x:c r="A731" s="236" t="str">
        <x:v>TRN-0730</x:v>
      </x:c>
      <x:c r="B731" s="243"/>
      <x:c r="C731" s="243"/>
      <x:c r="D731" s="243"/>
      <x:c r="E731" s="243"/>
      <x:c r="F731" s="14" t="str">
        <x:v>Recruiter H</x:v>
      </x:c>
      <x:c r="G731" s="14" t="str">
        <x:v>Training Center A</x:v>
      </x:c>
      <x:c r="H731" s="28">
        <x:v>45824</x:v>
      </x:c>
      <x:c r="I731" s="14">
        <x:v>2025</x:v>
      </x:c>
      <x:c r="J731" s="14" t="s">
        <x:v>129</x:v>
      </x:c>
      <x:c r="K731" s="14">
        <x:v>17</x:v>
      </x:c>
      <x:c r="L731" s="29" t="s">
        <x:v>119</x:v>
      </x:c>
      <x:c r="M731" s="28">
        <x:v>45824</x:v>
      </x:c>
      <x:c r="N731" s="14"/>
      <x:c r="O731" s="14">
        <x:v>427</x:v>
      </x:c>
      <x:c r="P731" s="14" t="s">
        <x:v>120</x:v>
      </x:c>
      <x:c r="Q731" s="14" t="s">
        <x:v>25</x:v>
      </x:c>
      <x:c r="R731" s="14"/>
      <x:c r="S731" s="14" t="s">
        <x:v>108</x:v>
      </x:c>
      <x:c r="T731" s="14" t="str">
        <x:v>Region A</x:v>
      </x:c>
      <x:c r="U731" s="28">
        <x:v>45874</x:v>
      </x:c>
      <x:c r="V731" s="30">
        <x:v>50</x:v>
      </x:c>
      <x:c r="W731" s="14" t="s">
        <x:v>63</x:v>
      </x:c>
      <x:c r="X731" s="14" t="s">
        <x:v>117</x:v>
      </x:c>
      <x:c r="Y731" s="32" t="str">
        <x:v>TRN-0730|20250616</x:v>
      </x:c>
      <x:c r="Z731" s="32" t="str" cm="1">
        <x:f t="array" ref="Z73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731" s="33" t="n">
        <x:f>--OR(WorkforceData[[#This Row],[Status]]="Active",WorkforceData[[#This Row],[Promoted]]="Yes",WorkforceData[[#This Row],[Total Days Worked]]&gt;=121)</x:f>
        <x:v>1</x:v>
      </x:c>
      <x:c r="AB731" s="33" t="n">
        <x:f>IF(AND(Q731="Terminated",R731="",O731=0),1,0)</x:f>
        <x:v>0</x:v>
      </x:c>
      <x:c r="AC731" s="33" t="n">
        <x:f>--OR(WorkforceData[[#This Row],[Status]]="Resigned",WorkforceData[[#This Row],[Status After Training]]="Withdrew")</x:f>
        <x:v>0</x:v>
      </x:c>
      <x:c r="AD731" s="34" t="n">
        <x:f>EOMONTH(WorkforceData[[#This Row],[Training Date]],0)</x:f>
        <x:v>45838</x:v>
      </x:c>
      <x:c r="AE731" s="32" t="str">
        <x:f>IF(M731&lt;H731,"Existing Employee",IF(U731="","No Assignment",IF(V731=0,"0 Days",IF(V731&lt;=7,"1-7 Days",IF(V731&lt;=14,"8-14 Days",IF(V731&lt;=21,"15-21 Days","21+ Days"))))))</x:f>
        <x:v>21+ Days</x:v>
      </x:c>
      <x:c r="AF73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31" s="33" t="n">
        <x:f>--(WorkforceData[[#This Row],[Total Days Worked]]&gt;=121)</x:f>
        <x:v>1</x:v>
      </x:c>
    </x:row>
    <x:row r="732">
      <x:c r="A732" s="236" t="str">
        <x:v>TRN-0731</x:v>
      </x:c>
      <x:c r="B732" s="243"/>
      <x:c r="C732" s="243"/>
      <x:c r="D732" s="243"/>
      <x:c r="E732" s="243"/>
      <x:c r="F732" s="14" t="str">
        <x:v>Recruiter D</x:v>
      </x:c>
      <x:c r="G732" s="14" t="str">
        <x:v>Training Center A</x:v>
      </x:c>
      <x:c r="H732" s="28">
        <x:v>45824</x:v>
      </x:c>
      <x:c r="I732" s="14">
        <x:v>2025</x:v>
      </x:c>
      <x:c r="J732" s="14" t="s">
        <x:v>129</x:v>
      </x:c>
      <x:c r="K732" s="14">
        <x:v>17</x:v>
      </x:c>
      <x:c r="L732" s="29" t="s">
        <x:v>119</x:v>
      </x:c>
      <x:c r="M732" s="28">
        <x:v>45824</x:v>
      </x:c>
      <x:c r="N732" s="28">
        <x:v>45915</x:v>
      </x:c>
      <x:c r="O732" s="14">
        <x:v>91</x:v>
      </x:c>
      <x:c r="P732" s="14" t="s">
        <x:v>113</x:v>
      </x:c>
      <x:c r="Q732" s="14" t="s">
        <x:v>103</x:v>
      </x:c>
      <x:c r="R732" s="14" t="s">
        <x:v>104</x:v>
      </x:c>
      <x:c r="S732" s="14" t="s">
        <x:v>105</x:v>
      </x:c>
      <x:c r="T732" s="14" t="str">
        <x:v>Region A</x:v>
      </x:c>
      <x:c r="U732" s="28">
        <x:v>45828</x:v>
      </x:c>
      <x:c r="V732" s="30">
        <x:v>4</x:v>
      </x:c>
      <x:c r="W732" s="14" t="s">
        <x:v>109</x:v>
      </x:c>
      <x:c r="X732" s="14" t="s">
        <x:v>106</x:v>
      </x:c>
      <x:c r="Y732" s="32" t="str">
        <x:v>TRN-0731|20250616</x:v>
      </x:c>
      <x:c r="Z732" s="32" t="str" cm="1">
        <x:f t="array" ref="Z73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732" s="33" t="n">
        <x:f>--OR(WorkforceData[[#This Row],[Status]]="Active",WorkforceData[[#This Row],[Promoted]]="Yes",WorkforceData[[#This Row],[Total Days Worked]]&gt;=121)</x:f>
        <x:v>0</x:v>
      </x:c>
      <x:c r="AB732" s="33" t="n">
        <x:f>IF(AND(Q732="Terminated",R732="",O732=0),1,0)</x:f>
        <x:v>0</x:v>
      </x:c>
      <x:c r="AC732" s="33" t="n">
        <x:f>--OR(WorkforceData[[#This Row],[Status]]="Resigned",WorkforceData[[#This Row],[Status After Training]]="Withdrew")</x:f>
        <x:v>1</x:v>
      </x:c>
      <x:c r="AD732" s="34" t="n">
        <x:f>EOMONTH(WorkforceData[[#This Row],[Training Date]],0)</x:f>
        <x:v>45838</x:v>
      </x:c>
      <x:c r="AE732" s="32" t="str">
        <x:f>IF(M732&lt;H732,"Existing Employee",IF(U732="","No Assignment",IF(V732=0,"0 Days",IF(V732&lt;=7,"1-7 Days",IF(V732&lt;=14,"8-14 Days",IF(V732&lt;=21,"15-21 Days","21+ Days"))))))</x:f>
        <x:v>1-7 Days</x:v>
      </x:c>
      <x:c r="AF73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91-120 Days</x:v>
      </x:c>
      <x:c r="AG732" s="33" t="n">
        <x:f>--(WorkforceData[[#This Row],[Total Days Worked]]&gt;=121)</x:f>
        <x:v>0</x:v>
      </x:c>
    </x:row>
    <x:row r="733">
      <x:c r="A733" s="236" t="str">
        <x:v>TRN-0732</x:v>
      </x:c>
      <x:c r="B733" s="243"/>
      <x:c r="C733" s="243"/>
      <x:c r="D733" s="243"/>
      <x:c r="E733" s="243"/>
      <x:c r="F733" s="14" t="str">
        <x:v>Recruiter E</x:v>
      </x:c>
      <x:c r="G733" s="14" t="str">
        <x:v>Training Center A</x:v>
      </x:c>
      <x:c r="H733" s="28">
        <x:v>45824</x:v>
      </x:c>
      <x:c r="I733" s="14">
        <x:v>2025</x:v>
      </x:c>
      <x:c r="J733" s="14" t="s">
        <x:v>129</x:v>
      </x:c>
      <x:c r="K733" s="14">
        <x:v>17</x:v>
      </x:c>
      <x:c r="L733" s="29" t="s">
        <x:v>119</x:v>
      </x:c>
      <x:c r="M733" s="28">
        <x:v>45819</x:v>
      </x:c>
      <x:c r="N733" s="28">
        <x:v>45878</x:v>
      </x:c>
      <x:c r="O733" s="14">
        <x:v>59</x:v>
      </x:c>
      <x:c r="P733" s="14" t="s">
        <x:v>110</x:v>
      </x:c>
      <x:c r="Q733" s="14" t="s">
        <x:v>33</x:v>
      </x:c>
      <x:c r="R733" s="14" t="s">
        <x:v>124</x:v>
      </x:c>
      <x:c r="S733" s="14" t="s">
        <x:v>105</x:v>
      </x:c>
      <x:c r="T733" s="14" t="str">
        <x:v>Region A</x:v>
      </x:c>
      <x:c r="U733" s="28">
        <x:v>45826</x:v>
      </x:c>
      <x:c r="V733" s="30">
        <x:v>2</x:v>
      </x:c>
      <x:c r="W733" s="14" t="s">
        <x:v>109</x:v>
      </x:c>
      <x:c r="X733" s="14" t="s">
        <x:v>106</x:v>
      </x:c>
      <x:c r="Y733" s="32" t="str">
        <x:v>TRN-0732|20250616</x:v>
      </x:c>
      <x:c r="Z733" s="32" t="str" cm="1">
        <x:f t="array" ref="Z73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733" s="33" t="n">
        <x:f>--OR(WorkforceData[[#This Row],[Status]]="Active",WorkforceData[[#This Row],[Promoted]]="Yes",WorkforceData[[#This Row],[Total Days Worked]]&gt;=121)</x:f>
        <x:v>0</x:v>
      </x:c>
      <x:c r="AB733" s="33" t="n">
        <x:f>IF(AND(Q733="Terminated",R733="",O733=0),1,0)</x:f>
        <x:v>0</x:v>
      </x:c>
      <x:c r="AC733" s="33" t="n">
        <x:f>--OR(WorkforceData[[#This Row],[Status]]="Resigned",WorkforceData[[#This Row],[Status After Training]]="Withdrew")</x:f>
        <x:v>0</x:v>
      </x:c>
      <x:c r="AD733" s="34" t="n">
        <x:f>EOMONTH(WorkforceData[[#This Row],[Training Date]],0)</x:f>
        <x:v>45838</x:v>
      </x:c>
      <x:c r="AE733" s="32" t="str">
        <x:f>IF(M733&lt;H733,"Existing Employee",IF(U733="","No Assignment",IF(V733=0,"0 Days",IF(V733&lt;=7,"1-7 Days",IF(V733&lt;=14,"8-14 Days",IF(V733&lt;=21,"15-21 Days","21+ Days"))))))</x:f>
        <x:v>Existing Employee</x:v>
      </x:c>
      <x:c r="AF73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733" s="33" t="n">
        <x:f>--(WorkforceData[[#This Row],[Total Days Worked]]&gt;=121)</x:f>
        <x:v>0</x:v>
      </x:c>
    </x:row>
    <x:row r="734">
      <x:c r="A734" s="236" t="str">
        <x:v>TRN-0733</x:v>
      </x:c>
      <x:c r="B734" s="243"/>
      <x:c r="C734" s="243"/>
      <x:c r="D734" s="243"/>
      <x:c r="E734" s="243"/>
      <x:c r="F734" s="14" t="str">
        <x:v>Recruiter D</x:v>
      </x:c>
      <x:c r="G734" s="14" t="str">
        <x:v>Training Center A</x:v>
      </x:c>
      <x:c r="H734" s="28">
        <x:v>45824</x:v>
      </x:c>
      <x:c r="I734" s="14">
        <x:v>2025</x:v>
      </x:c>
      <x:c r="J734" s="14" t="s">
        <x:v>129</x:v>
      </x:c>
      <x:c r="K734" s="14">
        <x:v>17</x:v>
      </x:c>
      <x:c r="L734" s="29" t="s">
        <x:v>119</x:v>
      </x:c>
      <x:c r="M734" s="28">
        <x:v>45821</x:v>
      </x:c>
      <x:c r="N734" s="14"/>
      <x:c r="O734" s="14">
        <x:v>430</x:v>
      </x:c>
      <x:c r="P734" s="14" t="s">
        <x:v>120</x:v>
      </x:c>
      <x:c r="Q734" s="14" t="s">
        <x:v>25</x:v>
      </x:c>
      <x:c r="R734" s="14"/>
      <x:c r="S734" s="14" t="s">
        <x:v>108</x:v>
      </x:c>
      <x:c r="T734" s="14" t="str">
        <x:v>Region B</x:v>
      </x:c>
      <x:c r="U734" s="28">
        <x:v>45826</x:v>
      </x:c>
      <x:c r="V734" s="30">
        <x:v>2</x:v>
      </x:c>
      <x:c r="W734" s="14" t="s">
        <x:v>109</x:v>
      </x:c>
      <x:c r="X734" s="14" t="s">
        <x:v>106</x:v>
      </x:c>
      <x:c r="Y734" s="32" t="str">
        <x:v>TRN-0733|20250616</x:v>
      </x:c>
      <x:c r="Z734" s="32" t="str" cm="1">
        <x:f t="array" ref="Z73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734" s="33" t="n">
        <x:f>--OR(WorkforceData[[#This Row],[Status]]="Active",WorkforceData[[#This Row],[Promoted]]="Yes",WorkforceData[[#This Row],[Total Days Worked]]&gt;=121)</x:f>
        <x:v>1</x:v>
      </x:c>
      <x:c r="AB734" s="33" t="n">
        <x:f>IF(AND(Q734="Terminated",R734="",O734=0),1,0)</x:f>
        <x:v>0</x:v>
      </x:c>
      <x:c r="AC734" s="33" t="n">
        <x:f>--OR(WorkforceData[[#This Row],[Status]]="Resigned",WorkforceData[[#This Row],[Status After Training]]="Withdrew")</x:f>
        <x:v>0</x:v>
      </x:c>
      <x:c r="AD734" s="34" t="n">
        <x:f>EOMONTH(WorkforceData[[#This Row],[Training Date]],0)</x:f>
        <x:v>45838</x:v>
      </x:c>
      <x:c r="AE734" s="32" t="str">
        <x:f>IF(M734&lt;H734,"Existing Employee",IF(U734="","No Assignment",IF(V734=0,"0 Days",IF(V734&lt;=7,"1-7 Days",IF(V734&lt;=14,"8-14 Days",IF(V734&lt;=21,"15-21 Days","21+ Days"))))))</x:f>
        <x:v>Existing Employee</x:v>
      </x:c>
      <x:c r="AF73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34" s="33" t="n">
        <x:f>--(WorkforceData[[#This Row],[Total Days Worked]]&gt;=121)</x:f>
        <x:v>1</x:v>
      </x:c>
    </x:row>
    <x:row r="735">
      <x:c r="A735" s="236" t="str">
        <x:v>TRN-0734</x:v>
      </x:c>
      <x:c r="B735" s="243"/>
      <x:c r="C735" s="243"/>
      <x:c r="D735" s="243"/>
      <x:c r="E735" s="243"/>
      <x:c r="F735" s="14" t="str">
        <x:v>Recruiter E</x:v>
      </x:c>
      <x:c r="G735" s="14" t="str">
        <x:v>Training Center B</x:v>
      </x:c>
      <x:c r="H735" s="28">
        <x:v>45483</x:v>
      </x:c>
      <x:c r="I735" s="14">
        <x:v>2024</x:v>
      </x:c>
      <x:c r="J735" s="14" t="s">
        <x:v>133</x:v>
      </x:c>
      <x:c r="K735" s="14">
        <x:v>16</x:v>
      </x:c>
      <x:c r="L735" s="29" t="s">
        <x:v>119</x:v>
      </x:c>
      <x:c r="M735" s="28">
        <x:v>45483</x:v>
      </x:c>
      <x:c r="N735" s="28">
        <x:v>45613</x:v>
      </x:c>
      <x:c r="O735" s="14">
        <x:v>130</x:v>
      </x:c>
      <x:c r="P735" s="14" t="s">
        <x:v>113</x:v>
      </x:c>
      <x:c r="Q735" s="14" t="s">
        <x:v>103</x:v>
      </x:c>
      <x:c r="R735" s="14" t="s">
        <x:v>104</x:v>
      </x:c>
      <x:c r="S735" s="14" t="s">
        <x:v>105</x:v>
      </x:c>
      <x:c r="T735" s="14" t="str">
        <x:v>Region B</x:v>
      </x:c>
      <x:c r="U735" s="28">
        <x:v>45489</x:v>
      </x:c>
      <x:c r="V735" s="30">
        <x:v>6</x:v>
      </x:c>
      <x:c r="W735" s="14" t="s">
        <x:v>109</x:v>
      </x:c>
      <x:c r="X735" s="14" t="s">
        <x:v>106</x:v>
      </x:c>
      <x:c r="Y735" s="32" t="str">
        <x:v>TRN-0734|20240710</x:v>
      </x:c>
      <x:c r="Z735" s="32" t="str" cm="1">
        <x:f t="array" ref="Z73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Complete</x:v>
      </x:c>
      <x:c r="AA735" s="33" t="n">
        <x:f>--OR(WorkforceData[[#This Row],[Status]]="Active",WorkforceData[[#This Row],[Promoted]]="Yes",WorkforceData[[#This Row],[Total Days Worked]]&gt;=121)</x:f>
        <x:v>1</x:v>
      </x:c>
      <x:c r="AB735" s="33" t="n">
        <x:f>IF(AND(Q735="Terminated",R735="",O735=0),1,0)</x:f>
        <x:v>0</x:v>
      </x:c>
      <x:c r="AC735" s="33" t="n">
        <x:f>--OR(WorkforceData[[#This Row],[Status]]="Resigned",WorkforceData[[#This Row],[Status After Training]]="Withdrew")</x:f>
        <x:v>1</x:v>
      </x:c>
      <x:c r="AD735" s="34" t="n">
        <x:f>EOMONTH(WorkforceData[[#This Row],[Training Date]],0)</x:f>
        <x:v>45504</x:v>
      </x:c>
      <x:c r="AE735" s="32" t="str">
        <x:f>IF(M735&lt;H735,"Existing Employee",IF(U735="","No Assignment",IF(V735=0,"0 Days",IF(V735&lt;=7,"1-7 Days",IF(V735&lt;=14,"8-14 Days",IF(V735&lt;=21,"15-21 Days","21+ Days"))))))</x:f>
        <x:v>1-7 Days</x:v>
      </x:c>
      <x:c r="AF73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35" s="33" t="n">
        <x:f>--(WorkforceData[[#This Row],[Total Days Worked]]&gt;=121)</x:f>
        <x:v>1</x:v>
      </x:c>
    </x:row>
    <x:row r="736">
      <x:c r="A736" s="236" t="str">
        <x:v>TRN-0735</x:v>
      </x:c>
      <x:c r="B736" s="243"/>
      <x:c r="C736" s="243"/>
      <x:c r="D736" s="243"/>
      <x:c r="E736" s="243"/>
      <x:c r="F736" s="14" t="str">
        <x:v>Recruiter B</x:v>
      </x:c>
      <x:c r="G736" s="14" t="str">
        <x:v>Training Center B</x:v>
      </x:c>
      <x:c r="H736" s="28">
        <x:v>45483</x:v>
      </x:c>
      <x:c r="I736" s="14">
        <x:v>2024</x:v>
      </x:c>
      <x:c r="J736" s="14" t="s">
        <x:v>133</x:v>
      </x:c>
      <x:c r="K736" s="14">
        <x:v>16</x:v>
      </x:c>
      <x:c r="L736" s="29" t="s">
        <x:v>119</x:v>
      </x:c>
      <x:c r="M736" s="28">
        <x:v>45478</x:v>
      </x:c>
      <x:c r="N736" s="14"/>
      <x:c r="O736" s="14">
        <x:v>773</x:v>
      </x:c>
      <x:c r="P736" s="14" t="s">
        <x:v>122</x:v>
      </x:c>
      <x:c r="Q736" s="14" t="s">
        <x:v>25</x:v>
      </x:c>
      <x:c r="R736" s="14"/>
      <x:c r="S736" s="14" t="s">
        <x:v>108</x:v>
      </x:c>
      <x:c r="T736" s="14" t="str">
        <x:v>Region D</x:v>
      </x:c>
      <x:c r="U736" s="28">
        <x:v>45494</x:v>
      </x:c>
      <x:c r="V736" s="30">
        <x:v>11</x:v>
      </x:c>
      <x:c r="W736" s="14" t="s">
        <x:v>45</x:v>
      </x:c>
      <x:c r="X736" s="14" t="s">
        <x:v>106</x:v>
      </x:c>
      <x:c r="Y736" s="32" t="str">
        <x:v>TRN-0735|20240710</x:v>
      </x:c>
      <x:c r="Z736" s="32" t="str" cm="1">
        <x:f t="array" ref="Z73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736" s="33" t="n">
        <x:f>--OR(WorkforceData[[#This Row],[Status]]="Active",WorkforceData[[#This Row],[Promoted]]="Yes",WorkforceData[[#This Row],[Total Days Worked]]&gt;=121)</x:f>
        <x:v>1</x:v>
      </x:c>
      <x:c r="AB736" s="33" t="n">
        <x:f>IF(AND(Q736="Terminated",R736="",O736=0),1,0)</x:f>
        <x:v>0</x:v>
      </x:c>
      <x:c r="AC736" s="33" t="n">
        <x:f>--OR(WorkforceData[[#This Row],[Status]]="Resigned",WorkforceData[[#This Row],[Status After Training]]="Withdrew")</x:f>
        <x:v>0</x:v>
      </x:c>
      <x:c r="AD736" s="34" t="n">
        <x:f>EOMONTH(WorkforceData[[#This Row],[Training Date]],0)</x:f>
        <x:v>45504</x:v>
      </x:c>
      <x:c r="AE736" s="32" t="str">
        <x:f>IF(M736&lt;H736,"Existing Employee",IF(U736="","No Assignment",IF(V736=0,"0 Days",IF(V736&lt;=7,"1-7 Days",IF(V736&lt;=14,"8-14 Days",IF(V736&lt;=21,"15-21 Days","21+ Days"))))))</x:f>
        <x:v>Existing Employee</x:v>
      </x:c>
      <x:c r="AF73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36" s="33" t="n">
        <x:f>--(WorkforceData[[#This Row],[Total Days Worked]]&gt;=121)</x:f>
        <x:v>1</x:v>
      </x:c>
    </x:row>
    <x:row r="737">
      <x:c r="A737" s="236" t="str">
        <x:v>TRN-0736</x:v>
      </x:c>
      <x:c r="B737" s="243"/>
      <x:c r="C737" s="243"/>
      <x:c r="D737" s="243"/>
      <x:c r="E737" s="243"/>
      <x:c r="F737" s="14" t="str">
        <x:v>Recruiter B</x:v>
      </x:c>
      <x:c r="G737" s="14" t="str">
        <x:v>Training Center B</x:v>
      </x:c>
      <x:c r="H737" s="28">
        <x:v>45483</x:v>
      </x:c>
      <x:c r="I737" s="14">
        <x:v>2024</x:v>
      </x:c>
      <x:c r="J737" s="14" t="s">
        <x:v>133</x:v>
      </x:c>
      <x:c r="K737" s="14">
        <x:v>16</x:v>
      </x:c>
      <x:c r="L737" s="29" t="s">
        <x:v>119</x:v>
      </x:c>
      <x:c r="M737" s="28">
        <x:v>45473</x:v>
      </x:c>
      <x:c r="N737" s="14"/>
      <x:c r="O737" s="14">
        <x:v>778</x:v>
      </x:c>
      <x:c r="P737" s="14" t="s">
        <x:v>122</x:v>
      </x:c>
      <x:c r="Q737" s="14" t="s">
        <x:v>38</x:v>
      </x:c>
      <x:c r="R737" s="14"/>
      <x:c r="S737" s="14" t="s">
        <x:v>108</x:v>
      </x:c>
      <x:c r="T737" s="14" t="str">
        <x:v>Region E</x:v>
      </x:c>
      <x:c r="U737" s="28">
        <x:v>45487</x:v>
      </x:c>
      <x:c r="V737" s="30">
        <x:v>4</x:v>
      </x:c>
      <x:c r="W737" s="14" t="s">
        <x:v>109</x:v>
      </x:c>
      <x:c r="X737" s="14" t="s">
        <x:v>106</x:v>
      </x:c>
      <x:c r="Y737" s="32" t="str">
        <x:v>TRN-0736|20240710</x:v>
      </x:c>
      <x:c r="Z737" s="32" t="str" cm="1">
        <x:f t="array" ref="Z73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737" s="33" t="n">
        <x:f>--OR(WorkforceData[[#This Row],[Status]]="Active",WorkforceData[[#This Row],[Promoted]]="Yes",WorkforceData[[#This Row],[Total Days Worked]]&gt;=121)</x:f>
        <x:v>1</x:v>
      </x:c>
      <x:c r="AB737" s="33" t="n">
        <x:f>IF(AND(Q737="Terminated",R737="",O737=0),1,0)</x:f>
        <x:v>0</x:v>
      </x:c>
      <x:c r="AC737" s="33" t="n">
        <x:f>--OR(WorkforceData[[#This Row],[Status]]="Resigned",WorkforceData[[#This Row],[Status After Training]]="Withdrew")</x:f>
        <x:v>0</x:v>
      </x:c>
      <x:c r="AD737" s="34" t="n">
        <x:f>EOMONTH(WorkforceData[[#This Row],[Training Date]],0)</x:f>
        <x:v>45504</x:v>
      </x:c>
      <x:c r="AE737" s="32" t="str">
        <x:f>IF(M737&lt;H737,"Existing Employee",IF(U737="","No Assignment",IF(V737=0,"0 Days",IF(V737&lt;=7,"1-7 Days",IF(V737&lt;=14,"8-14 Days",IF(V737&lt;=21,"15-21 Days","21+ Days"))))))</x:f>
        <x:v>Existing Employee</x:v>
      </x:c>
      <x:c r="AF73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37" s="33" t="n">
        <x:f>--(WorkforceData[[#This Row],[Total Days Worked]]&gt;=121)</x:f>
        <x:v>1</x:v>
      </x:c>
    </x:row>
    <x:row r="738">
      <x:c r="A738" s="236" t="str">
        <x:v>TRN-0737</x:v>
      </x:c>
      <x:c r="B738" s="243"/>
      <x:c r="C738" s="243"/>
      <x:c r="D738" s="243"/>
      <x:c r="E738" s="243"/>
      <x:c r="F738" s="14" t="str">
        <x:v>Recruiter C</x:v>
      </x:c>
      <x:c r="G738" s="14" t="str">
        <x:v>Training Center B</x:v>
      </x:c>
      <x:c r="H738" s="28">
        <x:v>45483</x:v>
      </x:c>
      <x:c r="I738" s="14">
        <x:v>2024</x:v>
      </x:c>
      <x:c r="J738" s="14" t="s">
        <x:v>133</x:v>
      </x:c>
      <x:c r="K738" s="14">
        <x:v>16</x:v>
      </x:c>
      <x:c r="L738" s="29" t="s">
        <x:v>119</x:v>
      </x:c>
      <x:c r="M738" s="28">
        <x:v>45480</x:v>
      </x:c>
      <x:c r="N738" s="14"/>
      <x:c r="O738" s="14">
        <x:v>771</x:v>
      </x:c>
      <x:c r="P738" s="14" t="s">
        <x:v>122</x:v>
      </x:c>
      <x:c r="Q738" s="14" t="s">
        <x:v>25</x:v>
      </x:c>
      <x:c r="R738" s="14"/>
      <x:c r="S738" s="14" t="s">
        <x:v>108</x:v>
      </x:c>
      <x:c r="T738" s="14" t="str">
        <x:v>Region B</x:v>
      </x:c>
      <x:c r="U738" s="28">
        <x:v>45502</x:v>
      </x:c>
      <x:c r="V738" s="30">
        <x:v>19</x:v>
      </x:c>
      <x:c r="W738" s="14" t="s">
        <x:v>112</x:v>
      </x:c>
      <x:c r="X738" s="14" t="s">
        <x:v>106</x:v>
      </x:c>
      <x:c r="Y738" s="32" t="str">
        <x:v>TRN-0737|20240710</x:v>
      </x:c>
      <x:c r="Z738" s="32" t="str" cm="1">
        <x:f t="array" ref="Z73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738" s="33" t="n">
        <x:f>--OR(WorkforceData[[#This Row],[Status]]="Active",WorkforceData[[#This Row],[Promoted]]="Yes",WorkforceData[[#This Row],[Total Days Worked]]&gt;=121)</x:f>
        <x:v>1</x:v>
      </x:c>
      <x:c r="AB738" s="33" t="n">
        <x:f>IF(AND(Q738="Terminated",R738="",O738=0),1,0)</x:f>
        <x:v>0</x:v>
      </x:c>
      <x:c r="AC738" s="33" t="n">
        <x:f>--OR(WorkforceData[[#This Row],[Status]]="Resigned",WorkforceData[[#This Row],[Status After Training]]="Withdrew")</x:f>
        <x:v>0</x:v>
      </x:c>
      <x:c r="AD738" s="34" t="n">
        <x:f>EOMONTH(WorkforceData[[#This Row],[Training Date]],0)</x:f>
        <x:v>45504</x:v>
      </x:c>
      <x:c r="AE738" s="32" t="str">
        <x:f>IF(M738&lt;H738,"Existing Employee",IF(U738="","No Assignment",IF(V738=0,"0 Days",IF(V738&lt;=7,"1-7 Days",IF(V738&lt;=14,"8-14 Days",IF(V738&lt;=21,"15-21 Days","21+ Days"))))))</x:f>
        <x:v>Existing Employee</x:v>
      </x:c>
      <x:c r="AF73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38" s="33" t="n">
        <x:f>--(WorkforceData[[#This Row],[Total Days Worked]]&gt;=121)</x:f>
        <x:v>1</x:v>
      </x:c>
    </x:row>
    <x:row r="739">
      <x:c r="A739" s="236" t="str">
        <x:v>TRN-0738</x:v>
      </x:c>
      <x:c r="B739" s="243"/>
      <x:c r="C739" s="243"/>
      <x:c r="D739" s="243"/>
      <x:c r="E739" s="243"/>
      <x:c r="F739" s="14" t="str">
        <x:v>Recruiter G</x:v>
      </x:c>
      <x:c r="G739" s="14" t="str">
        <x:v>Training Center B</x:v>
      </x:c>
      <x:c r="H739" s="28">
        <x:v>45483</x:v>
      </x:c>
      <x:c r="I739" s="14">
        <x:v>2024</x:v>
      </x:c>
      <x:c r="J739" s="14" t="s">
        <x:v>133</x:v>
      </x:c>
      <x:c r="K739" s="14">
        <x:v>16</x:v>
      </x:c>
      <x:c r="L739" s="29" t="s">
        <x:v>119</x:v>
      </x:c>
      <x:c r="M739" s="28">
        <x:v>45481</x:v>
      </x:c>
      <x:c r="N739" s="14"/>
      <x:c r="O739" s="14">
        <x:v>770</x:v>
      </x:c>
      <x:c r="P739" s="14" t="s">
        <x:v>122</x:v>
      </x:c>
      <x:c r="Q739" s="14" t="s">
        <x:v>38</x:v>
      </x:c>
      <x:c r="R739" s="14"/>
      <x:c r="S739" s="14" t="s">
        <x:v>105</x:v>
      </x:c>
      <x:c r="T739" s="14"/>
      <x:c r="U739" s="28"/>
      <x:c r="V739" s="30"/>
      <x:c r="W739" s="14"/>
      <x:c r="X739" s="14" t="s">
        <x:v>71</x:v>
      </x:c>
      <x:c r="Y739" s="32" t="str">
        <x:v>TRN-0738|20240710</x:v>
      </x:c>
      <x:c r="Z739" s="32" t="str" cm="1">
        <x:f t="array" ref="Z73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739" s="33" t="n">
        <x:f>--OR(WorkforceData[[#This Row],[Status]]="Active",WorkforceData[[#This Row],[Promoted]]="Yes",WorkforceData[[#This Row],[Total Days Worked]]&gt;=121)</x:f>
        <x:v>1</x:v>
      </x:c>
      <x:c r="AB739" s="33" t="n">
        <x:f>IF(AND(Q739="Terminated",R739="",O739=0),1,0)</x:f>
        <x:v>0</x:v>
      </x:c>
      <x:c r="AC739" s="33" t="n">
        <x:f>--OR(WorkforceData[[#This Row],[Status]]="Resigned",WorkforceData[[#This Row],[Status After Training]]="Withdrew")</x:f>
        <x:v>0</x:v>
      </x:c>
      <x:c r="AD739" s="34" t="n">
        <x:f>EOMONTH(WorkforceData[[#This Row],[Training Date]],0)</x:f>
        <x:v>45504</x:v>
      </x:c>
      <x:c r="AE739" s="32" t="str">
        <x:f>IF(M739&lt;H739,"Existing Employee",IF(U739="","No Assignment",IF(V739=0,"0 Days",IF(V739&lt;=7,"1-7 Days",IF(V739&lt;=14,"8-14 Days",IF(V739&lt;=21,"15-21 Days","21+ Days"))))))</x:f>
        <x:v>Existing Employee</x:v>
      </x:c>
      <x:c r="AF73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39" s="33" t="n">
        <x:f>--(WorkforceData[[#This Row],[Total Days Worked]]&gt;=121)</x:f>
        <x:v>1</x:v>
      </x:c>
    </x:row>
    <x:row r="740">
      <x:c r="A740" s="236" t="str">
        <x:v>TRN-0739</x:v>
      </x:c>
      <x:c r="B740" s="243"/>
      <x:c r="C740" s="243"/>
      <x:c r="D740" s="243"/>
      <x:c r="E740" s="243"/>
      <x:c r="F740" s="14" t="str">
        <x:v>Recruiter G</x:v>
      </x:c>
      <x:c r="G740" s="14" t="str">
        <x:v>Training Center B</x:v>
      </x:c>
      <x:c r="H740" s="28">
        <x:v>45483</x:v>
      </x:c>
      <x:c r="I740" s="14">
        <x:v>2024</x:v>
      </x:c>
      <x:c r="J740" s="14" t="s">
        <x:v>133</x:v>
      </x:c>
      <x:c r="K740" s="14">
        <x:v>16</x:v>
      </x:c>
      <x:c r="L740" s="29" t="s">
        <x:v>119</x:v>
      </x:c>
      <x:c r="M740" s="28">
        <x:v>45476</x:v>
      </x:c>
      <x:c r="N740" s="14"/>
      <x:c r="O740" s="14">
        <x:v>775</x:v>
      </x:c>
      <x:c r="P740" s="14" t="s">
        <x:v>122</x:v>
      </x:c>
      <x:c r="Q740" s="14" t="s">
        <x:v>38</x:v>
      </x:c>
      <x:c r="R740" s="14"/>
      <x:c r="S740" s="14" t="s">
        <x:v>108</x:v>
      </x:c>
      <x:c r="T740" s="14" t="str">
        <x:v>Region C</x:v>
      </x:c>
      <x:c r="U740" s="28">
        <x:v>45488</x:v>
      </x:c>
      <x:c r="V740" s="30">
        <x:v>5</x:v>
      </x:c>
      <x:c r="W740" s="14" t="s">
        <x:v>109</x:v>
      </x:c>
      <x:c r="X740" s="14" t="s">
        <x:v>106</x:v>
      </x:c>
      <x:c r="Y740" s="32" t="str">
        <x:v>TRN-0739|20240710</x:v>
      </x:c>
      <x:c r="Z740" s="32" t="str" cm="1">
        <x:f t="array" ref="Z74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740" s="33" t="n">
        <x:f>--OR(WorkforceData[[#This Row],[Status]]="Active",WorkforceData[[#This Row],[Promoted]]="Yes",WorkforceData[[#This Row],[Total Days Worked]]&gt;=121)</x:f>
        <x:v>1</x:v>
      </x:c>
      <x:c r="AB740" s="33" t="n">
        <x:f>IF(AND(Q740="Terminated",R740="",O740=0),1,0)</x:f>
        <x:v>0</x:v>
      </x:c>
      <x:c r="AC740" s="33" t="n">
        <x:f>--OR(WorkforceData[[#This Row],[Status]]="Resigned",WorkforceData[[#This Row],[Status After Training]]="Withdrew")</x:f>
        <x:v>0</x:v>
      </x:c>
      <x:c r="AD740" s="34" t="n">
        <x:f>EOMONTH(WorkforceData[[#This Row],[Training Date]],0)</x:f>
        <x:v>45504</x:v>
      </x:c>
      <x:c r="AE740" s="32" t="str">
        <x:f>IF(M740&lt;H740,"Existing Employee",IF(U740="","No Assignment",IF(V740=0,"0 Days",IF(V740&lt;=7,"1-7 Days",IF(V740&lt;=14,"8-14 Days",IF(V740&lt;=21,"15-21 Days","21+ Days"))))))</x:f>
        <x:v>Existing Employee</x:v>
      </x:c>
      <x:c r="AF74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40" s="33" t="n">
        <x:f>--(WorkforceData[[#This Row],[Total Days Worked]]&gt;=121)</x:f>
        <x:v>1</x:v>
      </x:c>
    </x:row>
    <x:row r="741">
      <x:c r="A741" s="236" t="str">
        <x:v>TRN-0740</x:v>
      </x:c>
      <x:c r="B741" s="243"/>
      <x:c r="C741" s="243"/>
      <x:c r="D741" s="243"/>
      <x:c r="E741" s="243"/>
      <x:c r="F741" s="14" t="str">
        <x:v>Recruiter E</x:v>
      </x:c>
      <x:c r="G741" s="14" t="str">
        <x:v>Training Center B</x:v>
      </x:c>
      <x:c r="H741" s="28">
        <x:v>45483</x:v>
      </x:c>
      <x:c r="I741" s="14">
        <x:v>2024</x:v>
      </x:c>
      <x:c r="J741" s="14" t="s">
        <x:v>133</x:v>
      </x:c>
      <x:c r="K741" s="14">
        <x:v>16</x:v>
      </x:c>
      <x:c r="L741" s="29" t="s">
        <x:v>119</x:v>
      </x:c>
      <x:c r="M741" s="28">
        <x:v>45483</x:v>
      </x:c>
      <x:c r="N741" s="28">
        <x:v>45484</x:v>
      </x:c>
      <x:c r="O741" s="14">
        <x:v>1</x:v>
      </x:c>
      <x:c r="P741" s="14" t="s">
        <x:v>102</x:v>
      </x:c>
      <x:c r="Q741" s="14" t="s">
        <x:v>103</x:v>
      </x:c>
      <x:c r="R741" s="14" t="s">
        <x:v>104</x:v>
      </x:c>
      <x:c r="S741" s="14" t="s">
        <x:v>105</x:v>
      </x:c>
      <x:c r="T741" s="14" t="str">
        <x:v>Region B</x:v>
      </x:c>
      <x:c r="U741" s="28">
        <x:v>45484</x:v>
      </x:c>
      <x:c r="V741" s="30">
        <x:v>1</x:v>
      </x:c>
      <x:c r="W741" s="14" t="s">
        <x:v>109</x:v>
      </x:c>
      <x:c r="X741" s="14" t="s">
        <x:v>115</x:v>
      </x:c>
      <x:c r="Y741" s="32" t="str">
        <x:v>TRN-0740|20240710</x:v>
      </x:c>
      <x:c r="Z741" s="32" t="str" cm="1">
        <x:f t="array" ref="Z74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741" s="33" t="n">
        <x:f>--OR(WorkforceData[[#This Row],[Status]]="Active",WorkforceData[[#This Row],[Promoted]]="Yes",WorkforceData[[#This Row],[Total Days Worked]]&gt;=121)</x:f>
        <x:v>0</x:v>
      </x:c>
      <x:c r="AB741" s="33" t="n">
        <x:f>IF(AND(Q741="Terminated",R741="",O741=0),1,0)</x:f>
        <x:v>0</x:v>
      </x:c>
      <x:c r="AC741" s="33" t="n">
        <x:f>--OR(WorkforceData[[#This Row],[Status]]="Resigned",WorkforceData[[#This Row],[Status After Training]]="Withdrew")</x:f>
        <x:v>1</x:v>
      </x:c>
      <x:c r="AD741" s="34" t="n">
        <x:f>EOMONTH(WorkforceData[[#This Row],[Training Date]],0)</x:f>
        <x:v>45504</x:v>
      </x:c>
      <x:c r="AE741" s="32" t="str">
        <x:f>IF(M741&lt;H741,"Existing Employee",IF(U741="","No Assignment",IF(V741=0,"0 Days",IF(V741&lt;=7,"1-7 Days",IF(V741&lt;=14,"8-14 Days",IF(V741&lt;=21,"15-21 Days","21+ Days"))))))</x:f>
        <x:v>1-7 Days</x:v>
      </x:c>
      <x:c r="AF74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1-7 Days</x:v>
      </x:c>
      <x:c r="AG741" s="33" t="n">
        <x:f>--(WorkforceData[[#This Row],[Total Days Worked]]&gt;=121)</x:f>
        <x:v>0</x:v>
      </x:c>
    </x:row>
    <x:row r="742">
      <x:c r="A742" s="236" t="str">
        <x:v>TRN-0741</x:v>
      </x:c>
      <x:c r="B742" s="243"/>
      <x:c r="C742" s="243"/>
      <x:c r="D742" s="243"/>
      <x:c r="E742" s="243"/>
      <x:c r="F742" s="14" t="str">
        <x:v>Recruiter H</x:v>
      </x:c>
      <x:c r="G742" s="14" t="str">
        <x:v>Training Center B</x:v>
      </x:c>
      <x:c r="H742" s="28">
        <x:v>45483</x:v>
      </x:c>
      <x:c r="I742" s="14">
        <x:v>2024</x:v>
      </x:c>
      <x:c r="J742" s="14" t="s">
        <x:v>133</x:v>
      </x:c>
      <x:c r="K742" s="14">
        <x:v>16</x:v>
      </x:c>
      <x:c r="L742" s="29" t="s">
        <x:v>119</x:v>
      </x:c>
      <x:c r="M742" s="28">
        <x:v>45483</x:v>
      </x:c>
      <x:c r="N742" s="14"/>
      <x:c r="O742" s="14">
        <x:v>768</x:v>
      </x:c>
      <x:c r="P742" s="14" t="s">
        <x:v>122</x:v>
      </x:c>
      <x:c r="Q742" s="14" t="s">
        <x:v>25</x:v>
      </x:c>
      <x:c r="R742" s="14"/>
      <x:c r="S742" s="14" t="s">
        <x:v>108</x:v>
      </x:c>
      <x:c r="T742" s="14" t="str">
        <x:v>Region D</x:v>
      </x:c>
      <x:c r="U742" s="28">
        <x:v>45489</x:v>
      </x:c>
      <x:c r="V742" s="30">
        <x:v>6</x:v>
      </x:c>
      <x:c r="W742" s="14" t="s">
        <x:v>109</x:v>
      </x:c>
      <x:c r="X742" s="14" t="s">
        <x:v>106</x:v>
      </x:c>
      <x:c r="Y742" s="32" t="str">
        <x:v>TRN-0741|20240710</x:v>
      </x:c>
      <x:c r="Z742" s="32" t="str" cm="1">
        <x:f t="array" ref="Z74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742" s="33" t="n">
        <x:f>--OR(WorkforceData[[#This Row],[Status]]="Active",WorkforceData[[#This Row],[Promoted]]="Yes",WorkforceData[[#This Row],[Total Days Worked]]&gt;=121)</x:f>
        <x:v>1</x:v>
      </x:c>
      <x:c r="AB742" s="33" t="n">
        <x:f>IF(AND(Q742="Terminated",R742="",O742=0),1,0)</x:f>
        <x:v>0</x:v>
      </x:c>
      <x:c r="AC742" s="33" t="n">
        <x:f>--OR(WorkforceData[[#This Row],[Status]]="Resigned",WorkforceData[[#This Row],[Status After Training]]="Withdrew")</x:f>
        <x:v>0</x:v>
      </x:c>
      <x:c r="AD742" s="34" t="n">
        <x:f>EOMONTH(WorkforceData[[#This Row],[Training Date]],0)</x:f>
        <x:v>45504</x:v>
      </x:c>
      <x:c r="AE742" s="32" t="str">
        <x:f>IF(M742&lt;H742,"Existing Employee",IF(U742="","No Assignment",IF(V742=0,"0 Days",IF(V742&lt;=7,"1-7 Days",IF(V742&lt;=14,"8-14 Days",IF(V742&lt;=21,"15-21 Days","21+ Days"))))))</x:f>
        <x:v>1-7 Days</x:v>
      </x:c>
      <x:c r="AF74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42" s="33" t="n">
        <x:f>--(WorkforceData[[#This Row],[Total Days Worked]]&gt;=121)</x:f>
        <x:v>1</x:v>
      </x:c>
    </x:row>
    <x:row r="743">
      <x:c r="A743" s="236" t="str">
        <x:v>TRN-0742</x:v>
      </x:c>
      <x:c r="B743" s="243"/>
      <x:c r="C743" s="243"/>
      <x:c r="D743" s="243"/>
      <x:c r="E743" s="243"/>
      <x:c r="F743" s="14" t="str">
        <x:v>Recruiter G</x:v>
      </x:c>
      <x:c r="G743" s="14" t="str">
        <x:v>Training Center B</x:v>
      </x:c>
      <x:c r="H743" s="28">
        <x:v>45483</x:v>
      </x:c>
      <x:c r="I743" s="14">
        <x:v>2024</x:v>
      </x:c>
      <x:c r="J743" s="14" t="s">
        <x:v>133</x:v>
      </x:c>
      <x:c r="K743" s="14">
        <x:v>16</x:v>
      </x:c>
      <x:c r="L743" s="29" t="s">
        <x:v>119</x:v>
      </x:c>
      <x:c r="M743" s="28">
        <x:v>45483</x:v>
      </x:c>
      <x:c r="N743" s="14"/>
      <x:c r="O743" s="14">
        <x:v>768</x:v>
      </x:c>
      <x:c r="P743" s="14" t="s">
        <x:v>122</x:v>
      </x:c>
      <x:c r="Q743" s="14" t="s">
        <x:v>25</x:v>
      </x:c>
      <x:c r="R743" s="14"/>
      <x:c r="S743" s="14" t="s">
        <x:v>108</x:v>
      </x:c>
      <x:c r="T743" s="14" t="str">
        <x:v>Region A</x:v>
      </x:c>
      <x:c r="U743" s="28">
        <x:v>45483</x:v>
      </x:c>
      <x:c r="V743" s="30">
        <x:v>0</x:v>
      </x:c>
      <x:c r="W743" s="14" t="s">
        <x:v>109</x:v>
      </x:c>
      <x:c r="X743" s="14" t="s">
        <x:v>106</x:v>
      </x:c>
      <x:c r="Y743" s="32" t="str">
        <x:v>TRN-0742|20240710</x:v>
      </x:c>
      <x:c r="Z743" s="32" t="str" cm="1">
        <x:f t="array" ref="Z74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743" s="33" t="n">
        <x:f>--OR(WorkforceData[[#This Row],[Status]]="Active",WorkforceData[[#This Row],[Promoted]]="Yes",WorkforceData[[#This Row],[Total Days Worked]]&gt;=121)</x:f>
        <x:v>1</x:v>
      </x:c>
      <x:c r="AB743" s="33" t="n">
        <x:f>IF(AND(Q743="Terminated",R743="",O743=0),1,0)</x:f>
        <x:v>0</x:v>
      </x:c>
      <x:c r="AC743" s="33" t="n">
        <x:f>--OR(WorkforceData[[#This Row],[Status]]="Resigned",WorkforceData[[#This Row],[Status After Training]]="Withdrew")</x:f>
        <x:v>0</x:v>
      </x:c>
      <x:c r="AD743" s="34" t="n">
        <x:f>EOMONTH(WorkforceData[[#This Row],[Training Date]],0)</x:f>
        <x:v>45504</x:v>
      </x:c>
      <x:c r="AE743" s="32" t="str">
        <x:f>IF(M743&lt;H743,"Existing Employee",IF(U743="","No Assignment",IF(V743=0,"0 Days",IF(V743&lt;=7,"1-7 Days",IF(V743&lt;=14,"8-14 Days",IF(V743&lt;=21,"15-21 Days","21+ Days"))))))</x:f>
        <x:v>0 Days</x:v>
      </x:c>
      <x:c r="AF74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43" s="33" t="n">
        <x:f>--(WorkforceData[[#This Row],[Total Days Worked]]&gt;=121)</x:f>
        <x:v>1</x:v>
      </x:c>
    </x:row>
    <x:row r="744">
      <x:c r="A744" s="236" t="str">
        <x:v>TRN-0743</x:v>
      </x:c>
      <x:c r="B744" s="243"/>
      <x:c r="C744" s="243"/>
      <x:c r="D744" s="243"/>
      <x:c r="E744" s="243"/>
      <x:c r="F744" s="14" t="str">
        <x:v>Recruiter H</x:v>
      </x:c>
      <x:c r="G744" s="14" t="str">
        <x:v>Training Center B</x:v>
      </x:c>
      <x:c r="H744" s="28">
        <x:v>45483</x:v>
      </x:c>
      <x:c r="I744" s="14">
        <x:v>2024</x:v>
      </x:c>
      <x:c r="J744" s="14" t="s">
        <x:v>133</x:v>
      </x:c>
      <x:c r="K744" s="14">
        <x:v>16</x:v>
      </x:c>
      <x:c r="L744" s="29" t="s">
        <x:v>119</x:v>
      </x:c>
      <x:c r="M744" s="28">
        <x:v>45483</x:v>
      </x:c>
      <x:c r="N744" s="28">
        <x:v>45533</x:v>
      </x:c>
      <x:c r="O744" s="14">
        <x:v>50</x:v>
      </x:c>
      <x:c r="P744" s="14" t="s">
        <x:v>110</x:v>
      </x:c>
      <x:c r="Q744" s="14" t="s">
        <x:v>103</x:v>
      </x:c>
      <x:c r="R744" s="14" t="s">
        <x:v>104</x:v>
      </x:c>
      <x:c r="S744" s="14" t="s">
        <x:v>105</x:v>
      </x:c>
      <x:c r="T744" s="14" t="str">
        <x:v>Region A</x:v>
      </x:c>
      <x:c r="U744" s="28">
        <x:v>45500</x:v>
      </x:c>
      <x:c r="V744" s="30">
        <x:v>17</x:v>
      </x:c>
      <x:c r="W744" s="14" t="s">
        <x:v>112</x:v>
      </x:c>
      <x:c r="X744" s="14" t="s">
        <x:v>106</x:v>
      </x:c>
      <x:c r="Y744" s="32" t="str">
        <x:v>TRN-0743|20240710</x:v>
      </x:c>
      <x:c r="Z744" s="32" t="str" cm="1">
        <x:f t="array" ref="Z74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744" s="33" t="n">
        <x:f>--OR(WorkforceData[[#This Row],[Status]]="Active",WorkforceData[[#This Row],[Promoted]]="Yes",WorkforceData[[#This Row],[Total Days Worked]]&gt;=121)</x:f>
        <x:v>0</x:v>
      </x:c>
      <x:c r="AB744" s="33" t="n">
        <x:f>IF(AND(Q744="Terminated",R744="",O744=0),1,0)</x:f>
        <x:v>0</x:v>
      </x:c>
      <x:c r="AC744" s="33" t="n">
        <x:f>--OR(WorkforceData[[#This Row],[Status]]="Resigned",WorkforceData[[#This Row],[Status After Training]]="Withdrew")</x:f>
        <x:v>1</x:v>
      </x:c>
      <x:c r="AD744" s="34" t="n">
        <x:f>EOMONTH(WorkforceData[[#This Row],[Training Date]],0)</x:f>
        <x:v>45504</x:v>
      </x:c>
      <x:c r="AE744" s="32" t="str">
        <x:f>IF(M744&lt;H744,"Existing Employee",IF(U744="","No Assignment",IF(V744=0,"0 Days",IF(V744&lt;=7,"1-7 Days",IF(V744&lt;=14,"8-14 Days",IF(V744&lt;=21,"15-21 Days","21+ Days"))))))</x:f>
        <x:v>15-21 Days</x:v>
      </x:c>
      <x:c r="AF74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744" s="33" t="n">
        <x:f>--(WorkforceData[[#This Row],[Total Days Worked]]&gt;=121)</x:f>
        <x:v>0</x:v>
      </x:c>
    </x:row>
    <x:row r="745">
      <x:c r="A745" s="236" t="str">
        <x:v>TRN-0744</x:v>
      </x:c>
      <x:c r="B745" s="243"/>
      <x:c r="C745" s="243"/>
      <x:c r="D745" s="243"/>
      <x:c r="E745" s="243"/>
      <x:c r="F745" s="14" t="str">
        <x:v>Recruiter F</x:v>
      </x:c>
      <x:c r="G745" s="14" t="str">
        <x:v>Training Center B</x:v>
      </x:c>
      <x:c r="H745" s="28">
        <x:v>45483</x:v>
      </x:c>
      <x:c r="I745" s="14">
        <x:v>2024</x:v>
      </x:c>
      <x:c r="J745" s="14" t="s">
        <x:v>133</x:v>
      </x:c>
      <x:c r="K745" s="14">
        <x:v>16</x:v>
      </x:c>
      <x:c r="L745" s="29" t="s">
        <x:v>119</x:v>
      </x:c>
      <x:c r="M745" s="28">
        <x:v>45482</x:v>
      </x:c>
      <x:c r="N745" s="14"/>
      <x:c r="O745" s="14">
        <x:v>769</x:v>
      </x:c>
      <x:c r="P745" s="14" t="s">
        <x:v>122</x:v>
      </x:c>
      <x:c r="Q745" s="14" t="s">
        <x:v>25</x:v>
      </x:c>
      <x:c r="R745" s="14"/>
      <x:c r="S745" s="14" t="s">
        <x:v>108</x:v>
      </x:c>
      <x:c r="T745" s="14" t="str">
        <x:v>Region A</x:v>
      </x:c>
      <x:c r="U745" s="28">
        <x:v>45493</x:v>
      </x:c>
      <x:c r="V745" s="30">
        <x:v>10</x:v>
      </x:c>
      <x:c r="W745" s="14" t="s">
        <x:v>45</x:v>
      </x:c>
      <x:c r="X745" s="14" t="s">
        <x:v>106</x:v>
      </x:c>
      <x:c r="Y745" s="32" t="str">
        <x:v>TRN-0744|20240710</x:v>
      </x:c>
      <x:c r="Z745" s="32" t="str" cm="1">
        <x:f t="array" ref="Z74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745" s="33" t="n">
        <x:f>--OR(WorkforceData[[#This Row],[Status]]="Active",WorkforceData[[#This Row],[Promoted]]="Yes",WorkforceData[[#This Row],[Total Days Worked]]&gt;=121)</x:f>
        <x:v>1</x:v>
      </x:c>
      <x:c r="AB745" s="33" t="n">
        <x:f>IF(AND(Q745="Terminated",R745="",O745=0),1,0)</x:f>
        <x:v>0</x:v>
      </x:c>
      <x:c r="AC745" s="33" t="n">
        <x:f>--OR(WorkforceData[[#This Row],[Status]]="Resigned",WorkforceData[[#This Row],[Status After Training]]="Withdrew")</x:f>
        <x:v>0</x:v>
      </x:c>
      <x:c r="AD745" s="34" t="n">
        <x:f>EOMONTH(WorkforceData[[#This Row],[Training Date]],0)</x:f>
        <x:v>45504</x:v>
      </x:c>
      <x:c r="AE745" s="32" t="str">
        <x:f>IF(M745&lt;H745,"Existing Employee",IF(U745="","No Assignment",IF(V745=0,"0 Days",IF(V745&lt;=7,"1-7 Days",IF(V745&lt;=14,"8-14 Days",IF(V745&lt;=21,"15-21 Days","21+ Days"))))))</x:f>
        <x:v>Existing Employee</x:v>
      </x:c>
      <x:c r="AF74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45" s="33" t="n">
        <x:f>--(WorkforceData[[#This Row],[Total Days Worked]]&gt;=121)</x:f>
        <x:v>1</x:v>
      </x:c>
    </x:row>
    <x:row r="746">
      <x:c r="A746" s="236" t="str">
        <x:v>TRN-0745</x:v>
      </x:c>
      <x:c r="B746" s="243"/>
      <x:c r="C746" s="243"/>
      <x:c r="D746" s="243"/>
      <x:c r="E746" s="243"/>
      <x:c r="F746" s="14" t="str">
        <x:v>Recruiter D</x:v>
      </x:c>
      <x:c r="G746" s="14" t="str">
        <x:v>Training Center B</x:v>
      </x:c>
      <x:c r="H746" s="28">
        <x:v>45483</x:v>
      </x:c>
      <x:c r="I746" s="14">
        <x:v>2024</x:v>
      </x:c>
      <x:c r="J746" s="14" t="s">
        <x:v>133</x:v>
      </x:c>
      <x:c r="K746" s="14">
        <x:v>16</x:v>
      </x:c>
      <x:c r="L746" s="29" t="s">
        <x:v>119</x:v>
      </x:c>
      <x:c r="M746" s="28">
        <x:v>45481</x:v>
      </x:c>
      <x:c r="N746" s="28">
        <x:v>45660</x:v>
      </x:c>
      <x:c r="O746" s="14">
        <x:v>179</x:v>
      </x:c>
      <x:c r="P746" s="14" t="s">
        <x:v>113</x:v>
      </x:c>
      <x:c r="Q746" s="14" t="s">
        <x:v>33</x:v>
      </x:c>
      <x:c r="R746" s="14" t="s">
        <x:v>116</x:v>
      </x:c>
      <x:c r="S746" s="14" t="s">
        <x:v>105</x:v>
      </x:c>
      <x:c r="T746" s="14" t="str">
        <x:v>Region A</x:v>
      </x:c>
      <x:c r="U746" s="28">
        <x:v>45494</x:v>
      </x:c>
      <x:c r="V746" s="30">
        <x:v>11</x:v>
      </x:c>
      <x:c r="W746" s="14" t="s">
        <x:v>45</x:v>
      </x:c>
      <x:c r="X746" s="14" t="s">
        <x:v>125</x:v>
      </x:c>
      <x:c r="Y746" s="32" t="str">
        <x:v>TRN-0745|20240710</x:v>
      </x:c>
      <x:c r="Z746" s="32" t="str" cm="1">
        <x:f t="array" ref="Z74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Complete</x:v>
      </x:c>
      <x:c r="AA746" s="33" t="n">
        <x:f>--OR(WorkforceData[[#This Row],[Status]]="Active",WorkforceData[[#This Row],[Promoted]]="Yes",WorkforceData[[#This Row],[Total Days Worked]]&gt;=121)</x:f>
        <x:v>1</x:v>
      </x:c>
      <x:c r="AB746" s="33" t="n">
        <x:f>IF(AND(Q746="Terminated",R746="",O746=0),1,0)</x:f>
        <x:v>0</x:v>
      </x:c>
      <x:c r="AC746" s="33" t="n">
        <x:f>--OR(WorkforceData[[#This Row],[Status]]="Resigned",WorkforceData[[#This Row],[Status After Training]]="Withdrew")</x:f>
        <x:v>0</x:v>
      </x:c>
      <x:c r="AD746" s="34" t="n">
        <x:f>EOMONTH(WorkforceData[[#This Row],[Training Date]],0)</x:f>
        <x:v>45504</x:v>
      </x:c>
      <x:c r="AE746" s="32" t="str">
        <x:f>IF(M746&lt;H746,"Existing Employee",IF(U746="","No Assignment",IF(V746=0,"0 Days",IF(V746&lt;=7,"1-7 Days",IF(V746&lt;=14,"8-14 Days",IF(V746&lt;=21,"15-21 Days","21+ Days"))))))</x:f>
        <x:v>Existing Employee</x:v>
      </x:c>
      <x:c r="AF74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46" s="33" t="n">
        <x:f>--(WorkforceData[[#This Row],[Total Days Worked]]&gt;=121)</x:f>
        <x:v>1</x:v>
      </x:c>
    </x:row>
    <x:row r="747">
      <x:c r="A747" s="236" t="str">
        <x:v>TRN-0746</x:v>
      </x:c>
      <x:c r="B747" s="243"/>
      <x:c r="C747" s="243"/>
      <x:c r="D747" s="243"/>
      <x:c r="E747" s="243"/>
      <x:c r="F747" s="14" t="str">
        <x:v>Recruiter G</x:v>
      </x:c>
      <x:c r="G747" s="14" t="str">
        <x:v>Training Center B</x:v>
      </x:c>
      <x:c r="H747" s="28">
        <x:v>45483</x:v>
      </x:c>
      <x:c r="I747" s="14">
        <x:v>2024</x:v>
      </x:c>
      <x:c r="J747" s="14" t="s">
        <x:v>133</x:v>
      </x:c>
      <x:c r="K747" s="14">
        <x:v>16</x:v>
      </x:c>
      <x:c r="L747" s="29" t="s">
        <x:v>119</x:v>
      </x:c>
      <x:c r="M747" s="28">
        <x:v>45480</x:v>
      </x:c>
      <x:c r="N747" s="28">
        <x:v>45500</x:v>
      </x:c>
      <x:c r="O747" s="14">
        <x:v>20</x:v>
      </x:c>
      <x:c r="P747" s="14" t="s">
        <x:v>102</x:v>
      </x:c>
      <x:c r="Q747" s="14" t="s">
        <x:v>103</x:v>
      </x:c>
      <x:c r="R747" s="14" t="s">
        <x:v>111</x:v>
      </x:c>
      <x:c r="S747" s="14" t="s">
        <x:v>105</x:v>
      </x:c>
      <x:c r="T747" s="14"/>
      <x:c r="U747" s="28"/>
      <x:c r="V747" s="30"/>
      <x:c r="W747" s="14"/>
      <x:c r="X747" s="14" t="s">
        <x:v>71</x:v>
      </x:c>
      <x:c r="Y747" s="32" t="str">
        <x:v>TRN-0746|20240710</x:v>
      </x:c>
      <x:c r="Z747" s="32" t="str" cm="1">
        <x:f t="array" ref="Z74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747" s="33" t="n">
        <x:f>--OR(WorkforceData[[#This Row],[Status]]="Active",WorkforceData[[#This Row],[Promoted]]="Yes",WorkforceData[[#This Row],[Total Days Worked]]&gt;=121)</x:f>
        <x:v>0</x:v>
      </x:c>
      <x:c r="AB747" s="33" t="n">
        <x:f>IF(AND(Q747="Terminated",R747="",O747=0),1,0)</x:f>
        <x:v>0</x:v>
      </x:c>
      <x:c r="AC747" s="33" t="n">
        <x:f>--OR(WorkforceData[[#This Row],[Status]]="Resigned",WorkforceData[[#This Row],[Status After Training]]="Withdrew")</x:f>
        <x:v>1</x:v>
      </x:c>
      <x:c r="AD747" s="34" t="n">
        <x:f>EOMONTH(WorkforceData[[#This Row],[Training Date]],0)</x:f>
        <x:v>45504</x:v>
      </x:c>
      <x:c r="AE747" s="32" t="str">
        <x:f>IF(M747&lt;H747,"Existing Employee",IF(U747="","No Assignment",IF(V747=0,"0 Days",IF(V747&lt;=7,"1-7 Days",IF(V747&lt;=14,"8-14 Days",IF(V747&lt;=21,"15-21 Days","21+ Days"))))))</x:f>
        <x:v>Existing Employee</x:v>
      </x:c>
      <x:c r="AF74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747" s="33" t="n">
        <x:f>--(WorkforceData[[#This Row],[Total Days Worked]]&gt;=121)</x:f>
        <x:v>0</x:v>
      </x:c>
    </x:row>
    <x:row r="748">
      <x:c r="A748" s="236" t="str">
        <x:v>TRN-0747</x:v>
      </x:c>
      <x:c r="B748" s="243"/>
      <x:c r="C748" s="243"/>
      <x:c r="D748" s="243"/>
      <x:c r="E748" s="243"/>
      <x:c r="F748" s="14" t="str">
        <x:v>Recruiter B</x:v>
      </x:c>
      <x:c r="G748" s="14" t="str">
        <x:v>Training Center B</x:v>
      </x:c>
      <x:c r="H748" s="28">
        <x:v>45483</x:v>
      </x:c>
      <x:c r="I748" s="14">
        <x:v>2024</x:v>
      </x:c>
      <x:c r="J748" s="14" t="s">
        <x:v>133</x:v>
      </x:c>
      <x:c r="K748" s="14">
        <x:v>16</x:v>
      </x:c>
      <x:c r="L748" s="29" t="s">
        <x:v>119</x:v>
      </x:c>
      <x:c r="M748" s="28">
        <x:v>45476</x:v>
      </x:c>
      <x:c r="N748" s="28">
        <x:v>45655</x:v>
      </x:c>
      <x:c r="O748" s="14">
        <x:v>179</x:v>
      </x:c>
      <x:c r="P748" s="14" t="s">
        <x:v>113</x:v>
      </x:c>
      <x:c r="Q748" s="14" t="s">
        <x:v>103</x:v>
      </x:c>
      <x:c r="R748" s="14" t="s">
        <x:v>104</x:v>
      </x:c>
      <x:c r="S748" s="14" t="s">
        <x:v>105</x:v>
      </x:c>
      <x:c r="T748" s="14"/>
      <x:c r="U748" s="28"/>
      <x:c r="V748" s="30"/>
      <x:c r="W748" s="14"/>
      <x:c r="X748" s="14" t="s">
        <x:v>71</x:v>
      </x:c>
      <x:c r="Y748" s="32" t="str">
        <x:v>TRN-0747|20240710</x:v>
      </x:c>
      <x:c r="Z748" s="32" t="str" cm="1">
        <x:f t="array" ref="Z74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Complete</x:v>
      </x:c>
      <x:c r="AA748" s="33" t="n">
        <x:f>--OR(WorkforceData[[#This Row],[Status]]="Active",WorkforceData[[#This Row],[Promoted]]="Yes",WorkforceData[[#This Row],[Total Days Worked]]&gt;=121)</x:f>
        <x:v>1</x:v>
      </x:c>
      <x:c r="AB748" s="33" t="n">
        <x:f>IF(AND(Q748="Terminated",R748="",O748=0),1,0)</x:f>
        <x:v>0</x:v>
      </x:c>
      <x:c r="AC748" s="33" t="n">
        <x:f>--OR(WorkforceData[[#This Row],[Status]]="Resigned",WorkforceData[[#This Row],[Status After Training]]="Withdrew")</x:f>
        <x:v>1</x:v>
      </x:c>
      <x:c r="AD748" s="34" t="n">
        <x:f>EOMONTH(WorkforceData[[#This Row],[Training Date]],0)</x:f>
        <x:v>45504</x:v>
      </x:c>
      <x:c r="AE748" s="32" t="str">
        <x:f>IF(M748&lt;H748,"Existing Employee",IF(U748="","No Assignment",IF(V748=0,"0 Days",IF(V748&lt;=7,"1-7 Days",IF(V748&lt;=14,"8-14 Days",IF(V748&lt;=21,"15-21 Days","21+ Days"))))))</x:f>
        <x:v>Existing Employee</x:v>
      </x:c>
      <x:c r="AF74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48" s="33" t="n">
        <x:f>--(WorkforceData[[#This Row],[Total Days Worked]]&gt;=121)</x:f>
        <x:v>1</x:v>
      </x:c>
    </x:row>
    <x:row r="749">
      <x:c r="A749" s="236" t="str">
        <x:v>TRN-0748</x:v>
      </x:c>
      <x:c r="B749" s="243"/>
      <x:c r="C749" s="243"/>
      <x:c r="D749" s="243"/>
      <x:c r="E749" s="243"/>
      <x:c r="F749" s="14" t="str">
        <x:v>Recruiter G</x:v>
      </x:c>
      <x:c r="G749" s="14" t="str">
        <x:v>Training Center B</x:v>
      </x:c>
      <x:c r="H749" s="28">
        <x:v>45483</x:v>
      </x:c>
      <x:c r="I749" s="14">
        <x:v>2024</x:v>
      </x:c>
      <x:c r="J749" s="14" t="s">
        <x:v>133</x:v>
      </x:c>
      <x:c r="K749" s="14">
        <x:v>16</x:v>
      </x:c>
      <x:c r="L749" s="29" t="s">
        <x:v>119</x:v>
      </x:c>
      <x:c r="M749" s="28">
        <x:v>45483</x:v>
      </x:c>
      <x:c r="N749" s="14"/>
      <x:c r="O749" s="14">
        <x:v>768</x:v>
      </x:c>
      <x:c r="P749" s="14" t="s">
        <x:v>122</x:v>
      </x:c>
      <x:c r="Q749" s="14" t="s">
        <x:v>25</x:v>
      </x:c>
      <x:c r="R749" s="14"/>
      <x:c r="S749" s="14" t="s">
        <x:v>108</x:v>
      </x:c>
      <x:c r="T749" s="14" t="str">
        <x:v>Region D</x:v>
      </x:c>
      <x:c r="U749" s="28">
        <x:v>45487</x:v>
      </x:c>
      <x:c r="V749" s="30">
        <x:v>4</x:v>
      </x:c>
      <x:c r="W749" s="14" t="s">
        <x:v>109</x:v>
      </x:c>
      <x:c r="X749" s="14" t="s">
        <x:v>106</x:v>
      </x:c>
      <x:c r="Y749" s="32" t="str">
        <x:v>TRN-0748|20240710</x:v>
      </x:c>
      <x:c r="Z749" s="32" t="str" cm="1">
        <x:f t="array" ref="Z74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749" s="33" t="n">
        <x:f>--OR(WorkforceData[[#This Row],[Status]]="Active",WorkforceData[[#This Row],[Promoted]]="Yes",WorkforceData[[#This Row],[Total Days Worked]]&gt;=121)</x:f>
        <x:v>1</x:v>
      </x:c>
      <x:c r="AB749" s="33" t="n">
        <x:f>IF(AND(Q749="Terminated",R749="",O749=0),1,0)</x:f>
        <x:v>0</x:v>
      </x:c>
      <x:c r="AC749" s="33" t="n">
        <x:f>--OR(WorkforceData[[#This Row],[Status]]="Resigned",WorkforceData[[#This Row],[Status After Training]]="Withdrew")</x:f>
        <x:v>0</x:v>
      </x:c>
      <x:c r="AD749" s="34" t="n">
        <x:f>EOMONTH(WorkforceData[[#This Row],[Training Date]],0)</x:f>
        <x:v>45504</x:v>
      </x:c>
      <x:c r="AE749" s="32" t="str">
        <x:f>IF(M749&lt;H749,"Existing Employee",IF(U749="","No Assignment",IF(V749=0,"0 Days",IF(V749&lt;=7,"1-7 Days",IF(V749&lt;=14,"8-14 Days",IF(V749&lt;=21,"15-21 Days","21+ Days"))))))</x:f>
        <x:v>1-7 Days</x:v>
      </x:c>
      <x:c r="AF74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49" s="33" t="n">
        <x:f>--(WorkforceData[[#This Row],[Total Days Worked]]&gt;=121)</x:f>
        <x:v>1</x:v>
      </x:c>
    </x:row>
    <x:row r="750">
      <x:c r="A750" s="236" t="str">
        <x:v>TRN-0749</x:v>
      </x:c>
      <x:c r="B750" s="243"/>
      <x:c r="C750" s="243"/>
      <x:c r="D750" s="243"/>
      <x:c r="E750" s="243"/>
      <x:c r="F750" s="14" t="str">
        <x:v>Recruiter F</x:v>
      </x:c>
      <x:c r="G750" s="14" t="str">
        <x:v>Training Center B</x:v>
      </x:c>
      <x:c r="H750" s="28">
        <x:v>45483</x:v>
      </x:c>
      <x:c r="I750" s="14">
        <x:v>2024</x:v>
      </x:c>
      <x:c r="J750" s="14" t="s">
        <x:v>133</x:v>
      </x:c>
      <x:c r="K750" s="14">
        <x:v>16</x:v>
      </x:c>
      <x:c r="L750" s="29" t="s">
        <x:v>119</x:v>
      </x:c>
      <x:c r="M750" s="28">
        <x:v>45482</x:v>
      </x:c>
      <x:c r="N750" s="28">
        <x:v>45539</x:v>
      </x:c>
      <x:c r="O750" s="14">
        <x:v>57</x:v>
      </x:c>
      <x:c r="P750" s="14" t="s">
        <x:v>110</x:v>
      </x:c>
      <x:c r="Q750" s="14" t="s">
        <x:v>103</x:v>
      </x:c>
      <x:c r="R750" s="14" t="s">
        <x:v>111</x:v>
      </x:c>
      <x:c r="S750" s="14" t="s">
        <x:v>105</x:v>
      </x:c>
      <x:c r="T750" s="14" t="str">
        <x:v>Region A</x:v>
      </x:c>
      <x:c r="U750" s="28">
        <x:v>45539</x:v>
      </x:c>
      <x:c r="V750" s="30">
        <x:v>56</x:v>
      </x:c>
      <x:c r="W750" s="14" t="s">
        <x:v>63</x:v>
      </x:c>
      <x:c r="X750" s="14" t="s">
        <x:v>115</x:v>
      </x:c>
      <x:c r="Y750" s="32" t="str">
        <x:v>TRN-0749|20240710</x:v>
      </x:c>
      <x:c r="Z750" s="32" t="str" cm="1">
        <x:f t="array" ref="Z75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750" s="33" t="n">
        <x:f>--OR(WorkforceData[[#This Row],[Status]]="Active",WorkforceData[[#This Row],[Promoted]]="Yes",WorkforceData[[#This Row],[Total Days Worked]]&gt;=121)</x:f>
        <x:v>0</x:v>
      </x:c>
      <x:c r="AB750" s="33" t="n">
        <x:f>IF(AND(Q750="Terminated",R750="",O750=0),1,0)</x:f>
        <x:v>0</x:v>
      </x:c>
      <x:c r="AC750" s="33" t="n">
        <x:f>--OR(WorkforceData[[#This Row],[Status]]="Resigned",WorkforceData[[#This Row],[Status After Training]]="Withdrew")</x:f>
        <x:v>1</x:v>
      </x:c>
      <x:c r="AD750" s="34" t="n">
        <x:f>EOMONTH(WorkforceData[[#This Row],[Training Date]],0)</x:f>
        <x:v>45504</x:v>
      </x:c>
      <x:c r="AE750" s="32" t="str">
        <x:f>IF(M750&lt;H750,"Existing Employee",IF(U750="","No Assignment",IF(V750=0,"0 Days",IF(V750&lt;=7,"1-7 Days",IF(V750&lt;=14,"8-14 Days",IF(V750&lt;=21,"15-21 Days","21+ Days"))))))</x:f>
        <x:v>Existing Employee</x:v>
      </x:c>
      <x:c r="AF75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750" s="33" t="n">
        <x:f>--(WorkforceData[[#This Row],[Total Days Worked]]&gt;=121)</x:f>
        <x:v>0</x:v>
      </x:c>
    </x:row>
    <x:row r="751">
      <x:c r="A751" s="236" t="str">
        <x:v>TRN-0750</x:v>
      </x:c>
      <x:c r="B751" s="243"/>
      <x:c r="C751" s="243"/>
      <x:c r="D751" s="243"/>
      <x:c r="E751" s="243"/>
      <x:c r="F751" s="14" t="str">
        <x:v>Recruiter B</x:v>
      </x:c>
      <x:c r="G751" s="14" t="str">
        <x:v>Training Center A</x:v>
      </x:c>
      <x:c r="H751" s="28">
        <x:v>45505</x:v>
      </x:c>
      <x:c r="I751" s="14">
        <x:v>2024</x:v>
      </x:c>
      <x:c r="J751" s="14" t="s">
        <x:v>135</x:v>
      </x:c>
      <x:c r="K751" s="14">
        <x:v>18</x:v>
      </x:c>
      <x:c r="L751" s="29" t="s">
        <x:v>119</x:v>
      </x:c>
      <x:c r="M751" s="28">
        <x:v>45500</x:v>
      </x:c>
      <x:c r="N751" s="14"/>
      <x:c r="O751" s="14">
        <x:v>751</x:v>
      </x:c>
      <x:c r="P751" s="14" t="s">
        <x:v>122</x:v>
      </x:c>
      <x:c r="Q751" s="14" t="s">
        <x:v>25</x:v>
      </x:c>
      <x:c r="R751" s="14"/>
      <x:c r="S751" s="14" t="s">
        <x:v>108</x:v>
      </x:c>
      <x:c r="T751" s="14" t="str">
        <x:v>Region D</x:v>
      </x:c>
      <x:c r="U751" s="28">
        <x:v>45512</x:v>
      </x:c>
      <x:c r="V751" s="30">
        <x:v>7</x:v>
      </x:c>
      <x:c r="W751" s="14" t="s">
        <x:v>109</x:v>
      </x:c>
      <x:c r="X751" s="14" t="s">
        <x:v>106</x:v>
      </x:c>
      <x:c r="Y751" s="32" t="str">
        <x:v>TRN-0750|20240801</x:v>
      </x:c>
      <x:c r="Z751" s="32" t="str" cm="1">
        <x:f t="array" ref="Z75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751" s="33" t="n">
        <x:f>--OR(WorkforceData[[#This Row],[Status]]="Active",WorkforceData[[#This Row],[Promoted]]="Yes",WorkforceData[[#This Row],[Total Days Worked]]&gt;=121)</x:f>
        <x:v>1</x:v>
      </x:c>
      <x:c r="AB751" s="33" t="n">
        <x:f>IF(AND(Q751="Terminated",R751="",O751=0),1,0)</x:f>
        <x:v>0</x:v>
      </x:c>
      <x:c r="AC751" s="33" t="n">
        <x:f>--OR(WorkforceData[[#This Row],[Status]]="Resigned",WorkforceData[[#This Row],[Status After Training]]="Withdrew")</x:f>
        <x:v>0</x:v>
      </x:c>
      <x:c r="AD751" s="34" t="n">
        <x:f>EOMONTH(WorkforceData[[#This Row],[Training Date]],0)</x:f>
        <x:v>45535</x:v>
      </x:c>
      <x:c r="AE751" s="32" t="str">
        <x:f>IF(M751&lt;H751,"Existing Employee",IF(U751="","No Assignment",IF(V751=0,"0 Days",IF(V751&lt;=7,"1-7 Days",IF(V751&lt;=14,"8-14 Days",IF(V751&lt;=21,"15-21 Days","21+ Days"))))))</x:f>
        <x:v>Existing Employee</x:v>
      </x:c>
      <x:c r="AF75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51" s="33" t="n">
        <x:f>--(WorkforceData[[#This Row],[Total Days Worked]]&gt;=121)</x:f>
        <x:v>1</x:v>
      </x:c>
    </x:row>
    <x:row r="752">
      <x:c r="A752" s="236" t="str">
        <x:v>TRN-0751</x:v>
      </x:c>
      <x:c r="B752" s="243"/>
      <x:c r="C752" s="243"/>
      <x:c r="D752" s="243"/>
      <x:c r="E752" s="243"/>
      <x:c r="F752" s="14" t="str">
        <x:v>Recruiter C</x:v>
      </x:c>
      <x:c r="G752" s="14" t="str">
        <x:v>Training Center A</x:v>
      </x:c>
      <x:c r="H752" s="28">
        <x:v>45505</x:v>
      </x:c>
      <x:c r="I752" s="14">
        <x:v>2024</x:v>
      </x:c>
      <x:c r="J752" s="14" t="s">
        <x:v>135</x:v>
      </x:c>
      <x:c r="K752" s="14">
        <x:v>18</x:v>
      </x:c>
      <x:c r="L752" s="29" t="s">
        <x:v>119</x:v>
      </x:c>
      <x:c r="M752" s="28">
        <x:v>45505</x:v>
      </x:c>
      <x:c r="N752" s="28">
        <x:v>45511</x:v>
      </x:c>
      <x:c r="O752" s="14">
        <x:v>6</x:v>
      </x:c>
      <x:c r="P752" s="14" t="s">
        <x:v>102</x:v>
      </x:c>
      <x:c r="Q752" s="14" t="s">
        <x:v>103</x:v>
      </x:c>
      <x:c r="R752" s="14" t="s">
        <x:v>104</x:v>
      </x:c>
      <x:c r="S752" s="14" t="s">
        <x:v>105</x:v>
      </x:c>
      <x:c r="T752" s="14" t="str">
        <x:v>Region E</x:v>
      </x:c>
      <x:c r="U752" s="28">
        <x:v>45505</x:v>
      </x:c>
      <x:c r="V752" s="30">
        <x:v>0</x:v>
      </x:c>
      <x:c r="W752" s="14" t="s">
        <x:v>109</x:v>
      </x:c>
      <x:c r="X752" s="14" t="s">
        <x:v>125</x:v>
      </x:c>
      <x:c r="Y752" s="32" t="str">
        <x:v>TRN-0751|20240801</x:v>
      </x:c>
      <x:c r="Z752" s="32" t="str" cm="1">
        <x:f t="array" ref="Z75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752" s="33" t="n">
        <x:f>--OR(WorkforceData[[#This Row],[Status]]="Active",WorkforceData[[#This Row],[Promoted]]="Yes",WorkforceData[[#This Row],[Total Days Worked]]&gt;=121)</x:f>
        <x:v>0</x:v>
      </x:c>
      <x:c r="AB752" s="33" t="n">
        <x:f>IF(AND(Q752="Terminated",R752="",O752=0),1,0)</x:f>
        <x:v>0</x:v>
      </x:c>
      <x:c r="AC752" s="33" t="n">
        <x:f>--OR(WorkforceData[[#This Row],[Status]]="Resigned",WorkforceData[[#This Row],[Status After Training]]="Withdrew")</x:f>
        <x:v>1</x:v>
      </x:c>
      <x:c r="AD752" s="34" t="n">
        <x:f>EOMONTH(WorkforceData[[#This Row],[Training Date]],0)</x:f>
        <x:v>45535</x:v>
      </x:c>
      <x:c r="AE752" s="32" t="str">
        <x:f>IF(M752&lt;H752,"Existing Employee",IF(U752="","No Assignment",IF(V752=0,"0 Days",IF(V752&lt;=7,"1-7 Days",IF(V752&lt;=14,"8-14 Days",IF(V752&lt;=21,"15-21 Days","21+ Days"))))))</x:f>
        <x:v>0 Days</x:v>
      </x:c>
      <x:c r="AF75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1-7 Days</x:v>
      </x:c>
      <x:c r="AG752" s="33" t="n">
        <x:f>--(WorkforceData[[#This Row],[Total Days Worked]]&gt;=121)</x:f>
        <x:v>0</x:v>
      </x:c>
    </x:row>
    <x:row r="753">
      <x:c r="A753" s="236" t="str">
        <x:v>TRN-0752</x:v>
      </x:c>
      <x:c r="B753" s="243"/>
      <x:c r="C753" s="243"/>
      <x:c r="D753" s="243"/>
      <x:c r="E753" s="243"/>
      <x:c r="F753" s="14" t="str">
        <x:v>Recruiter G</x:v>
      </x:c>
      <x:c r="G753" s="14" t="str">
        <x:v>Training Center A</x:v>
      </x:c>
      <x:c r="H753" s="28">
        <x:v>45505</x:v>
      </x:c>
      <x:c r="I753" s="14">
        <x:v>2024</x:v>
      </x:c>
      <x:c r="J753" s="14" t="s">
        <x:v>135</x:v>
      </x:c>
      <x:c r="K753" s="14">
        <x:v>18</x:v>
      </x:c>
      <x:c r="L753" s="29" t="s">
        <x:v>119</x:v>
      </x:c>
      <x:c r="M753" s="28">
        <x:v>45498</x:v>
      </x:c>
      <x:c r="N753" s="28">
        <x:v>45589</x:v>
      </x:c>
      <x:c r="O753" s="14">
        <x:v>91</x:v>
      </x:c>
      <x:c r="P753" s="14" t="s">
        <x:v>113</x:v>
      </x:c>
      <x:c r="Q753" s="14" t="s">
        <x:v>103</x:v>
      </x:c>
      <x:c r="R753" s="14" t="s">
        <x:v>111</x:v>
      </x:c>
      <x:c r="S753" s="14" t="s">
        <x:v>105</x:v>
      </x:c>
      <x:c r="T753" s="14" t="str">
        <x:v>Region A</x:v>
      </x:c>
      <x:c r="U753" s="28">
        <x:v>45533</x:v>
      </x:c>
      <x:c r="V753" s="30">
        <x:v>28</x:v>
      </x:c>
      <x:c r="W753" s="14" t="s">
        <x:v>112</x:v>
      </x:c>
      <x:c r="X753" s="14" t="s">
        <x:v>106</x:v>
      </x:c>
      <x:c r="Y753" s="32" t="str">
        <x:v>TRN-0752|20240801</x:v>
      </x:c>
      <x:c r="Z753" s="32" t="str" cm="1">
        <x:f t="array" ref="Z75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753" s="33" t="n">
        <x:f>--OR(WorkforceData[[#This Row],[Status]]="Active",WorkforceData[[#This Row],[Promoted]]="Yes",WorkforceData[[#This Row],[Total Days Worked]]&gt;=121)</x:f>
        <x:v>0</x:v>
      </x:c>
      <x:c r="AB753" s="33" t="n">
        <x:f>IF(AND(Q753="Terminated",R753="",O753=0),1,0)</x:f>
        <x:v>0</x:v>
      </x:c>
      <x:c r="AC753" s="33" t="n">
        <x:f>--OR(WorkforceData[[#This Row],[Status]]="Resigned",WorkforceData[[#This Row],[Status After Training]]="Withdrew")</x:f>
        <x:v>1</x:v>
      </x:c>
      <x:c r="AD753" s="34" t="n">
        <x:f>EOMONTH(WorkforceData[[#This Row],[Training Date]],0)</x:f>
        <x:v>45535</x:v>
      </x:c>
      <x:c r="AE753" s="32" t="str">
        <x:f>IF(M753&lt;H753,"Existing Employee",IF(U753="","No Assignment",IF(V753=0,"0 Days",IF(V753&lt;=7,"1-7 Days",IF(V753&lt;=14,"8-14 Days",IF(V753&lt;=21,"15-21 Days","21+ Days"))))))</x:f>
        <x:v>Existing Employee</x:v>
      </x:c>
      <x:c r="AF75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91-120 Days</x:v>
      </x:c>
      <x:c r="AG753" s="33" t="n">
        <x:f>--(WorkforceData[[#This Row],[Total Days Worked]]&gt;=121)</x:f>
        <x:v>0</x:v>
      </x:c>
    </x:row>
    <x:row r="754">
      <x:c r="A754" s="236" t="str">
        <x:v>TRN-0753</x:v>
      </x:c>
      <x:c r="B754" s="243"/>
      <x:c r="C754" s="243"/>
      <x:c r="D754" s="243"/>
      <x:c r="E754" s="243"/>
      <x:c r="F754" s="14" t="str">
        <x:v>Recruiter G</x:v>
      </x:c>
      <x:c r="G754" s="14" t="str">
        <x:v>Training Center A</x:v>
      </x:c>
      <x:c r="H754" s="28">
        <x:v>45505</x:v>
      </x:c>
      <x:c r="I754" s="14">
        <x:v>2024</x:v>
      </x:c>
      <x:c r="J754" s="14" t="s">
        <x:v>135</x:v>
      </x:c>
      <x:c r="K754" s="14">
        <x:v>18</x:v>
      </x:c>
      <x:c r="L754" s="29" t="s">
        <x:v>119</x:v>
      </x:c>
      <x:c r="M754" s="28">
        <x:v>45504</x:v>
      </x:c>
      <x:c r="N754" s="28">
        <x:v>45510</x:v>
      </x:c>
      <x:c r="O754" s="14">
        <x:v>6</x:v>
      </x:c>
      <x:c r="P754" s="14" t="s">
        <x:v>102</x:v>
      </x:c>
      <x:c r="Q754" s="14" t="s">
        <x:v>33</x:v>
      </x:c>
      <x:c r="R754" s="14" t="s">
        <x:v>121</x:v>
      </x:c>
      <x:c r="S754" s="14" t="s">
        <x:v>105</x:v>
      </x:c>
      <x:c r="T754" s="14" t="str">
        <x:v>Region A</x:v>
      </x:c>
      <x:c r="U754" s="28">
        <x:v>45510</x:v>
      </x:c>
      <x:c r="V754" s="30">
        <x:v>5</x:v>
      </x:c>
      <x:c r="W754" s="14" t="s">
        <x:v>109</x:v>
      </x:c>
      <x:c r="X754" s="14" t="s">
        <x:v>106</x:v>
      </x:c>
      <x:c r="Y754" s="32" t="str">
        <x:v>TRN-0753|20240801</x:v>
      </x:c>
      <x:c r="Z754" s="32" t="str" cm="1">
        <x:f t="array" ref="Z75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754" s="33" t="n">
        <x:f>--OR(WorkforceData[[#This Row],[Status]]="Active",WorkforceData[[#This Row],[Promoted]]="Yes",WorkforceData[[#This Row],[Total Days Worked]]&gt;=121)</x:f>
        <x:v>0</x:v>
      </x:c>
      <x:c r="AB754" s="33" t="n">
        <x:f>IF(AND(Q754="Terminated",R754="",O754=0),1,0)</x:f>
        <x:v>0</x:v>
      </x:c>
      <x:c r="AC754" s="33" t="n">
        <x:f>--OR(WorkforceData[[#This Row],[Status]]="Resigned",WorkforceData[[#This Row],[Status After Training]]="Withdrew")</x:f>
        <x:v>0</x:v>
      </x:c>
      <x:c r="AD754" s="34" t="n">
        <x:f>EOMONTH(WorkforceData[[#This Row],[Training Date]],0)</x:f>
        <x:v>45535</x:v>
      </x:c>
      <x:c r="AE754" s="32" t="str">
        <x:f>IF(M754&lt;H754,"Existing Employee",IF(U754="","No Assignment",IF(V754=0,"0 Days",IF(V754&lt;=7,"1-7 Days",IF(V754&lt;=14,"8-14 Days",IF(V754&lt;=21,"15-21 Days","21+ Days"))))))</x:f>
        <x:v>Existing Employee</x:v>
      </x:c>
      <x:c r="AF75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1-7 Days</x:v>
      </x:c>
      <x:c r="AG754" s="33" t="n">
        <x:f>--(WorkforceData[[#This Row],[Total Days Worked]]&gt;=121)</x:f>
        <x:v>0</x:v>
      </x:c>
    </x:row>
    <x:row r="755">
      <x:c r="A755" s="236" t="str">
        <x:v>TRN-0754</x:v>
      </x:c>
      <x:c r="B755" s="243"/>
      <x:c r="C755" s="243"/>
      <x:c r="D755" s="243"/>
      <x:c r="E755" s="243"/>
      <x:c r="F755" s="14" t="str">
        <x:v>Recruiter C</x:v>
      </x:c>
      <x:c r="G755" s="14" t="str">
        <x:v>Training Center A</x:v>
      </x:c>
      <x:c r="H755" s="28">
        <x:v>45505</x:v>
      </x:c>
      <x:c r="I755" s="14">
        <x:v>2024</x:v>
      </x:c>
      <x:c r="J755" s="14" t="s">
        <x:v>135</x:v>
      </x:c>
      <x:c r="K755" s="14">
        <x:v>18</x:v>
      </x:c>
      <x:c r="L755" s="29" t="s">
        <x:v>119</x:v>
      </x:c>
      <x:c r="M755" s="28">
        <x:v>45500</x:v>
      </x:c>
      <x:c r="N755" s="14"/>
      <x:c r="O755" s="14">
        <x:v>751</x:v>
      </x:c>
      <x:c r="P755" s="14" t="s">
        <x:v>122</x:v>
      </x:c>
      <x:c r="Q755" s="14" t="s">
        <x:v>25</x:v>
      </x:c>
      <x:c r="R755" s="14"/>
      <x:c r="S755" s="14" t="s">
        <x:v>105</x:v>
      </x:c>
      <x:c r="T755" s="14"/>
      <x:c r="U755" s="28"/>
      <x:c r="V755" s="30"/>
      <x:c r="W755" s="14"/>
      <x:c r="X755" s="14" t="s">
        <x:v>71</x:v>
      </x:c>
      <x:c r="Y755" s="32" t="str">
        <x:v>TRN-0754|20240801</x:v>
      </x:c>
      <x:c r="Z755" s="32" t="str" cm="1">
        <x:f t="array" ref="Z75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755" s="33" t="n">
        <x:f>--OR(WorkforceData[[#This Row],[Status]]="Active",WorkforceData[[#This Row],[Promoted]]="Yes",WorkforceData[[#This Row],[Total Days Worked]]&gt;=121)</x:f>
        <x:v>1</x:v>
      </x:c>
      <x:c r="AB755" s="33" t="n">
        <x:f>IF(AND(Q755="Terminated",R755="",O755=0),1,0)</x:f>
        <x:v>0</x:v>
      </x:c>
      <x:c r="AC755" s="33" t="n">
        <x:f>--OR(WorkforceData[[#This Row],[Status]]="Resigned",WorkforceData[[#This Row],[Status After Training]]="Withdrew")</x:f>
        <x:v>0</x:v>
      </x:c>
      <x:c r="AD755" s="34" t="n">
        <x:f>EOMONTH(WorkforceData[[#This Row],[Training Date]],0)</x:f>
        <x:v>45535</x:v>
      </x:c>
      <x:c r="AE755" s="32" t="str">
        <x:f>IF(M755&lt;H755,"Existing Employee",IF(U755="","No Assignment",IF(V755=0,"0 Days",IF(V755&lt;=7,"1-7 Days",IF(V755&lt;=14,"8-14 Days",IF(V755&lt;=21,"15-21 Days","21+ Days"))))))</x:f>
        <x:v>Existing Employee</x:v>
      </x:c>
      <x:c r="AF75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55" s="33" t="n">
        <x:f>--(WorkforceData[[#This Row],[Total Days Worked]]&gt;=121)</x:f>
        <x:v>1</x:v>
      </x:c>
    </x:row>
    <x:row r="756">
      <x:c r="A756" s="236" t="str">
        <x:v>TRN-0755</x:v>
      </x:c>
      <x:c r="B756" s="243"/>
      <x:c r="C756" s="243"/>
      <x:c r="D756" s="243"/>
      <x:c r="E756" s="243"/>
      <x:c r="F756" s="14" t="str">
        <x:v>Recruiter G</x:v>
      </x:c>
      <x:c r="G756" s="14" t="str">
        <x:v>Training Center A</x:v>
      </x:c>
      <x:c r="H756" s="28">
        <x:v>45505</x:v>
      </x:c>
      <x:c r="I756" s="14">
        <x:v>2024</x:v>
      </x:c>
      <x:c r="J756" s="14" t="s">
        <x:v>135</x:v>
      </x:c>
      <x:c r="K756" s="14">
        <x:v>18</x:v>
      </x:c>
      <x:c r="L756" s="29" t="s">
        <x:v>119</x:v>
      </x:c>
      <x:c r="M756" s="28">
        <x:v>45495</x:v>
      </x:c>
      <x:c r="N756" s="28">
        <x:v>45547</x:v>
      </x:c>
      <x:c r="O756" s="14">
        <x:v>52</x:v>
      </x:c>
      <x:c r="P756" s="14" t="s">
        <x:v>110</x:v>
      </x:c>
      <x:c r="Q756" s="14" t="s">
        <x:v>33</x:v>
      </x:c>
      <x:c r="R756" s="14" t="s">
        <x:v>116</x:v>
      </x:c>
      <x:c r="S756" s="14" t="s">
        <x:v>105</x:v>
      </x:c>
      <x:c r="T756" s="14" t="str">
        <x:v>Region B</x:v>
      </x:c>
      <x:c r="U756" s="28">
        <x:v>45508</x:v>
      </x:c>
      <x:c r="V756" s="30">
        <x:v>3</x:v>
      </x:c>
      <x:c r="W756" s="14" t="s">
        <x:v>109</x:v>
      </x:c>
      <x:c r="X756" s="14" t="s">
        <x:v>106</x:v>
      </x:c>
      <x:c r="Y756" s="32" t="str">
        <x:v>TRN-0755|20240801</x:v>
      </x:c>
      <x:c r="Z756" s="32" t="str" cm="1">
        <x:f t="array" ref="Z75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756" s="33" t="n">
        <x:f>--OR(WorkforceData[[#This Row],[Status]]="Active",WorkforceData[[#This Row],[Promoted]]="Yes",WorkforceData[[#This Row],[Total Days Worked]]&gt;=121)</x:f>
        <x:v>0</x:v>
      </x:c>
      <x:c r="AB756" s="33" t="n">
        <x:f>IF(AND(Q756="Terminated",R756="",O756=0),1,0)</x:f>
        <x:v>0</x:v>
      </x:c>
      <x:c r="AC756" s="33" t="n">
        <x:f>--OR(WorkforceData[[#This Row],[Status]]="Resigned",WorkforceData[[#This Row],[Status After Training]]="Withdrew")</x:f>
        <x:v>0</x:v>
      </x:c>
      <x:c r="AD756" s="34" t="n">
        <x:f>EOMONTH(WorkforceData[[#This Row],[Training Date]],0)</x:f>
        <x:v>45535</x:v>
      </x:c>
      <x:c r="AE756" s="32" t="str">
        <x:f>IF(M756&lt;H756,"Existing Employee",IF(U756="","No Assignment",IF(V756=0,"0 Days",IF(V756&lt;=7,"1-7 Days",IF(V756&lt;=14,"8-14 Days",IF(V756&lt;=21,"15-21 Days","21+ Days"))))))</x:f>
        <x:v>Existing Employee</x:v>
      </x:c>
      <x:c r="AF75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756" s="33" t="n">
        <x:f>--(WorkforceData[[#This Row],[Total Days Worked]]&gt;=121)</x:f>
        <x:v>0</x:v>
      </x:c>
    </x:row>
    <x:row r="757">
      <x:c r="A757" s="236" t="str">
        <x:v>TRN-0756</x:v>
      </x:c>
      <x:c r="B757" s="243"/>
      <x:c r="C757" s="243"/>
      <x:c r="D757" s="243"/>
      <x:c r="E757" s="243"/>
      <x:c r="F757" s="14" t="str">
        <x:v>Recruiter G</x:v>
      </x:c>
      <x:c r="G757" s="14" t="str">
        <x:v>Training Center A</x:v>
      </x:c>
      <x:c r="H757" s="28">
        <x:v>45505</x:v>
      </x:c>
      <x:c r="I757" s="14">
        <x:v>2024</x:v>
      </x:c>
      <x:c r="J757" s="14" t="s">
        <x:v>135</x:v>
      </x:c>
      <x:c r="K757" s="14">
        <x:v>18</x:v>
      </x:c>
      <x:c r="L757" s="29" t="s">
        <x:v>119</x:v>
      </x:c>
      <x:c r="M757" s="28">
        <x:v>45504</x:v>
      </x:c>
      <x:c r="N757" s="28">
        <x:v>45656</x:v>
      </x:c>
      <x:c r="O757" s="14">
        <x:v>152</x:v>
      </x:c>
      <x:c r="P757" s="14" t="s">
        <x:v>113</x:v>
      </x:c>
      <x:c r="Q757" s="14" t="s">
        <x:v>33</x:v>
      </x:c>
      <x:c r="R757" s="14" t="s">
        <x:v>124</x:v>
      </x:c>
      <x:c r="S757" s="14" t="s">
        <x:v>105</x:v>
      </x:c>
      <x:c r="T757" s="14" t="str">
        <x:v>Region C</x:v>
      </x:c>
      <x:c r="U757" s="28">
        <x:v>45521</x:v>
      </x:c>
      <x:c r="V757" s="30">
        <x:v>16</x:v>
      </x:c>
      <x:c r="W757" s="14" t="s">
        <x:v>112</x:v>
      </x:c>
      <x:c r="X757" s="14" t="s">
        <x:v>106</x:v>
      </x:c>
      <x:c r="Y757" s="32" t="str">
        <x:v>TRN-0756|20240801</x:v>
      </x:c>
      <x:c r="Z757" s="32" t="str" cm="1">
        <x:f t="array" ref="Z75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Complete</x:v>
      </x:c>
      <x:c r="AA757" s="33" t="n">
        <x:f>--OR(WorkforceData[[#This Row],[Status]]="Active",WorkforceData[[#This Row],[Promoted]]="Yes",WorkforceData[[#This Row],[Total Days Worked]]&gt;=121)</x:f>
        <x:v>1</x:v>
      </x:c>
      <x:c r="AB757" s="33" t="n">
        <x:f>IF(AND(Q757="Terminated",R757="",O757=0),1,0)</x:f>
        <x:v>0</x:v>
      </x:c>
      <x:c r="AC757" s="33" t="n">
        <x:f>--OR(WorkforceData[[#This Row],[Status]]="Resigned",WorkforceData[[#This Row],[Status After Training]]="Withdrew")</x:f>
        <x:v>0</x:v>
      </x:c>
      <x:c r="AD757" s="34" t="n">
        <x:f>EOMONTH(WorkforceData[[#This Row],[Training Date]],0)</x:f>
        <x:v>45535</x:v>
      </x:c>
      <x:c r="AE757" s="32" t="str">
        <x:f>IF(M757&lt;H757,"Existing Employee",IF(U757="","No Assignment",IF(V757=0,"0 Days",IF(V757&lt;=7,"1-7 Days",IF(V757&lt;=14,"8-14 Days",IF(V757&lt;=21,"15-21 Days","21+ Days"))))))</x:f>
        <x:v>Existing Employee</x:v>
      </x:c>
      <x:c r="AF75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57" s="33" t="n">
        <x:f>--(WorkforceData[[#This Row],[Total Days Worked]]&gt;=121)</x:f>
        <x:v>1</x:v>
      </x:c>
    </x:row>
    <x:row r="758">
      <x:c r="A758" s="236" t="str">
        <x:v>TRN-0757</x:v>
      </x:c>
      <x:c r="B758" s="243"/>
      <x:c r="C758" s="243"/>
      <x:c r="D758" s="243"/>
      <x:c r="E758" s="243"/>
      <x:c r="F758" s="14" t="str">
        <x:v>Recruiter C</x:v>
      </x:c>
      <x:c r="G758" s="14" t="str">
        <x:v>Training Center A</x:v>
      </x:c>
      <x:c r="H758" s="28">
        <x:v>45505</x:v>
      </x:c>
      <x:c r="I758" s="14">
        <x:v>2024</x:v>
      </x:c>
      <x:c r="J758" s="14" t="s">
        <x:v>135</x:v>
      </x:c>
      <x:c r="K758" s="14">
        <x:v>18</x:v>
      </x:c>
      <x:c r="L758" s="29" t="s">
        <x:v>119</x:v>
      </x:c>
      <x:c r="M758" s="28">
        <x:v>45503</x:v>
      </x:c>
      <x:c r="N758" s="14"/>
      <x:c r="O758" s="14">
        <x:v>748</x:v>
      </x:c>
      <x:c r="P758" s="14" t="s">
        <x:v>122</x:v>
      </x:c>
      <x:c r="Q758" s="14" t="s">
        <x:v>25</x:v>
      </x:c>
      <x:c r="R758" s="14"/>
      <x:c r="S758" s="14" t="s">
        <x:v>108</x:v>
      </x:c>
      <x:c r="T758" s="14" t="str">
        <x:v>Region A</x:v>
      </x:c>
      <x:c r="U758" s="28">
        <x:v>45510</x:v>
      </x:c>
      <x:c r="V758" s="30">
        <x:v>5</x:v>
      </x:c>
      <x:c r="W758" s="14" t="s">
        <x:v>109</x:v>
      </x:c>
      <x:c r="X758" s="14" t="s">
        <x:v>106</x:v>
      </x:c>
      <x:c r="Y758" s="32" t="str">
        <x:v>TRN-0757|20240801</x:v>
      </x:c>
      <x:c r="Z758" s="32" t="str" cm="1">
        <x:f t="array" ref="Z75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758" s="33" t="n">
        <x:f>--OR(WorkforceData[[#This Row],[Status]]="Active",WorkforceData[[#This Row],[Promoted]]="Yes",WorkforceData[[#This Row],[Total Days Worked]]&gt;=121)</x:f>
        <x:v>1</x:v>
      </x:c>
      <x:c r="AB758" s="33" t="n">
        <x:f>IF(AND(Q758="Terminated",R758="",O758=0),1,0)</x:f>
        <x:v>0</x:v>
      </x:c>
      <x:c r="AC758" s="33" t="n">
        <x:f>--OR(WorkforceData[[#This Row],[Status]]="Resigned",WorkforceData[[#This Row],[Status After Training]]="Withdrew")</x:f>
        <x:v>0</x:v>
      </x:c>
      <x:c r="AD758" s="34" t="n">
        <x:f>EOMONTH(WorkforceData[[#This Row],[Training Date]],0)</x:f>
        <x:v>45535</x:v>
      </x:c>
      <x:c r="AE758" s="32" t="str">
        <x:f>IF(M758&lt;H758,"Existing Employee",IF(U758="","No Assignment",IF(V758=0,"0 Days",IF(V758&lt;=7,"1-7 Days",IF(V758&lt;=14,"8-14 Days",IF(V758&lt;=21,"15-21 Days","21+ Days"))))))</x:f>
        <x:v>Existing Employee</x:v>
      </x:c>
      <x:c r="AF75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58" s="33" t="n">
        <x:f>--(WorkforceData[[#This Row],[Total Days Worked]]&gt;=121)</x:f>
        <x:v>1</x:v>
      </x:c>
    </x:row>
    <x:row r="759">
      <x:c r="A759" s="236" t="str">
        <x:v>TRN-0758</x:v>
      </x:c>
      <x:c r="B759" s="243"/>
      <x:c r="C759" s="243"/>
      <x:c r="D759" s="243"/>
      <x:c r="E759" s="243"/>
      <x:c r="F759" s="14" t="str">
        <x:v>Recruiter F</x:v>
      </x:c>
      <x:c r="G759" s="14" t="str">
        <x:v>Training Center A</x:v>
      </x:c>
      <x:c r="H759" s="28">
        <x:v>45505</x:v>
      </x:c>
      <x:c r="I759" s="14">
        <x:v>2024</x:v>
      </x:c>
      <x:c r="J759" s="14" t="s">
        <x:v>135</x:v>
      </x:c>
      <x:c r="K759" s="14">
        <x:v>18</x:v>
      </x:c>
      <x:c r="L759" s="29" t="s">
        <x:v>119</x:v>
      </x:c>
      <x:c r="M759" s="28">
        <x:v>45502</x:v>
      </x:c>
      <x:c r="N759" s="28">
        <x:v>45517</x:v>
      </x:c>
      <x:c r="O759" s="14">
        <x:v>15</x:v>
      </x:c>
      <x:c r="P759" s="14" t="s">
        <x:v>102</x:v>
      </x:c>
      <x:c r="Q759" s="14" t="s">
        <x:v>33</x:v>
      </x:c>
      <x:c r="R759" s="14" t="s">
        <x:v>124</x:v>
      </x:c>
      <x:c r="S759" s="14" t="s">
        <x:v>105</x:v>
      </x:c>
      <x:c r="T759" s="14" t="str">
        <x:v>Region A</x:v>
      </x:c>
      <x:c r="U759" s="28">
        <x:v>45517</x:v>
      </x:c>
      <x:c r="V759" s="30">
        <x:v>12</x:v>
      </x:c>
      <x:c r="W759" s="14" t="s">
        <x:v>45</x:v>
      </x:c>
      <x:c r="X759" s="14" t="s">
        <x:v>106</x:v>
      </x:c>
      <x:c r="Y759" s="32" t="str">
        <x:v>TRN-0758|20240801</x:v>
      </x:c>
      <x:c r="Z759" s="32" t="str" cm="1">
        <x:f t="array" ref="Z75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759" s="33" t="n">
        <x:f>--OR(WorkforceData[[#This Row],[Status]]="Active",WorkforceData[[#This Row],[Promoted]]="Yes",WorkforceData[[#This Row],[Total Days Worked]]&gt;=121)</x:f>
        <x:v>0</x:v>
      </x:c>
      <x:c r="AB759" s="33" t="n">
        <x:f>IF(AND(Q759="Terminated",R759="",O759=0),1,0)</x:f>
        <x:v>0</x:v>
      </x:c>
      <x:c r="AC759" s="33" t="n">
        <x:f>--OR(WorkforceData[[#This Row],[Status]]="Resigned",WorkforceData[[#This Row],[Status After Training]]="Withdrew")</x:f>
        <x:v>0</x:v>
      </x:c>
      <x:c r="AD759" s="34" t="n">
        <x:f>EOMONTH(WorkforceData[[#This Row],[Training Date]],0)</x:f>
        <x:v>45535</x:v>
      </x:c>
      <x:c r="AE759" s="32" t="str">
        <x:f>IF(M759&lt;H759,"Existing Employee",IF(U759="","No Assignment",IF(V759=0,"0 Days",IF(V759&lt;=7,"1-7 Days",IF(V759&lt;=14,"8-14 Days",IF(V759&lt;=21,"15-21 Days","21+ Days"))))))</x:f>
        <x:v>Existing Employee</x:v>
      </x:c>
      <x:c r="AF75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759" s="33" t="n">
        <x:f>--(WorkforceData[[#This Row],[Total Days Worked]]&gt;=121)</x:f>
        <x:v>0</x:v>
      </x:c>
    </x:row>
    <x:row r="760">
      <x:c r="A760" s="236" t="str">
        <x:v>TRN-0759</x:v>
      </x:c>
      <x:c r="B760" s="243"/>
      <x:c r="C760" s="243"/>
      <x:c r="D760" s="243"/>
      <x:c r="E760" s="243"/>
      <x:c r="F760" s="14" t="str">
        <x:v>Recruiter A</x:v>
      </x:c>
      <x:c r="G760" s="14" t="str">
        <x:v>Training Center A</x:v>
      </x:c>
      <x:c r="H760" s="28">
        <x:v>45505</x:v>
      </x:c>
      <x:c r="I760" s="14">
        <x:v>2024</x:v>
      </x:c>
      <x:c r="J760" s="14" t="s">
        <x:v>135</x:v>
      </x:c>
      <x:c r="K760" s="14">
        <x:v>18</x:v>
      </x:c>
      <x:c r="L760" s="29" t="s">
        <x:v>119</x:v>
      </x:c>
      <x:c r="M760" s="28">
        <x:v>45504</x:v>
      </x:c>
      <x:c r="N760" s="14"/>
      <x:c r="O760" s="14">
        <x:v>747</x:v>
      </x:c>
      <x:c r="P760" s="14" t="s">
        <x:v>122</x:v>
      </x:c>
      <x:c r="Q760" s="14" t="s">
        <x:v>38</x:v>
      </x:c>
      <x:c r="R760" s="14"/>
      <x:c r="S760" s="14" t="s">
        <x:v>108</x:v>
      </x:c>
      <x:c r="T760" s="14" t="str">
        <x:v>Region B</x:v>
      </x:c>
      <x:c r="U760" s="28">
        <x:v>45512</x:v>
      </x:c>
      <x:c r="V760" s="30">
        <x:v>7</x:v>
      </x:c>
      <x:c r="W760" s="14" t="s">
        <x:v>109</x:v>
      </x:c>
      <x:c r="X760" s="14" t="s">
        <x:v>106</x:v>
      </x:c>
      <x:c r="Y760" s="32" t="str">
        <x:v>TRN-0759|20240801</x:v>
      </x:c>
      <x:c r="Z760" s="32" t="str" cm="1">
        <x:f t="array" ref="Z76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760" s="33" t="n">
        <x:f>--OR(WorkforceData[[#This Row],[Status]]="Active",WorkforceData[[#This Row],[Promoted]]="Yes",WorkforceData[[#This Row],[Total Days Worked]]&gt;=121)</x:f>
        <x:v>1</x:v>
      </x:c>
      <x:c r="AB760" s="33" t="n">
        <x:f>IF(AND(Q760="Terminated",R760="",O760=0),1,0)</x:f>
        <x:v>0</x:v>
      </x:c>
      <x:c r="AC760" s="33" t="n">
        <x:f>--OR(WorkforceData[[#This Row],[Status]]="Resigned",WorkforceData[[#This Row],[Status After Training]]="Withdrew")</x:f>
        <x:v>0</x:v>
      </x:c>
      <x:c r="AD760" s="34" t="n">
        <x:f>EOMONTH(WorkforceData[[#This Row],[Training Date]],0)</x:f>
        <x:v>45535</x:v>
      </x:c>
      <x:c r="AE760" s="32" t="str">
        <x:f>IF(M760&lt;H760,"Existing Employee",IF(U760="","No Assignment",IF(V760=0,"0 Days",IF(V760&lt;=7,"1-7 Days",IF(V760&lt;=14,"8-14 Days",IF(V760&lt;=21,"15-21 Days","21+ Days"))))))</x:f>
        <x:v>Existing Employee</x:v>
      </x:c>
      <x:c r="AF76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60" s="33" t="n">
        <x:f>--(WorkforceData[[#This Row],[Total Days Worked]]&gt;=121)</x:f>
        <x:v>1</x:v>
      </x:c>
    </x:row>
    <x:row r="761">
      <x:c r="A761" s="236" t="str">
        <x:v>TRN-0760</x:v>
      </x:c>
      <x:c r="B761" s="243"/>
      <x:c r="C761" s="243"/>
      <x:c r="D761" s="243"/>
      <x:c r="E761" s="243"/>
      <x:c r="F761" s="14" t="str">
        <x:v>Recruiter C</x:v>
      </x:c>
      <x:c r="G761" s="14" t="str">
        <x:v>Training Center A</x:v>
      </x:c>
      <x:c r="H761" s="28">
        <x:v>45505</x:v>
      </x:c>
      <x:c r="I761" s="14">
        <x:v>2024</x:v>
      </x:c>
      <x:c r="J761" s="14" t="s">
        <x:v>135</x:v>
      </x:c>
      <x:c r="K761" s="14">
        <x:v>18</x:v>
      </x:c>
      <x:c r="L761" s="29" t="s">
        <x:v>119</x:v>
      </x:c>
      <x:c r="M761" s="28">
        <x:v>45505</x:v>
      </x:c>
      <x:c r="N761" s="14"/>
      <x:c r="O761" s="14">
        <x:v>746</x:v>
      </x:c>
      <x:c r="P761" s="14" t="s">
        <x:v>122</x:v>
      </x:c>
      <x:c r="Q761" s="14" t="s">
        <x:v>25</x:v>
      </x:c>
      <x:c r="R761" s="14"/>
      <x:c r="S761" s="14" t="s">
        <x:v>108</x:v>
      </x:c>
      <x:c r="T761" s="14" t="str">
        <x:v>Region A</x:v>
      </x:c>
      <x:c r="U761" s="28">
        <x:v>45564</x:v>
      </x:c>
      <x:c r="V761" s="30">
        <x:v>59</x:v>
      </x:c>
      <x:c r="W761" s="14" t="s">
        <x:v>63</x:v>
      </x:c>
      <x:c r="X761" s="14" t="s">
        <x:v>117</x:v>
      </x:c>
      <x:c r="Y761" s="32" t="str">
        <x:v>TRN-0760|20240801</x:v>
      </x:c>
      <x:c r="Z761" s="32" t="str" cm="1">
        <x:f t="array" ref="Z76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761" s="33" t="n">
        <x:f>--OR(WorkforceData[[#This Row],[Status]]="Active",WorkforceData[[#This Row],[Promoted]]="Yes",WorkforceData[[#This Row],[Total Days Worked]]&gt;=121)</x:f>
        <x:v>1</x:v>
      </x:c>
      <x:c r="AB761" s="33" t="n">
        <x:f>IF(AND(Q761="Terminated",R761="",O761=0),1,0)</x:f>
        <x:v>0</x:v>
      </x:c>
      <x:c r="AC761" s="33" t="n">
        <x:f>--OR(WorkforceData[[#This Row],[Status]]="Resigned",WorkforceData[[#This Row],[Status After Training]]="Withdrew")</x:f>
        <x:v>0</x:v>
      </x:c>
      <x:c r="AD761" s="34" t="n">
        <x:f>EOMONTH(WorkforceData[[#This Row],[Training Date]],0)</x:f>
        <x:v>45535</x:v>
      </x:c>
      <x:c r="AE761" s="32" t="str">
        <x:f>IF(M761&lt;H761,"Existing Employee",IF(U761="","No Assignment",IF(V761=0,"0 Days",IF(V761&lt;=7,"1-7 Days",IF(V761&lt;=14,"8-14 Days",IF(V761&lt;=21,"15-21 Days","21+ Days"))))))</x:f>
        <x:v>21+ Days</x:v>
      </x:c>
      <x:c r="AF76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61" s="33" t="n">
        <x:f>--(WorkforceData[[#This Row],[Total Days Worked]]&gt;=121)</x:f>
        <x:v>1</x:v>
      </x:c>
    </x:row>
    <x:row r="762">
      <x:c r="A762" s="236" t="str">
        <x:v>TRN-0761</x:v>
      </x:c>
      <x:c r="B762" s="243"/>
      <x:c r="C762" s="243"/>
      <x:c r="D762" s="243"/>
      <x:c r="E762" s="243"/>
      <x:c r="F762" s="14" t="str">
        <x:v>Recruiter F</x:v>
      </x:c>
      <x:c r="G762" s="14" t="str">
        <x:v>Training Center A</x:v>
      </x:c>
      <x:c r="H762" s="28">
        <x:v>45505</x:v>
      </x:c>
      <x:c r="I762" s="14">
        <x:v>2024</x:v>
      </x:c>
      <x:c r="J762" s="14" t="s">
        <x:v>135</x:v>
      </x:c>
      <x:c r="K762" s="14">
        <x:v>18</x:v>
      </x:c>
      <x:c r="L762" s="29" t="s">
        <x:v>119</x:v>
      </x:c>
      <x:c r="M762" s="28">
        <x:v>45498</x:v>
      </x:c>
      <x:c r="N762" s="14"/>
      <x:c r="O762" s="14">
        <x:v>753</x:v>
      </x:c>
      <x:c r="P762" s="14" t="s">
        <x:v>122</x:v>
      </x:c>
      <x:c r="Q762" s="14" t="s">
        <x:v>25</x:v>
      </x:c>
      <x:c r="R762" s="14"/>
      <x:c r="S762" s="14" t="s">
        <x:v>108</x:v>
      </x:c>
      <x:c r="T762" s="14" t="str">
        <x:v>Region B</x:v>
      </x:c>
      <x:c r="U762" s="28">
        <x:v>45551</x:v>
      </x:c>
      <x:c r="V762" s="30">
        <x:v>46</x:v>
      </x:c>
      <x:c r="W762" s="14" t="s">
        <x:v>63</x:v>
      </x:c>
      <x:c r="X762" s="14" t="s">
        <x:v>117</x:v>
      </x:c>
      <x:c r="Y762" s="32" t="str">
        <x:v>TRN-0761|20240801</x:v>
      </x:c>
      <x:c r="Z762" s="32" t="str" cm="1">
        <x:f t="array" ref="Z76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762" s="33" t="n">
        <x:f>--OR(WorkforceData[[#This Row],[Status]]="Active",WorkforceData[[#This Row],[Promoted]]="Yes",WorkforceData[[#This Row],[Total Days Worked]]&gt;=121)</x:f>
        <x:v>1</x:v>
      </x:c>
      <x:c r="AB762" s="33" t="n">
        <x:f>IF(AND(Q762="Terminated",R762="",O762=0),1,0)</x:f>
        <x:v>0</x:v>
      </x:c>
      <x:c r="AC762" s="33" t="n">
        <x:f>--OR(WorkforceData[[#This Row],[Status]]="Resigned",WorkforceData[[#This Row],[Status After Training]]="Withdrew")</x:f>
        <x:v>0</x:v>
      </x:c>
      <x:c r="AD762" s="34" t="n">
        <x:f>EOMONTH(WorkforceData[[#This Row],[Training Date]],0)</x:f>
        <x:v>45535</x:v>
      </x:c>
      <x:c r="AE762" s="32" t="str">
        <x:f>IF(M762&lt;H762,"Existing Employee",IF(U762="","No Assignment",IF(V762=0,"0 Days",IF(V762&lt;=7,"1-7 Days",IF(V762&lt;=14,"8-14 Days",IF(V762&lt;=21,"15-21 Days","21+ Days"))))))</x:f>
        <x:v>Existing Employee</x:v>
      </x:c>
      <x:c r="AF76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62" s="33" t="n">
        <x:f>--(WorkforceData[[#This Row],[Total Days Worked]]&gt;=121)</x:f>
        <x:v>1</x:v>
      </x:c>
    </x:row>
    <x:row r="763">
      <x:c r="A763" s="236" t="str">
        <x:v>TRN-0762</x:v>
      </x:c>
      <x:c r="B763" s="243"/>
      <x:c r="C763" s="243"/>
      <x:c r="D763" s="243"/>
      <x:c r="E763" s="243"/>
      <x:c r="F763" s="14" t="str">
        <x:v>Recruiter E</x:v>
      </x:c>
      <x:c r="G763" s="14" t="str">
        <x:v>Training Center A</x:v>
      </x:c>
      <x:c r="H763" s="28">
        <x:v>45505</x:v>
      </x:c>
      <x:c r="I763" s="14">
        <x:v>2024</x:v>
      </x:c>
      <x:c r="J763" s="14" t="s">
        <x:v>135</x:v>
      </x:c>
      <x:c r="K763" s="14">
        <x:v>18</x:v>
      </x:c>
      <x:c r="L763" s="29" t="s">
        <x:v>119</x:v>
      </x:c>
      <x:c r="M763" s="28">
        <x:v>45505</x:v>
      </x:c>
      <x:c r="N763" s="14"/>
      <x:c r="O763" s="14">
        <x:v>746</x:v>
      </x:c>
      <x:c r="P763" s="14" t="s">
        <x:v>122</x:v>
      </x:c>
      <x:c r="Q763" s="14" t="s">
        <x:v>25</x:v>
      </x:c>
      <x:c r="R763" s="14"/>
      <x:c r="S763" s="14" t="s">
        <x:v>108</x:v>
      </x:c>
      <x:c r="T763" s="14" t="str">
        <x:v>Region E</x:v>
      </x:c>
      <x:c r="U763" s="28">
        <x:v>45526</x:v>
      </x:c>
      <x:c r="V763" s="30">
        <x:v>21</x:v>
      </x:c>
      <x:c r="W763" s="14" t="s">
        <x:v>112</x:v>
      </x:c>
      <x:c r="X763" s="14" t="s">
        <x:v>106</x:v>
      </x:c>
      <x:c r="Y763" s="32" t="str">
        <x:v>TRN-0762|20240801</x:v>
      </x:c>
      <x:c r="Z763" s="32" t="str" cm="1">
        <x:f t="array" ref="Z76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763" s="33" t="n">
        <x:f>--OR(WorkforceData[[#This Row],[Status]]="Active",WorkforceData[[#This Row],[Promoted]]="Yes",WorkforceData[[#This Row],[Total Days Worked]]&gt;=121)</x:f>
        <x:v>1</x:v>
      </x:c>
      <x:c r="AB763" s="33" t="n">
        <x:f>IF(AND(Q763="Terminated",R763="",O763=0),1,0)</x:f>
        <x:v>0</x:v>
      </x:c>
      <x:c r="AC763" s="33" t="n">
        <x:f>--OR(WorkforceData[[#This Row],[Status]]="Resigned",WorkforceData[[#This Row],[Status After Training]]="Withdrew")</x:f>
        <x:v>0</x:v>
      </x:c>
      <x:c r="AD763" s="34" t="n">
        <x:f>EOMONTH(WorkforceData[[#This Row],[Training Date]],0)</x:f>
        <x:v>45535</x:v>
      </x:c>
      <x:c r="AE763" s="32" t="str">
        <x:f>IF(M763&lt;H763,"Existing Employee",IF(U763="","No Assignment",IF(V763=0,"0 Days",IF(V763&lt;=7,"1-7 Days",IF(V763&lt;=14,"8-14 Days",IF(V763&lt;=21,"15-21 Days","21+ Days"))))))</x:f>
        <x:v>15-21 Days</x:v>
      </x:c>
      <x:c r="AF76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63" s="33" t="n">
        <x:f>--(WorkforceData[[#This Row],[Total Days Worked]]&gt;=121)</x:f>
        <x:v>1</x:v>
      </x:c>
    </x:row>
    <x:row r="764">
      <x:c r="A764" s="236" t="str">
        <x:v>TRN-0763</x:v>
      </x:c>
      <x:c r="B764" s="243"/>
      <x:c r="C764" s="243"/>
      <x:c r="D764" s="243"/>
      <x:c r="E764" s="243"/>
      <x:c r="F764" s="14" t="str">
        <x:v>Recruiter C</x:v>
      </x:c>
      <x:c r="G764" s="14" t="str">
        <x:v>Training Center A</x:v>
      </x:c>
      <x:c r="H764" s="28">
        <x:v>45505</x:v>
      </x:c>
      <x:c r="I764" s="14">
        <x:v>2024</x:v>
      </x:c>
      <x:c r="J764" s="14" t="s">
        <x:v>135</x:v>
      </x:c>
      <x:c r="K764" s="14">
        <x:v>18</x:v>
      </x:c>
      <x:c r="L764" s="29" t="s">
        <x:v>119</x:v>
      </x:c>
      <x:c r="M764" s="28">
        <x:v>45498</x:v>
      </x:c>
      <x:c r="N764" s="28">
        <x:v>45519</x:v>
      </x:c>
      <x:c r="O764" s="14">
        <x:v>21</x:v>
      </x:c>
      <x:c r="P764" s="14" t="s">
        <x:v>102</x:v>
      </x:c>
      <x:c r="Q764" s="14" t="s">
        <x:v>103</x:v>
      </x:c>
      <x:c r="R764" s="14" t="s">
        <x:v>111</x:v>
      </x:c>
      <x:c r="S764" s="14" t="s">
        <x:v>105</x:v>
      </x:c>
      <x:c r="T764" s="14" t="str">
        <x:v>Region E</x:v>
      </x:c>
      <x:c r="U764" s="28">
        <x:v>45517</x:v>
      </x:c>
      <x:c r="V764" s="30">
        <x:v>12</x:v>
      </x:c>
      <x:c r="W764" s="14" t="s">
        <x:v>45</x:v>
      </x:c>
      <x:c r="X764" s="14" t="s">
        <x:v>106</x:v>
      </x:c>
      <x:c r="Y764" s="32" t="str">
        <x:v>TRN-0763|20240801</x:v>
      </x:c>
      <x:c r="Z764" s="32" t="str" cm="1">
        <x:f t="array" ref="Z76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764" s="33" t="n">
        <x:f>--OR(WorkforceData[[#This Row],[Status]]="Active",WorkforceData[[#This Row],[Promoted]]="Yes",WorkforceData[[#This Row],[Total Days Worked]]&gt;=121)</x:f>
        <x:v>0</x:v>
      </x:c>
      <x:c r="AB764" s="33" t="n">
        <x:f>IF(AND(Q764="Terminated",R764="",O764=0),1,0)</x:f>
        <x:v>0</x:v>
      </x:c>
      <x:c r="AC764" s="33" t="n">
        <x:f>--OR(WorkforceData[[#This Row],[Status]]="Resigned",WorkforceData[[#This Row],[Status After Training]]="Withdrew")</x:f>
        <x:v>1</x:v>
      </x:c>
      <x:c r="AD764" s="34" t="n">
        <x:f>EOMONTH(WorkforceData[[#This Row],[Training Date]],0)</x:f>
        <x:v>45535</x:v>
      </x:c>
      <x:c r="AE764" s="32" t="str">
        <x:f>IF(M764&lt;H764,"Existing Employee",IF(U764="","No Assignment",IF(V764=0,"0 Days",IF(V764&lt;=7,"1-7 Days",IF(V764&lt;=14,"8-14 Days",IF(V764&lt;=21,"15-21 Days","21+ Days"))))))</x:f>
        <x:v>Existing Employee</x:v>
      </x:c>
      <x:c r="AF76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764" s="33" t="n">
        <x:f>--(WorkforceData[[#This Row],[Total Days Worked]]&gt;=121)</x:f>
        <x:v>0</x:v>
      </x:c>
    </x:row>
    <x:row r="765">
      <x:c r="A765" s="236" t="str">
        <x:v>TRN-0764</x:v>
      </x:c>
      <x:c r="B765" s="243"/>
      <x:c r="C765" s="243"/>
      <x:c r="D765" s="243"/>
      <x:c r="E765" s="243"/>
      <x:c r="F765" s="14" t="str">
        <x:v>Recruiter E</x:v>
      </x:c>
      <x:c r="G765" s="14" t="str">
        <x:v>Training Center A</x:v>
      </x:c>
      <x:c r="H765" s="28">
        <x:v>45505</x:v>
      </x:c>
      <x:c r="I765" s="14">
        <x:v>2024</x:v>
      </x:c>
      <x:c r="J765" s="14" t="s">
        <x:v>135</x:v>
      </x:c>
      <x:c r="K765" s="14">
        <x:v>18</x:v>
      </x:c>
      <x:c r="L765" s="29" t="s">
        <x:v>119</x:v>
      </x:c>
      <x:c r="M765" s="28">
        <x:v>45503</x:v>
      </x:c>
      <x:c r="N765" s="28">
        <x:v>45593</x:v>
      </x:c>
      <x:c r="O765" s="14">
        <x:v>90</x:v>
      </x:c>
      <x:c r="P765" s="14" t="s">
        <x:v>110</x:v>
      </x:c>
      <x:c r="Q765" s="14" t="s">
        <x:v>33</x:v>
      </x:c>
      <x:c r="R765" s="14" t="s">
        <x:v>121</x:v>
      </x:c>
      <x:c r="S765" s="14" t="s">
        <x:v>105</x:v>
      </x:c>
      <x:c r="T765" s="14" t="str">
        <x:v>Region B</x:v>
      </x:c>
      <x:c r="U765" s="28">
        <x:v>45509</x:v>
      </x:c>
      <x:c r="V765" s="30">
        <x:v>4</x:v>
      </x:c>
      <x:c r="W765" s="14" t="s">
        <x:v>109</x:v>
      </x:c>
      <x:c r="X765" s="14" t="s">
        <x:v>106</x:v>
      </x:c>
      <x:c r="Y765" s="32" t="str">
        <x:v>TRN-0764|20240801</x:v>
      </x:c>
      <x:c r="Z765" s="32" t="str" cm="1">
        <x:f t="array" ref="Z76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765" s="33" t="n">
        <x:f>--OR(WorkforceData[[#This Row],[Status]]="Active",WorkforceData[[#This Row],[Promoted]]="Yes",WorkforceData[[#This Row],[Total Days Worked]]&gt;=121)</x:f>
        <x:v>0</x:v>
      </x:c>
      <x:c r="AB765" s="33" t="n">
        <x:f>IF(AND(Q765="Terminated",R765="",O765=0),1,0)</x:f>
        <x:v>0</x:v>
      </x:c>
      <x:c r="AC765" s="33" t="n">
        <x:f>--OR(WorkforceData[[#This Row],[Status]]="Resigned",WorkforceData[[#This Row],[Status After Training]]="Withdrew")</x:f>
        <x:v>0</x:v>
      </x:c>
      <x:c r="AD765" s="34" t="n">
        <x:f>EOMONTH(WorkforceData[[#This Row],[Training Date]],0)</x:f>
        <x:v>45535</x:v>
      </x:c>
      <x:c r="AE765" s="32" t="str">
        <x:f>IF(M765&lt;H765,"Existing Employee",IF(U765="","No Assignment",IF(V765=0,"0 Days",IF(V765&lt;=7,"1-7 Days",IF(V765&lt;=14,"8-14 Days",IF(V765&lt;=21,"15-21 Days","21+ Days"))))))</x:f>
        <x:v>Existing Employee</x:v>
      </x:c>
      <x:c r="AF76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61-90 Days</x:v>
      </x:c>
      <x:c r="AG765" s="33" t="n">
        <x:f>--(WorkforceData[[#This Row],[Total Days Worked]]&gt;=121)</x:f>
        <x:v>0</x:v>
      </x:c>
    </x:row>
    <x:row r="766">
      <x:c r="A766" s="236" t="str">
        <x:v>TRN-0765</x:v>
      </x:c>
      <x:c r="B766" s="243"/>
      <x:c r="C766" s="243"/>
      <x:c r="D766" s="243"/>
      <x:c r="E766" s="243"/>
      <x:c r="F766" s="14" t="str">
        <x:v>Recruiter C</x:v>
      </x:c>
      <x:c r="G766" s="14" t="str">
        <x:v>Training Center A</x:v>
      </x:c>
      <x:c r="H766" s="28">
        <x:v>45505</x:v>
      </x:c>
      <x:c r="I766" s="14">
        <x:v>2024</x:v>
      </x:c>
      <x:c r="J766" s="14" t="s">
        <x:v>135</x:v>
      </x:c>
      <x:c r="K766" s="14">
        <x:v>18</x:v>
      </x:c>
      <x:c r="L766" s="29" t="s">
        <x:v>119</x:v>
      </x:c>
      <x:c r="M766" s="28">
        <x:v>45503</x:v>
      </x:c>
      <x:c r="N766" s="28">
        <x:v>45686</x:v>
      </x:c>
      <x:c r="O766" s="14">
        <x:v>183</x:v>
      </x:c>
      <x:c r="P766" s="14" t="s">
        <x:v>107</x:v>
      </x:c>
      <x:c r="Q766" s="14" t="s">
        <x:v>103</x:v>
      </x:c>
      <x:c r="R766" s="14" t="s">
        <x:v>104</x:v>
      </x:c>
      <x:c r="S766" s="14" t="s">
        <x:v>108</x:v>
      </x:c>
      <x:c r="T766" s="14" t="str">
        <x:v>Region B</x:v>
      </x:c>
      <x:c r="U766" s="28">
        <x:v>45562</x:v>
      </x:c>
      <x:c r="V766" s="30">
        <x:v>57</x:v>
      </x:c>
      <x:c r="W766" s="14" t="s">
        <x:v>63</x:v>
      </x:c>
      <x:c r="X766" s="14" t="s">
        <x:v>117</x:v>
      </x:c>
      <x:c r="Y766" s="32" t="str">
        <x:v>TRN-0765|20240801</x:v>
      </x:c>
      <x:c r="Z766" s="32" t="str" cm="1">
        <x:f t="array" ref="Z76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766" s="33" t="n">
        <x:f>--OR(WorkforceData[[#This Row],[Status]]="Active",WorkforceData[[#This Row],[Promoted]]="Yes",WorkforceData[[#This Row],[Total Days Worked]]&gt;=121)</x:f>
        <x:v>1</x:v>
      </x:c>
      <x:c r="AB766" s="33" t="n">
        <x:f>IF(AND(Q766="Terminated",R766="",O766=0),1,0)</x:f>
        <x:v>0</x:v>
      </x:c>
      <x:c r="AC766" s="33" t="n">
        <x:f>--OR(WorkforceData[[#This Row],[Status]]="Resigned",WorkforceData[[#This Row],[Status After Training]]="Withdrew")</x:f>
        <x:v>1</x:v>
      </x:c>
      <x:c r="AD766" s="34" t="n">
        <x:f>EOMONTH(WorkforceData[[#This Row],[Training Date]],0)</x:f>
        <x:v>45535</x:v>
      </x:c>
      <x:c r="AE766" s="32" t="str">
        <x:f>IF(M766&lt;H766,"Existing Employee",IF(U766="","No Assignment",IF(V766=0,"0 Days",IF(V766&lt;=7,"1-7 Days",IF(V766&lt;=14,"8-14 Days",IF(V766&lt;=21,"15-21 Days","21+ Days"))))))</x:f>
        <x:v>Existing Employee</x:v>
      </x:c>
      <x:c r="AF76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66" s="33" t="n">
        <x:f>--(WorkforceData[[#This Row],[Total Days Worked]]&gt;=121)</x:f>
        <x:v>1</x:v>
      </x:c>
    </x:row>
    <x:row r="767">
      <x:c r="A767" s="236" t="str">
        <x:v>TRN-0766</x:v>
      </x:c>
      <x:c r="B767" s="243"/>
      <x:c r="C767" s="243"/>
      <x:c r="D767" s="243"/>
      <x:c r="E767" s="243"/>
      <x:c r="F767" s="14" t="str">
        <x:v>Recruiter E</x:v>
      </x:c>
      <x:c r="G767" s="14" t="str">
        <x:v>Training Center A</x:v>
      </x:c>
      <x:c r="H767" s="28">
        <x:v>45505</x:v>
      </x:c>
      <x:c r="I767" s="14">
        <x:v>2024</x:v>
      </x:c>
      <x:c r="J767" s="14" t="s">
        <x:v>135</x:v>
      </x:c>
      <x:c r="K767" s="14">
        <x:v>18</x:v>
      </x:c>
      <x:c r="L767" s="29" t="s">
        <x:v>119</x:v>
      </x:c>
      <x:c r="M767" s="28">
        <x:v>45505</x:v>
      </x:c>
      <x:c r="N767" s="14"/>
      <x:c r="O767" s="14">
        <x:v>746</x:v>
      </x:c>
      <x:c r="P767" s="14" t="s">
        <x:v>122</x:v>
      </x:c>
      <x:c r="Q767" s="14" t="s">
        <x:v>25</x:v>
      </x:c>
      <x:c r="R767" s="14"/>
      <x:c r="S767" s="14" t="s">
        <x:v>108</x:v>
      </x:c>
      <x:c r="T767" s="14" t="str">
        <x:v>Region B</x:v>
      </x:c>
      <x:c r="U767" s="28">
        <x:v>45509</x:v>
      </x:c>
      <x:c r="V767" s="30">
        <x:v>4</x:v>
      </x:c>
      <x:c r="W767" s="14" t="s">
        <x:v>109</x:v>
      </x:c>
      <x:c r="X767" s="14" t="s">
        <x:v>125</x:v>
      </x:c>
      <x:c r="Y767" s="32" t="str">
        <x:v>TRN-0766|20240801</x:v>
      </x:c>
      <x:c r="Z767" s="32" t="str" cm="1">
        <x:f t="array" ref="Z76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767" s="33" t="n">
        <x:f>--OR(WorkforceData[[#This Row],[Status]]="Active",WorkforceData[[#This Row],[Promoted]]="Yes",WorkforceData[[#This Row],[Total Days Worked]]&gt;=121)</x:f>
        <x:v>1</x:v>
      </x:c>
      <x:c r="AB767" s="33" t="n">
        <x:f>IF(AND(Q767="Terminated",R767="",O767=0),1,0)</x:f>
        <x:v>0</x:v>
      </x:c>
      <x:c r="AC767" s="33" t="n">
        <x:f>--OR(WorkforceData[[#This Row],[Status]]="Resigned",WorkforceData[[#This Row],[Status After Training]]="Withdrew")</x:f>
        <x:v>0</x:v>
      </x:c>
      <x:c r="AD767" s="34" t="n">
        <x:f>EOMONTH(WorkforceData[[#This Row],[Training Date]],0)</x:f>
        <x:v>45535</x:v>
      </x:c>
      <x:c r="AE767" s="32" t="str">
        <x:f>IF(M767&lt;H767,"Existing Employee",IF(U767="","No Assignment",IF(V767=0,"0 Days",IF(V767&lt;=7,"1-7 Days",IF(V767&lt;=14,"8-14 Days",IF(V767&lt;=21,"15-21 Days","21+ Days"))))))</x:f>
        <x:v>1-7 Days</x:v>
      </x:c>
      <x:c r="AF76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67" s="33" t="n">
        <x:f>--(WorkforceData[[#This Row],[Total Days Worked]]&gt;=121)</x:f>
        <x:v>1</x:v>
      </x:c>
    </x:row>
    <x:row r="768">
      <x:c r="A768" s="236" t="str">
        <x:v>TRN-0767</x:v>
      </x:c>
      <x:c r="B768" s="243"/>
      <x:c r="C768" s="243"/>
      <x:c r="D768" s="243"/>
      <x:c r="E768" s="243"/>
      <x:c r="F768" s="14" t="str">
        <x:v>Recruiter C</x:v>
      </x:c>
      <x:c r="G768" s="14" t="str">
        <x:v>Training Center A</x:v>
      </x:c>
      <x:c r="H768" s="28">
        <x:v>45505</x:v>
      </x:c>
      <x:c r="I768" s="14">
        <x:v>2024</x:v>
      </x:c>
      <x:c r="J768" s="14" t="s">
        <x:v>135</x:v>
      </x:c>
      <x:c r="K768" s="14">
        <x:v>18</x:v>
      </x:c>
      <x:c r="L768" s="29" t="s">
        <x:v>119</x:v>
      </x:c>
      <x:c r="M768" s="28">
        <x:v>45503</x:v>
      </x:c>
      <x:c r="N768" s="14"/>
      <x:c r="O768" s="14">
        <x:v>748</x:v>
      </x:c>
      <x:c r="P768" s="14" t="s">
        <x:v>122</x:v>
      </x:c>
      <x:c r="Q768" s="14" t="s">
        <x:v>25</x:v>
      </x:c>
      <x:c r="R768" s="14"/>
      <x:c r="S768" s="14" t="s">
        <x:v>108</x:v>
      </x:c>
      <x:c r="T768" s="14" t="str">
        <x:v>Region B</x:v>
      </x:c>
      <x:c r="U768" s="28">
        <x:v>45506</x:v>
      </x:c>
      <x:c r="V768" s="30">
        <x:v>1</x:v>
      </x:c>
      <x:c r="W768" s="14" t="s">
        <x:v>109</x:v>
      </x:c>
      <x:c r="X768" s="14" t="s">
        <x:v>106</x:v>
      </x:c>
      <x:c r="Y768" s="32" t="str">
        <x:v>TRN-0767|20240801</x:v>
      </x:c>
      <x:c r="Z768" s="32" t="str" cm="1">
        <x:f t="array" ref="Z76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768" s="33" t="n">
        <x:f>--OR(WorkforceData[[#This Row],[Status]]="Active",WorkforceData[[#This Row],[Promoted]]="Yes",WorkforceData[[#This Row],[Total Days Worked]]&gt;=121)</x:f>
        <x:v>1</x:v>
      </x:c>
      <x:c r="AB768" s="33" t="n">
        <x:f>IF(AND(Q768="Terminated",R768="",O768=0),1,0)</x:f>
        <x:v>0</x:v>
      </x:c>
      <x:c r="AC768" s="33" t="n">
        <x:f>--OR(WorkforceData[[#This Row],[Status]]="Resigned",WorkforceData[[#This Row],[Status After Training]]="Withdrew")</x:f>
        <x:v>0</x:v>
      </x:c>
      <x:c r="AD768" s="34" t="n">
        <x:f>EOMONTH(WorkforceData[[#This Row],[Training Date]],0)</x:f>
        <x:v>45535</x:v>
      </x:c>
      <x:c r="AE768" s="32" t="str">
        <x:f>IF(M768&lt;H768,"Existing Employee",IF(U768="","No Assignment",IF(V768=0,"0 Days",IF(V768&lt;=7,"1-7 Days",IF(V768&lt;=14,"8-14 Days",IF(V768&lt;=21,"15-21 Days","21+ Days"))))))</x:f>
        <x:v>Existing Employee</x:v>
      </x:c>
      <x:c r="AF76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68" s="33" t="n">
        <x:f>--(WorkforceData[[#This Row],[Total Days Worked]]&gt;=121)</x:f>
        <x:v>1</x:v>
      </x:c>
    </x:row>
    <x:row r="769">
      <x:c r="A769" s="236" t="str">
        <x:v>TRN-0768</x:v>
      </x:c>
      <x:c r="B769" s="243"/>
      <x:c r="C769" s="243"/>
      <x:c r="D769" s="243"/>
      <x:c r="E769" s="243"/>
      <x:c r="F769" s="14" t="str">
        <x:v>Recruiter D</x:v>
      </x:c>
      <x:c r="G769" s="14" t="str">
        <x:v>Training Center B</x:v>
      </x:c>
      <x:c r="H769" s="28">
        <x:v>46133</x:v>
      </x:c>
      <x:c r="I769" s="14">
        <x:v>2026</x:v>
      </x:c>
      <x:c r="J769" s="14" t="s">
        <x:v>126</x:v>
      </x:c>
      <x:c r="K769" s="14">
        <x:v>26</x:v>
      </x:c>
      <x:c r="L769" s="29" t="s">
        <x:v>101</x:v>
      </x:c>
      <x:c r="M769" s="28">
        <x:v>46130</x:v>
      </x:c>
      <x:c r="N769" s="14"/>
      <x:c r="O769" s="14">
        <x:v>121</x:v>
      </x:c>
      <x:c r="P769" s="14" t="s">
        <x:v>113</x:v>
      </x:c>
      <x:c r="Q769" s="14" t="s">
        <x:v>38</x:v>
      </x:c>
      <x:c r="R769" s="14"/>
      <x:c r="S769" s="14" t="s">
        <x:v>105</x:v>
      </x:c>
      <x:c r="T769" s="14" t="str">
        <x:v>Region E</x:v>
      </x:c>
      <x:c r="U769" s="28">
        <x:v>46162</x:v>
      </x:c>
      <x:c r="V769" s="30">
        <x:v>29</x:v>
      </x:c>
      <x:c r="W769" s="14" t="s">
        <x:v>112</x:v>
      </x:c>
      <x:c r="X769" s="14" t="s">
        <x:v>106</x:v>
      </x:c>
      <x:c r="Y769" s="32" t="str">
        <x:v>TRN-0768|20260421</x:v>
      </x:c>
      <x:c r="Z769" s="32" t="str" cm="1">
        <x:f t="array" ref="Z76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769" s="33" t="n">
        <x:f>--OR(WorkforceData[[#This Row],[Status]]="Active",WorkforceData[[#This Row],[Promoted]]="Yes",WorkforceData[[#This Row],[Total Days Worked]]&gt;=121)</x:f>
        <x:v>1</x:v>
      </x:c>
      <x:c r="AB769" s="33" t="n">
        <x:f>IF(AND(Q769="Terminated",R769="",O769=0),1,0)</x:f>
        <x:v>0</x:v>
      </x:c>
      <x:c r="AC769" s="33" t="n">
        <x:f>--OR(WorkforceData[[#This Row],[Status]]="Resigned",WorkforceData[[#This Row],[Status After Training]]="Withdrew")</x:f>
        <x:v>0</x:v>
      </x:c>
      <x:c r="AD769" s="34" t="n">
        <x:f>EOMONTH(WorkforceData[[#This Row],[Training Date]],0)</x:f>
        <x:v>46142</x:v>
      </x:c>
      <x:c r="AE769" s="32" t="str">
        <x:f>IF(M769&lt;H769,"Existing Employee",IF(U769="","No Assignment",IF(V769=0,"0 Days",IF(V769&lt;=7,"1-7 Days",IF(V769&lt;=14,"8-14 Days",IF(V769&lt;=21,"15-21 Days","21+ Days"))))))</x:f>
        <x:v>Existing Employee</x:v>
      </x:c>
      <x:c r="AF76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69" s="33" t="n">
        <x:f>--(WorkforceData[[#This Row],[Total Days Worked]]&gt;=121)</x:f>
        <x:v>1</x:v>
      </x:c>
    </x:row>
    <x:row r="770">
      <x:c r="A770" s="236" t="str">
        <x:v>TRN-0769</x:v>
      </x:c>
      <x:c r="B770" s="243"/>
      <x:c r="C770" s="243"/>
      <x:c r="D770" s="243"/>
      <x:c r="E770" s="243"/>
      <x:c r="F770" s="14" t="str">
        <x:v>Recruiter H</x:v>
      </x:c>
      <x:c r="G770" s="14" t="str">
        <x:v>Training Center B</x:v>
      </x:c>
      <x:c r="H770" s="28">
        <x:v>46133</x:v>
      </x:c>
      <x:c r="I770" s="14">
        <x:v>2026</x:v>
      </x:c>
      <x:c r="J770" s="14" t="s">
        <x:v>126</x:v>
      </x:c>
      <x:c r="K770" s="14">
        <x:v>26</x:v>
      </x:c>
      <x:c r="L770" s="29" t="s">
        <x:v>101</x:v>
      </x:c>
      <x:c r="M770" s="28">
        <x:v>46133</x:v>
      </x:c>
      <x:c r="N770" s="28">
        <x:v>46145</x:v>
      </x:c>
      <x:c r="O770" s="14">
        <x:v>12</x:v>
      </x:c>
      <x:c r="P770" s="14" t="s">
        <x:v>102</x:v>
      </x:c>
      <x:c r="Q770" s="14" t="s">
        <x:v>33</x:v>
      </x:c>
      <x:c r="R770" s="14" t="s">
        <x:v>116</x:v>
      </x:c>
      <x:c r="S770" s="14" t="s">
        <x:v>105</x:v>
      </x:c>
      <x:c r="T770" s="14" t="str">
        <x:v>Region D</x:v>
      </x:c>
      <x:c r="U770" s="28">
        <x:v>46145</x:v>
      </x:c>
      <x:c r="V770" s="30">
        <x:v>12</x:v>
      </x:c>
      <x:c r="W770" s="14" t="s">
        <x:v>45</x:v>
      </x:c>
      <x:c r="X770" s="14" t="s">
        <x:v>106</x:v>
      </x:c>
      <x:c r="Y770" s="32" t="str">
        <x:v>TRN-0769|20260421</x:v>
      </x:c>
      <x:c r="Z770" s="32" t="str" cm="1">
        <x:f t="array" ref="Z77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770" s="33" t="n">
        <x:f>--OR(WorkforceData[[#This Row],[Status]]="Active",WorkforceData[[#This Row],[Promoted]]="Yes",WorkforceData[[#This Row],[Total Days Worked]]&gt;=121)</x:f>
        <x:v>0</x:v>
      </x:c>
      <x:c r="AB770" s="33" t="n">
        <x:f>IF(AND(Q770="Terminated",R770="",O770=0),1,0)</x:f>
        <x:v>0</x:v>
      </x:c>
      <x:c r="AC770" s="33" t="n">
        <x:f>--OR(WorkforceData[[#This Row],[Status]]="Resigned",WorkforceData[[#This Row],[Status After Training]]="Withdrew")</x:f>
        <x:v>0</x:v>
      </x:c>
      <x:c r="AD770" s="34" t="n">
        <x:f>EOMONTH(WorkforceData[[#This Row],[Training Date]],0)</x:f>
        <x:v>46142</x:v>
      </x:c>
      <x:c r="AE770" s="32" t="str">
        <x:f>IF(M770&lt;H770,"Existing Employee",IF(U770="","No Assignment",IF(V770=0,"0 Days",IF(V770&lt;=7,"1-7 Days",IF(V770&lt;=14,"8-14 Days",IF(V770&lt;=21,"15-21 Days","21+ Days"))))))</x:f>
        <x:v>8-14 Days</x:v>
      </x:c>
      <x:c r="AF77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770" s="33" t="n">
        <x:f>--(WorkforceData[[#This Row],[Total Days Worked]]&gt;=121)</x:f>
        <x:v>0</x:v>
      </x:c>
    </x:row>
    <x:row r="771">
      <x:c r="A771" s="236" t="str">
        <x:v>TRN-0770</x:v>
      </x:c>
      <x:c r="B771" s="243"/>
      <x:c r="C771" s="243"/>
      <x:c r="D771" s="243"/>
      <x:c r="E771" s="243"/>
      <x:c r="F771" s="14" t="str">
        <x:v>Recruiter B</x:v>
      </x:c>
      <x:c r="G771" s="14" t="str">
        <x:v>Training Center B</x:v>
      </x:c>
      <x:c r="H771" s="28">
        <x:v>46133</x:v>
      </x:c>
      <x:c r="I771" s="14">
        <x:v>2026</x:v>
      </x:c>
      <x:c r="J771" s="14" t="s">
        <x:v>126</x:v>
      </x:c>
      <x:c r="K771" s="14">
        <x:v>26</x:v>
      </x:c>
      <x:c r="L771" s="29" t="s">
        <x:v>101</x:v>
      </x:c>
      <x:c r="M771" s="28">
        <x:v>46133</x:v>
      </x:c>
      <x:c r="N771" s="14"/>
      <x:c r="O771" s="14">
        <x:v>118</x:v>
      </x:c>
      <x:c r="P771" s="14" t="s">
        <x:v>113</x:v>
      </x:c>
      <x:c r="Q771" s="14" t="s">
        <x:v>25</x:v>
      </x:c>
      <x:c r="R771" s="14"/>
      <x:c r="S771" s="14" t="s">
        <x:v>105</x:v>
      </x:c>
      <x:c r="T771" s="14" t="str">
        <x:v>Region D</x:v>
      </x:c>
      <x:c r="U771" s="28">
        <x:v>46136</x:v>
      </x:c>
      <x:c r="V771" s="30">
        <x:v>3</x:v>
      </x:c>
      <x:c r="W771" s="14" t="s">
        <x:v>109</x:v>
      </x:c>
      <x:c r="X771" s="14" t="s">
        <x:v>106</x:v>
      </x:c>
      <x:c r="Y771" s="32" t="str">
        <x:v>TRN-0770|20260421</x:v>
      </x:c>
      <x:c r="Z771" s="32" t="str" cm="1">
        <x:f t="array" ref="Z77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771" s="33" t="n">
        <x:f>--OR(WorkforceData[[#This Row],[Status]]="Active",WorkforceData[[#This Row],[Promoted]]="Yes",WorkforceData[[#This Row],[Total Days Worked]]&gt;=121)</x:f>
        <x:v>1</x:v>
      </x:c>
      <x:c r="AB771" s="33" t="n">
        <x:f>IF(AND(Q771="Terminated",R771="",O771=0),1,0)</x:f>
        <x:v>0</x:v>
      </x:c>
      <x:c r="AC771" s="33" t="n">
        <x:f>--OR(WorkforceData[[#This Row],[Status]]="Resigned",WorkforceData[[#This Row],[Status After Training]]="Withdrew")</x:f>
        <x:v>0</x:v>
      </x:c>
      <x:c r="AD771" s="34" t="n">
        <x:f>EOMONTH(WorkforceData[[#This Row],[Training Date]],0)</x:f>
        <x:v>46142</x:v>
      </x:c>
      <x:c r="AE771" s="32" t="str">
        <x:f>IF(M771&lt;H771,"Existing Employee",IF(U771="","No Assignment",IF(V771=0,"0 Days",IF(V771&lt;=7,"1-7 Days",IF(V771&lt;=14,"8-14 Days",IF(V771&lt;=21,"15-21 Days","21+ Days"))))))</x:f>
        <x:v>1-7 Days</x:v>
      </x:c>
      <x:c r="AF77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91-120 Days</x:v>
      </x:c>
      <x:c r="AG771" s="33" t="n">
        <x:f>--(WorkforceData[[#This Row],[Total Days Worked]]&gt;=121)</x:f>
        <x:v>0</x:v>
      </x:c>
    </x:row>
    <x:row r="772">
      <x:c r="A772" s="236" t="str">
        <x:v>TRN-0771</x:v>
      </x:c>
      <x:c r="B772" s="243"/>
      <x:c r="C772" s="243"/>
      <x:c r="D772" s="243"/>
      <x:c r="E772" s="243"/>
      <x:c r="F772" s="14" t="str">
        <x:v>Recruiter G</x:v>
      </x:c>
      <x:c r="G772" s="14" t="str">
        <x:v>Training Center B</x:v>
      </x:c>
      <x:c r="H772" s="28">
        <x:v>46133</x:v>
      </x:c>
      <x:c r="I772" s="14">
        <x:v>2026</x:v>
      </x:c>
      <x:c r="J772" s="14" t="s">
        <x:v>126</x:v>
      </x:c>
      <x:c r="K772" s="14">
        <x:v>26</x:v>
      </x:c>
      <x:c r="L772" s="29" t="s">
        <x:v>101</x:v>
      </x:c>
      <x:c r="M772" s="28">
        <x:v>46128</x:v>
      </x:c>
      <x:c r="N772" s="14"/>
      <x:c r="O772" s="14">
        <x:v>123</x:v>
      </x:c>
      <x:c r="P772" s="14" t="s">
        <x:v>113</x:v>
      </x:c>
      <x:c r="Q772" s="14" t="s">
        <x:v>25</x:v>
      </x:c>
      <x:c r="R772" s="14"/>
      <x:c r="S772" s="14" t="s">
        <x:v>105</x:v>
      </x:c>
      <x:c r="T772" s="14"/>
      <x:c r="U772" s="28"/>
      <x:c r="V772" s="30"/>
      <x:c r="W772" s="14"/>
      <x:c r="X772" s="14" t="s">
        <x:v>71</x:v>
      </x:c>
      <x:c r="Y772" s="32" t="str">
        <x:v>TRN-0771|20260421</x:v>
      </x:c>
      <x:c r="Z772" s="32" t="str" cm="1">
        <x:f t="array" ref="Z77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772" s="33" t="n">
        <x:f>--OR(WorkforceData[[#This Row],[Status]]="Active",WorkforceData[[#This Row],[Promoted]]="Yes",WorkforceData[[#This Row],[Total Days Worked]]&gt;=121)</x:f>
        <x:v>1</x:v>
      </x:c>
      <x:c r="AB772" s="33" t="n">
        <x:f>IF(AND(Q772="Terminated",R772="",O772=0),1,0)</x:f>
        <x:v>0</x:v>
      </x:c>
      <x:c r="AC772" s="33" t="n">
        <x:f>--OR(WorkforceData[[#This Row],[Status]]="Resigned",WorkforceData[[#This Row],[Status After Training]]="Withdrew")</x:f>
        <x:v>0</x:v>
      </x:c>
      <x:c r="AD772" s="34" t="n">
        <x:f>EOMONTH(WorkforceData[[#This Row],[Training Date]],0)</x:f>
        <x:v>46142</x:v>
      </x:c>
      <x:c r="AE772" s="32" t="str">
        <x:f>IF(M772&lt;H772,"Existing Employee",IF(U772="","No Assignment",IF(V772=0,"0 Days",IF(V772&lt;=7,"1-7 Days",IF(V772&lt;=14,"8-14 Days",IF(V772&lt;=21,"15-21 Days","21+ Days"))))))</x:f>
        <x:v>Existing Employee</x:v>
      </x:c>
      <x:c r="AF77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72" s="33" t="n">
        <x:f>--(WorkforceData[[#This Row],[Total Days Worked]]&gt;=121)</x:f>
        <x:v>1</x:v>
      </x:c>
    </x:row>
    <x:row r="773">
      <x:c r="A773" s="236" t="str">
        <x:v>TRN-0772</x:v>
      </x:c>
      <x:c r="B773" s="243"/>
      <x:c r="C773" s="243"/>
      <x:c r="D773" s="243"/>
      <x:c r="E773" s="243"/>
      <x:c r="F773" s="14" t="str">
        <x:v>Recruiter C</x:v>
      </x:c>
      <x:c r="G773" s="14" t="str">
        <x:v>Training Center B</x:v>
      </x:c>
      <x:c r="H773" s="28">
        <x:v>46133</x:v>
      </x:c>
      <x:c r="I773" s="14">
        <x:v>2026</x:v>
      </x:c>
      <x:c r="J773" s="14" t="s">
        <x:v>126</x:v>
      </x:c>
      <x:c r="K773" s="14">
        <x:v>26</x:v>
      </x:c>
      <x:c r="L773" s="29" t="s">
        <x:v>101</x:v>
      </x:c>
      <x:c r="M773" s="28">
        <x:v>46132</x:v>
      </x:c>
      <x:c r="N773" s="14"/>
      <x:c r="O773" s="14">
        <x:v>119</x:v>
      </x:c>
      <x:c r="P773" s="14" t="s">
        <x:v>113</x:v>
      </x:c>
      <x:c r="Q773" s="14" t="s">
        <x:v>25</x:v>
      </x:c>
      <x:c r="R773" s="14"/>
      <x:c r="S773" s="14" t="s">
        <x:v>105</x:v>
      </x:c>
      <x:c r="T773" s="14" t="str">
        <x:v>Region D</x:v>
      </x:c>
      <x:c r="U773" s="28">
        <x:v>46137</x:v>
      </x:c>
      <x:c r="V773" s="30">
        <x:v>4</x:v>
      </x:c>
      <x:c r="W773" s="14" t="s">
        <x:v>109</x:v>
      </x:c>
      <x:c r="X773" s="14" t="s">
        <x:v>106</x:v>
      </x:c>
      <x:c r="Y773" s="32" t="str">
        <x:v>TRN-0772|20260421</x:v>
      </x:c>
      <x:c r="Z773" s="32" t="str" cm="1">
        <x:f t="array" ref="Z77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773" s="33" t="n">
        <x:f>--OR(WorkforceData[[#This Row],[Status]]="Active",WorkforceData[[#This Row],[Promoted]]="Yes",WorkforceData[[#This Row],[Total Days Worked]]&gt;=121)</x:f>
        <x:v>1</x:v>
      </x:c>
      <x:c r="AB773" s="33" t="n">
        <x:f>IF(AND(Q773="Terminated",R773="",O773=0),1,0)</x:f>
        <x:v>0</x:v>
      </x:c>
      <x:c r="AC773" s="33" t="n">
        <x:f>--OR(WorkforceData[[#This Row],[Status]]="Resigned",WorkforceData[[#This Row],[Status After Training]]="Withdrew")</x:f>
        <x:v>0</x:v>
      </x:c>
      <x:c r="AD773" s="34" t="n">
        <x:f>EOMONTH(WorkforceData[[#This Row],[Training Date]],0)</x:f>
        <x:v>46142</x:v>
      </x:c>
      <x:c r="AE773" s="32" t="str">
        <x:f>IF(M773&lt;H773,"Existing Employee",IF(U773="","No Assignment",IF(V773=0,"0 Days",IF(V773&lt;=7,"1-7 Days",IF(V773&lt;=14,"8-14 Days",IF(V773&lt;=21,"15-21 Days","21+ Days"))))))</x:f>
        <x:v>Existing Employee</x:v>
      </x:c>
      <x:c r="AF77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91-120 Days</x:v>
      </x:c>
      <x:c r="AG773" s="33" t="n">
        <x:f>--(WorkforceData[[#This Row],[Total Days Worked]]&gt;=121)</x:f>
        <x:v>0</x:v>
      </x:c>
    </x:row>
    <x:row r="774">
      <x:c r="A774" s="236" t="str">
        <x:v>TRN-0773</x:v>
      </x:c>
      <x:c r="B774" s="243"/>
      <x:c r="C774" s="243"/>
      <x:c r="D774" s="243"/>
      <x:c r="E774" s="243"/>
      <x:c r="F774" s="14" t="str">
        <x:v>Recruiter B</x:v>
      </x:c>
      <x:c r="G774" s="14" t="str">
        <x:v>Training Center B</x:v>
      </x:c>
      <x:c r="H774" s="28">
        <x:v>46133</x:v>
      </x:c>
      <x:c r="I774" s="14">
        <x:v>2026</x:v>
      </x:c>
      <x:c r="J774" s="14" t="s">
        <x:v>126</x:v>
      </x:c>
      <x:c r="K774" s="14">
        <x:v>26</x:v>
      </x:c>
      <x:c r="L774" s="29" t="s">
        <x:v>101</x:v>
      </x:c>
      <x:c r="M774" s="28">
        <x:v>46132</x:v>
      </x:c>
      <x:c r="N774" s="14"/>
      <x:c r="O774" s="14">
        <x:v>119</x:v>
      </x:c>
      <x:c r="P774" s="14" t="s">
        <x:v>113</x:v>
      </x:c>
      <x:c r="Q774" s="14" t="s">
        <x:v>25</x:v>
      </x:c>
      <x:c r="R774" s="14"/>
      <x:c r="S774" s="14" t="s">
        <x:v>105</x:v>
      </x:c>
      <x:c r="T774" s="14" t="str">
        <x:v>Region D</x:v>
      </x:c>
      <x:c r="U774" s="28">
        <x:v>46140</x:v>
      </x:c>
      <x:c r="V774" s="30">
        <x:v>7</x:v>
      </x:c>
      <x:c r="W774" s="14" t="s">
        <x:v>109</x:v>
      </x:c>
      <x:c r="X774" s="14" t="s">
        <x:v>106</x:v>
      </x:c>
      <x:c r="Y774" s="32" t="str">
        <x:v>TRN-0773|20260421</x:v>
      </x:c>
      <x:c r="Z774" s="32" t="str" cm="1">
        <x:f t="array" ref="Z77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774" s="33" t="n">
        <x:f>--OR(WorkforceData[[#This Row],[Status]]="Active",WorkforceData[[#This Row],[Promoted]]="Yes",WorkforceData[[#This Row],[Total Days Worked]]&gt;=121)</x:f>
        <x:v>1</x:v>
      </x:c>
      <x:c r="AB774" s="33" t="n">
        <x:f>IF(AND(Q774="Terminated",R774="",O774=0),1,0)</x:f>
        <x:v>0</x:v>
      </x:c>
      <x:c r="AC774" s="33" t="n">
        <x:f>--OR(WorkforceData[[#This Row],[Status]]="Resigned",WorkforceData[[#This Row],[Status After Training]]="Withdrew")</x:f>
        <x:v>0</x:v>
      </x:c>
      <x:c r="AD774" s="34" t="n">
        <x:f>EOMONTH(WorkforceData[[#This Row],[Training Date]],0)</x:f>
        <x:v>46142</x:v>
      </x:c>
      <x:c r="AE774" s="32" t="str">
        <x:f>IF(M774&lt;H774,"Existing Employee",IF(U774="","No Assignment",IF(V774=0,"0 Days",IF(V774&lt;=7,"1-7 Days",IF(V774&lt;=14,"8-14 Days",IF(V774&lt;=21,"15-21 Days","21+ Days"))))))</x:f>
        <x:v>Existing Employee</x:v>
      </x:c>
      <x:c r="AF77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91-120 Days</x:v>
      </x:c>
      <x:c r="AG774" s="33" t="n">
        <x:f>--(WorkforceData[[#This Row],[Total Days Worked]]&gt;=121)</x:f>
        <x:v>0</x:v>
      </x:c>
    </x:row>
    <x:row r="775">
      <x:c r="A775" s="236" t="str">
        <x:v>TRN-0774</x:v>
      </x:c>
      <x:c r="B775" s="243"/>
      <x:c r="C775" s="243"/>
      <x:c r="D775" s="243"/>
      <x:c r="E775" s="243"/>
      <x:c r="F775" s="14" t="str">
        <x:v>Recruiter B</x:v>
      </x:c>
      <x:c r="G775" s="14" t="str">
        <x:v>Training Center B</x:v>
      </x:c>
      <x:c r="H775" s="28">
        <x:v>46133</x:v>
      </x:c>
      <x:c r="I775" s="14">
        <x:v>2026</x:v>
      </x:c>
      <x:c r="J775" s="14" t="s">
        <x:v>126</x:v>
      </x:c>
      <x:c r="K775" s="14">
        <x:v>26</x:v>
      </x:c>
      <x:c r="L775" s="29" t="s">
        <x:v>101</x:v>
      </x:c>
      <x:c r="M775" s="28">
        <x:v>46133</x:v>
      </x:c>
      <x:c r="N775" s="28">
        <x:v>46163</x:v>
      </x:c>
      <x:c r="O775" s="14">
        <x:v>30</x:v>
      </x:c>
      <x:c r="P775" s="14" t="s">
        <x:v>102</x:v>
      </x:c>
      <x:c r="Q775" s="14" t="s">
        <x:v>33</x:v>
      </x:c>
      <x:c r="R775" s="14" t="s">
        <x:v>121</x:v>
      </x:c>
      <x:c r="S775" s="14" t="s">
        <x:v>105</x:v>
      </x:c>
      <x:c r="T775" s="14" t="str">
        <x:v>Region B</x:v>
      </x:c>
      <x:c r="U775" s="28">
        <x:v>46157</x:v>
      </x:c>
      <x:c r="V775" s="30">
        <x:v>24</x:v>
      </x:c>
      <x:c r="W775" s="14" t="s">
        <x:v>112</x:v>
      </x:c>
      <x:c r="X775" s="14" t="s">
        <x:v>106</x:v>
      </x:c>
      <x:c r="Y775" s="32" t="str">
        <x:v>TRN-0774|20260421</x:v>
      </x:c>
      <x:c r="Z775" s="32" t="str" cm="1">
        <x:f t="array" ref="Z77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775" s="33" t="n">
        <x:f>--OR(WorkforceData[[#This Row],[Status]]="Active",WorkforceData[[#This Row],[Promoted]]="Yes",WorkforceData[[#This Row],[Total Days Worked]]&gt;=121)</x:f>
        <x:v>0</x:v>
      </x:c>
      <x:c r="AB775" s="33" t="n">
        <x:f>IF(AND(Q775="Terminated",R775="",O775=0),1,0)</x:f>
        <x:v>0</x:v>
      </x:c>
      <x:c r="AC775" s="33" t="n">
        <x:f>--OR(WorkforceData[[#This Row],[Status]]="Resigned",WorkforceData[[#This Row],[Status After Training]]="Withdrew")</x:f>
        <x:v>0</x:v>
      </x:c>
      <x:c r="AD775" s="34" t="n">
        <x:f>EOMONTH(WorkforceData[[#This Row],[Training Date]],0)</x:f>
        <x:v>46142</x:v>
      </x:c>
      <x:c r="AE775" s="32" t="str">
        <x:f>IF(M775&lt;H775,"Existing Employee",IF(U775="","No Assignment",IF(V775=0,"0 Days",IF(V775&lt;=7,"1-7 Days",IF(V775&lt;=14,"8-14 Days",IF(V775&lt;=21,"15-21 Days","21+ Days"))))))</x:f>
        <x:v>21+ Days</x:v>
      </x:c>
      <x:c r="AF77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775" s="33" t="n">
        <x:f>--(WorkforceData[[#This Row],[Total Days Worked]]&gt;=121)</x:f>
        <x:v>0</x:v>
      </x:c>
    </x:row>
    <x:row r="776">
      <x:c r="A776" s="236" t="str">
        <x:v>TRN-0775</x:v>
      </x:c>
      <x:c r="B776" s="243"/>
      <x:c r="C776" s="243"/>
      <x:c r="D776" s="243"/>
      <x:c r="E776" s="243"/>
      <x:c r="F776" s="14" t="str">
        <x:v>Recruiter C</x:v>
      </x:c>
      <x:c r="G776" s="14" t="str">
        <x:v>Training Center B</x:v>
      </x:c>
      <x:c r="H776" s="28">
        <x:v>46133</x:v>
      </x:c>
      <x:c r="I776" s="14">
        <x:v>2026</x:v>
      </x:c>
      <x:c r="J776" s="14" t="s">
        <x:v>126</x:v>
      </x:c>
      <x:c r="K776" s="14">
        <x:v>26</x:v>
      </x:c>
      <x:c r="L776" s="29" t="s">
        <x:v>101</x:v>
      </x:c>
      <x:c r="M776" s="28">
        <x:v>46130</x:v>
      </x:c>
      <x:c r="N776" s="14"/>
      <x:c r="O776" s="14">
        <x:v>121</x:v>
      </x:c>
      <x:c r="P776" s="14" t="s">
        <x:v>113</x:v>
      </x:c>
      <x:c r="Q776" s="14" t="s">
        <x:v>25</x:v>
      </x:c>
      <x:c r="R776" s="14"/>
      <x:c r="S776" s="14" t="s">
        <x:v>105</x:v>
      </x:c>
      <x:c r="T776" s="14" t="str">
        <x:v>Region B</x:v>
      </x:c>
      <x:c r="U776" s="28">
        <x:v>46146</x:v>
      </x:c>
      <x:c r="V776" s="30">
        <x:v>13</x:v>
      </x:c>
      <x:c r="W776" s="14" t="s">
        <x:v>45</x:v>
      </x:c>
      <x:c r="X776" s="14" t="s">
        <x:v>106</x:v>
      </x:c>
      <x:c r="Y776" s="32" t="str">
        <x:v>TRN-0775|20260421</x:v>
      </x:c>
      <x:c r="Z776" s="32" t="str" cm="1">
        <x:f t="array" ref="Z77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776" s="33" t="n">
        <x:f>--OR(WorkforceData[[#This Row],[Status]]="Active",WorkforceData[[#This Row],[Promoted]]="Yes",WorkforceData[[#This Row],[Total Days Worked]]&gt;=121)</x:f>
        <x:v>1</x:v>
      </x:c>
      <x:c r="AB776" s="33" t="n">
        <x:f>IF(AND(Q776="Terminated",R776="",O776=0),1,0)</x:f>
        <x:v>0</x:v>
      </x:c>
      <x:c r="AC776" s="33" t="n">
        <x:f>--OR(WorkforceData[[#This Row],[Status]]="Resigned",WorkforceData[[#This Row],[Status After Training]]="Withdrew")</x:f>
        <x:v>0</x:v>
      </x:c>
      <x:c r="AD776" s="34" t="n">
        <x:f>EOMONTH(WorkforceData[[#This Row],[Training Date]],0)</x:f>
        <x:v>46142</x:v>
      </x:c>
      <x:c r="AE776" s="32" t="str">
        <x:f>IF(M776&lt;H776,"Existing Employee",IF(U776="","No Assignment",IF(V776=0,"0 Days",IF(V776&lt;=7,"1-7 Days",IF(V776&lt;=14,"8-14 Days",IF(V776&lt;=21,"15-21 Days","21+ Days"))))))</x:f>
        <x:v>Existing Employee</x:v>
      </x:c>
      <x:c r="AF77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76" s="33" t="n">
        <x:f>--(WorkforceData[[#This Row],[Total Days Worked]]&gt;=121)</x:f>
        <x:v>1</x:v>
      </x:c>
    </x:row>
    <x:row r="777">
      <x:c r="A777" s="236" t="str">
        <x:v>TRN-0776</x:v>
      </x:c>
      <x:c r="B777" s="243"/>
      <x:c r="C777" s="243"/>
      <x:c r="D777" s="243"/>
      <x:c r="E777" s="243"/>
      <x:c r="F777" s="14" t="str">
        <x:v>Recruiter D</x:v>
      </x:c>
      <x:c r="G777" s="14" t="str">
        <x:v>Training Center B</x:v>
      </x:c>
      <x:c r="H777" s="28">
        <x:v>46133</x:v>
      </x:c>
      <x:c r="I777" s="14">
        <x:v>2026</x:v>
      </x:c>
      <x:c r="J777" s="14" t="s">
        <x:v>126</x:v>
      </x:c>
      <x:c r="K777" s="14">
        <x:v>26</x:v>
      </x:c>
      <x:c r="L777" s="29" t="s">
        <x:v>101</x:v>
      </x:c>
      <x:c r="M777" s="28">
        <x:v>46133</x:v>
      </x:c>
      <x:c r="N777" s="14"/>
      <x:c r="O777" s="14">
        <x:v>118</x:v>
      </x:c>
      <x:c r="P777" s="14" t="s">
        <x:v>113</x:v>
      </x:c>
      <x:c r="Q777" s="14" t="s">
        <x:v>38</x:v>
      </x:c>
      <x:c r="R777" s="14"/>
      <x:c r="S777" s="14" t="s">
        <x:v>105</x:v>
      </x:c>
      <x:c r="T777" s="14" t="str">
        <x:v>Region D</x:v>
      </x:c>
      <x:c r="U777" s="28">
        <x:v>46143</x:v>
      </x:c>
      <x:c r="V777" s="30">
        <x:v>10</x:v>
      </x:c>
      <x:c r="W777" s="14" t="s">
        <x:v>45</x:v>
      </x:c>
      <x:c r="X777" s="14" t="s">
        <x:v>106</x:v>
      </x:c>
      <x:c r="Y777" s="32" t="str">
        <x:v>TRN-0776|20260421</x:v>
      </x:c>
      <x:c r="Z777" s="32" t="str" cm="1">
        <x:f t="array" ref="Z77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777" s="33" t="n">
        <x:f>--OR(WorkforceData[[#This Row],[Status]]="Active",WorkforceData[[#This Row],[Promoted]]="Yes",WorkforceData[[#This Row],[Total Days Worked]]&gt;=121)</x:f>
        <x:v>0</x:v>
      </x:c>
      <x:c r="AB777" s="33" t="n">
        <x:f>IF(AND(Q777="Terminated",R777="",O777=0),1,0)</x:f>
        <x:v>0</x:v>
      </x:c>
      <x:c r="AC777" s="33" t="n">
        <x:f>--OR(WorkforceData[[#This Row],[Status]]="Resigned",WorkforceData[[#This Row],[Status After Training]]="Withdrew")</x:f>
        <x:v>0</x:v>
      </x:c>
      <x:c r="AD777" s="34" t="n">
        <x:f>EOMONTH(WorkforceData[[#This Row],[Training Date]],0)</x:f>
        <x:v>46142</x:v>
      </x:c>
      <x:c r="AE777" s="32" t="str">
        <x:f>IF(M777&lt;H777,"Existing Employee",IF(U777="","No Assignment",IF(V777=0,"0 Days",IF(V777&lt;=7,"1-7 Days",IF(V777&lt;=14,"8-14 Days",IF(V777&lt;=21,"15-21 Days","21+ Days"))))))</x:f>
        <x:v>8-14 Days</x:v>
      </x:c>
      <x:c r="AF77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91-120 Days</x:v>
      </x:c>
      <x:c r="AG777" s="33" t="n">
        <x:f>--(WorkforceData[[#This Row],[Total Days Worked]]&gt;=121)</x:f>
        <x:v>0</x:v>
      </x:c>
    </x:row>
    <x:row r="778">
      <x:c r="A778" s="236" t="str">
        <x:v>TRN-0777</x:v>
      </x:c>
      <x:c r="B778" s="243"/>
      <x:c r="C778" s="243"/>
      <x:c r="D778" s="243"/>
      <x:c r="E778" s="243"/>
      <x:c r="F778" s="14" t="str">
        <x:v>Recruiter C</x:v>
      </x:c>
      <x:c r="G778" s="14" t="str">
        <x:v>Training Center B</x:v>
      </x:c>
      <x:c r="H778" s="28">
        <x:v>46133</x:v>
      </x:c>
      <x:c r="I778" s="14">
        <x:v>2026</x:v>
      </x:c>
      <x:c r="J778" s="14" t="s">
        <x:v>126</x:v>
      </x:c>
      <x:c r="K778" s="14">
        <x:v>26</x:v>
      </x:c>
      <x:c r="L778" s="29" t="s">
        <x:v>101</x:v>
      </x:c>
      <x:c r="M778" s="28">
        <x:v>46133</x:v>
      </x:c>
      <x:c r="N778" s="28">
        <x:v>46251</x:v>
      </x:c>
      <x:c r="O778" s="14">
        <x:v>118</x:v>
      </x:c>
      <x:c r="P778" s="14" t="s">
        <x:v>113</x:v>
      </x:c>
      <x:c r="Q778" s="14" t="s">
        <x:v>103</x:v>
      </x:c>
      <x:c r="R778" s="14" t="s">
        <x:v>104</x:v>
      </x:c>
      <x:c r="S778" s="14" t="s">
        <x:v>105</x:v>
      </x:c>
      <x:c r="T778" s="14" t="str">
        <x:v>Region D</x:v>
      </x:c>
      <x:c r="U778" s="28">
        <x:v>46138</x:v>
      </x:c>
      <x:c r="V778" s="30">
        <x:v>5</x:v>
      </x:c>
      <x:c r="W778" s="14" t="s">
        <x:v>109</x:v>
      </x:c>
      <x:c r="X778" s="14" t="s">
        <x:v>106</x:v>
      </x:c>
      <x:c r="Y778" s="32" t="str">
        <x:v>TRN-0777|20260421</x:v>
      </x:c>
      <x:c r="Z778" s="32" t="str" cm="1">
        <x:f t="array" ref="Z77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778" s="33" t="n">
        <x:f>--OR(WorkforceData[[#This Row],[Status]]="Active",WorkforceData[[#This Row],[Promoted]]="Yes",WorkforceData[[#This Row],[Total Days Worked]]&gt;=121)</x:f>
        <x:v>0</x:v>
      </x:c>
      <x:c r="AB778" s="33" t="n">
        <x:f>IF(AND(Q778="Terminated",R778="",O778=0),1,0)</x:f>
        <x:v>0</x:v>
      </x:c>
      <x:c r="AC778" s="33" t="n">
        <x:f>--OR(WorkforceData[[#This Row],[Status]]="Resigned",WorkforceData[[#This Row],[Status After Training]]="Withdrew")</x:f>
        <x:v>1</x:v>
      </x:c>
      <x:c r="AD778" s="34" t="n">
        <x:f>EOMONTH(WorkforceData[[#This Row],[Training Date]],0)</x:f>
        <x:v>46142</x:v>
      </x:c>
      <x:c r="AE778" s="32" t="str">
        <x:f>IF(M778&lt;H778,"Existing Employee",IF(U778="","No Assignment",IF(V778=0,"0 Days",IF(V778&lt;=7,"1-7 Days",IF(V778&lt;=14,"8-14 Days",IF(V778&lt;=21,"15-21 Days","21+ Days"))))))</x:f>
        <x:v>1-7 Days</x:v>
      </x:c>
      <x:c r="AF77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91-120 Days</x:v>
      </x:c>
      <x:c r="AG778" s="33" t="n">
        <x:f>--(WorkforceData[[#This Row],[Total Days Worked]]&gt;=121)</x:f>
        <x:v>0</x:v>
      </x:c>
    </x:row>
    <x:row r="779">
      <x:c r="A779" s="236" t="str">
        <x:v>TRN-0778</x:v>
      </x:c>
      <x:c r="B779" s="243"/>
      <x:c r="C779" s="243"/>
      <x:c r="D779" s="243"/>
      <x:c r="E779" s="243"/>
      <x:c r="F779" s="14" t="str">
        <x:v>Recruiter E</x:v>
      </x:c>
      <x:c r="G779" s="14" t="str">
        <x:v>Training Center B</x:v>
      </x:c>
      <x:c r="H779" s="28">
        <x:v>46133</x:v>
      </x:c>
      <x:c r="I779" s="14">
        <x:v>2026</x:v>
      </x:c>
      <x:c r="J779" s="14" t="s">
        <x:v>126</x:v>
      </x:c>
      <x:c r="K779" s="14">
        <x:v>26</x:v>
      </x:c>
      <x:c r="L779" s="29" t="s">
        <x:v>101</x:v>
      </x:c>
      <x:c r="M779" s="28">
        <x:v>46126</x:v>
      </x:c>
      <x:c r="N779" s="14"/>
      <x:c r="O779" s="14">
        <x:v>125</x:v>
      </x:c>
      <x:c r="P779" s="14" t="s">
        <x:v>113</x:v>
      </x:c>
      <x:c r="Q779" s="14" t="s">
        <x:v>25</x:v>
      </x:c>
      <x:c r="R779" s="14"/>
      <x:c r="S779" s="14" t="s">
        <x:v>105</x:v>
      </x:c>
      <x:c r="T779" s="14" t="str">
        <x:v>Region D</x:v>
      </x:c>
      <x:c r="U779" s="28">
        <x:v>46189</x:v>
      </x:c>
      <x:c r="V779" s="30">
        <x:v>56</x:v>
      </x:c>
      <x:c r="W779" s="14" t="s">
        <x:v>63</x:v>
      </x:c>
      <x:c r="X779" s="14" t="s">
        <x:v>117</x:v>
      </x:c>
      <x:c r="Y779" s="32" t="str">
        <x:v>TRN-0778|20260421</x:v>
      </x:c>
      <x:c r="Z779" s="32" t="str" cm="1">
        <x:f t="array" ref="Z77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779" s="33" t="n">
        <x:f>--OR(WorkforceData[[#This Row],[Status]]="Active",WorkforceData[[#This Row],[Promoted]]="Yes",WorkforceData[[#This Row],[Total Days Worked]]&gt;=121)</x:f>
        <x:v>1</x:v>
      </x:c>
      <x:c r="AB779" s="33" t="n">
        <x:f>IF(AND(Q779="Terminated",R779="",O779=0),1,0)</x:f>
        <x:v>0</x:v>
      </x:c>
      <x:c r="AC779" s="33" t="n">
        <x:f>--OR(WorkforceData[[#This Row],[Status]]="Resigned",WorkforceData[[#This Row],[Status After Training]]="Withdrew")</x:f>
        <x:v>0</x:v>
      </x:c>
      <x:c r="AD779" s="34" t="n">
        <x:f>EOMONTH(WorkforceData[[#This Row],[Training Date]],0)</x:f>
        <x:v>46142</x:v>
      </x:c>
      <x:c r="AE779" s="32" t="str">
        <x:f>IF(M779&lt;H779,"Existing Employee",IF(U779="","No Assignment",IF(V779=0,"0 Days",IF(V779&lt;=7,"1-7 Days",IF(V779&lt;=14,"8-14 Days",IF(V779&lt;=21,"15-21 Days","21+ Days"))))))</x:f>
        <x:v>Existing Employee</x:v>
      </x:c>
      <x:c r="AF77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79" s="33" t="n">
        <x:f>--(WorkforceData[[#This Row],[Total Days Worked]]&gt;=121)</x:f>
        <x:v>1</x:v>
      </x:c>
    </x:row>
    <x:row r="780">
      <x:c r="A780" s="236" t="str">
        <x:v>TRN-0779</x:v>
      </x:c>
      <x:c r="B780" s="243"/>
      <x:c r="C780" s="243"/>
      <x:c r="D780" s="243"/>
      <x:c r="E780" s="243"/>
      <x:c r="F780" s="14" t="str">
        <x:v>Recruiter F</x:v>
      </x:c>
      <x:c r="G780" s="14" t="str">
        <x:v>Training Center B</x:v>
      </x:c>
      <x:c r="H780" s="28">
        <x:v>46133</x:v>
      </x:c>
      <x:c r="I780" s="14">
        <x:v>2026</x:v>
      </x:c>
      <x:c r="J780" s="14" t="s">
        <x:v>126</x:v>
      </x:c>
      <x:c r="K780" s="14">
        <x:v>26</x:v>
      </x:c>
      <x:c r="L780" s="29" t="s">
        <x:v>101</x:v>
      </x:c>
      <x:c r="M780" s="28">
        <x:v>46133</x:v>
      </x:c>
      <x:c r="N780" s="28">
        <x:v>46251</x:v>
      </x:c>
      <x:c r="O780" s="14">
        <x:v>118</x:v>
      </x:c>
      <x:c r="P780" s="14" t="s">
        <x:v>113</x:v>
      </x:c>
      <x:c r="Q780" s="14" t="s">
        <x:v>103</x:v>
      </x:c>
      <x:c r="R780" s="14" t="s">
        <x:v>111</x:v>
      </x:c>
      <x:c r="S780" s="14" t="s">
        <x:v>105</x:v>
      </x:c>
      <x:c r="T780" s="14" t="str">
        <x:v>Region C</x:v>
      </x:c>
      <x:c r="U780" s="28">
        <x:v>46230</x:v>
      </x:c>
      <x:c r="V780" s="30">
        <x:v>97</x:v>
      </x:c>
      <x:c r="W780" s="14" t="s">
        <x:v>114</x:v>
      </x:c>
      <x:c r="X780" s="14" t="s">
        <x:v>117</x:v>
      </x:c>
      <x:c r="Y780" s="32" t="str">
        <x:v>TRN-0779|20260421</x:v>
      </x:c>
      <x:c r="Z780" s="32" t="str" cm="1">
        <x:f t="array" ref="Z78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780" s="33" t="n">
        <x:f>--OR(WorkforceData[[#This Row],[Status]]="Active",WorkforceData[[#This Row],[Promoted]]="Yes",WorkforceData[[#This Row],[Total Days Worked]]&gt;=121)</x:f>
        <x:v>0</x:v>
      </x:c>
      <x:c r="AB780" s="33" t="n">
        <x:f>IF(AND(Q780="Terminated",R780="",O780=0),1,0)</x:f>
        <x:v>0</x:v>
      </x:c>
      <x:c r="AC780" s="33" t="n">
        <x:f>--OR(WorkforceData[[#This Row],[Status]]="Resigned",WorkforceData[[#This Row],[Status After Training]]="Withdrew")</x:f>
        <x:v>1</x:v>
      </x:c>
      <x:c r="AD780" s="34" t="n">
        <x:f>EOMONTH(WorkforceData[[#This Row],[Training Date]],0)</x:f>
        <x:v>46142</x:v>
      </x:c>
      <x:c r="AE780" s="32" t="str">
        <x:f>IF(M780&lt;H780,"Existing Employee",IF(U780="","No Assignment",IF(V780=0,"0 Days",IF(V780&lt;=7,"1-7 Days",IF(V780&lt;=14,"8-14 Days",IF(V780&lt;=21,"15-21 Days","21+ Days"))))))</x:f>
        <x:v>21+ Days</x:v>
      </x:c>
      <x:c r="AF78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91-120 Days</x:v>
      </x:c>
      <x:c r="AG780" s="33" t="n">
        <x:f>--(WorkforceData[[#This Row],[Total Days Worked]]&gt;=121)</x:f>
        <x:v>0</x:v>
      </x:c>
    </x:row>
    <x:row r="781">
      <x:c r="A781" s="236" t="str">
        <x:v>TRN-0780</x:v>
      </x:c>
      <x:c r="B781" s="243"/>
      <x:c r="C781" s="243"/>
      <x:c r="D781" s="243"/>
      <x:c r="E781" s="243"/>
      <x:c r="F781" s="14" t="str">
        <x:v>Recruiter F</x:v>
      </x:c>
      <x:c r="G781" s="14" t="str">
        <x:v>Training Center B</x:v>
      </x:c>
      <x:c r="H781" s="28">
        <x:v>46133</x:v>
      </x:c>
      <x:c r="I781" s="14">
        <x:v>2026</x:v>
      </x:c>
      <x:c r="J781" s="14" t="s">
        <x:v>126</x:v>
      </x:c>
      <x:c r="K781" s="14">
        <x:v>26</x:v>
      </x:c>
      <x:c r="L781" s="29" t="s">
        <x:v>101</x:v>
      </x:c>
      <x:c r="M781" s="28">
        <x:v>46126</x:v>
      </x:c>
      <x:c r="N781" s="28">
        <x:v>46251</x:v>
      </x:c>
      <x:c r="O781" s="14">
        <x:v>125</x:v>
      </x:c>
      <x:c r="P781" s="14" t="s">
        <x:v>113</x:v>
      </x:c>
      <x:c r="Q781" s="14" t="s">
        <x:v>103</x:v>
      </x:c>
      <x:c r="R781" s="14" t="s">
        <x:v>104</x:v>
      </x:c>
      <x:c r="S781" s="14" t="s">
        <x:v>105</x:v>
      </x:c>
      <x:c r="T781" s="14" t="str">
        <x:v>Region C</x:v>
      </x:c>
      <x:c r="U781" s="28">
        <x:v>46145</x:v>
      </x:c>
      <x:c r="V781" s="30">
        <x:v>12</x:v>
      </x:c>
      <x:c r="W781" s="14" t="s">
        <x:v>45</x:v>
      </x:c>
      <x:c r="X781" s="14" t="s">
        <x:v>106</x:v>
      </x:c>
      <x:c r="Y781" s="32" t="str">
        <x:v>TRN-0780|20260421</x:v>
      </x:c>
      <x:c r="Z781" s="32" t="str" cm="1">
        <x:f t="array" ref="Z78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Complete</x:v>
      </x:c>
      <x:c r="AA781" s="33" t="n">
        <x:f>--OR(WorkforceData[[#This Row],[Status]]="Active",WorkforceData[[#This Row],[Promoted]]="Yes",WorkforceData[[#This Row],[Total Days Worked]]&gt;=121)</x:f>
        <x:v>1</x:v>
      </x:c>
      <x:c r="AB781" s="33" t="n">
        <x:f>IF(AND(Q781="Terminated",R781="",O781=0),1,0)</x:f>
        <x:v>0</x:v>
      </x:c>
      <x:c r="AC781" s="33" t="n">
        <x:f>--OR(WorkforceData[[#This Row],[Status]]="Resigned",WorkforceData[[#This Row],[Status After Training]]="Withdrew")</x:f>
        <x:v>1</x:v>
      </x:c>
      <x:c r="AD781" s="34" t="n">
        <x:f>EOMONTH(WorkforceData[[#This Row],[Training Date]],0)</x:f>
        <x:v>46142</x:v>
      </x:c>
      <x:c r="AE781" s="32" t="str">
        <x:f>IF(M781&lt;H781,"Existing Employee",IF(U781="","No Assignment",IF(V781=0,"0 Days",IF(V781&lt;=7,"1-7 Days",IF(V781&lt;=14,"8-14 Days",IF(V781&lt;=21,"15-21 Days","21+ Days"))))))</x:f>
        <x:v>Existing Employee</x:v>
      </x:c>
      <x:c r="AF78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81" s="33" t="n">
        <x:f>--(WorkforceData[[#This Row],[Total Days Worked]]&gt;=121)</x:f>
        <x:v>1</x:v>
      </x:c>
    </x:row>
    <x:row r="782">
      <x:c r="A782" s="236" t="str">
        <x:v>TRN-0781</x:v>
      </x:c>
      <x:c r="B782" s="243"/>
      <x:c r="C782" s="243"/>
      <x:c r="D782" s="243"/>
      <x:c r="E782" s="243"/>
      <x:c r="F782" s="14" t="str">
        <x:v>Recruiter D</x:v>
      </x:c>
      <x:c r="G782" s="14" t="str">
        <x:v>Training Center B</x:v>
      </x:c>
      <x:c r="H782" s="28">
        <x:v>46133</x:v>
      </x:c>
      <x:c r="I782" s="14">
        <x:v>2026</x:v>
      </x:c>
      <x:c r="J782" s="14" t="s">
        <x:v>126</x:v>
      </x:c>
      <x:c r="K782" s="14">
        <x:v>26</x:v>
      </x:c>
      <x:c r="L782" s="29" t="s">
        <x:v>101</x:v>
      </x:c>
      <x:c r="M782" s="28">
        <x:v>46128</x:v>
      </x:c>
      <x:c r="N782" s="14"/>
      <x:c r="O782" s="14">
        <x:v>123</x:v>
      </x:c>
      <x:c r="P782" s="14" t="s">
        <x:v>113</x:v>
      </x:c>
      <x:c r="Q782" s="14" t="s">
        <x:v>38</x:v>
      </x:c>
      <x:c r="R782" s="14"/>
      <x:c r="S782" s="14" t="s">
        <x:v>105</x:v>
      </x:c>
      <x:c r="T782" s="14" t="str">
        <x:v>Region D</x:v>
      </x:c>
      <x:c r="U782" s="28">
        <x:v>46186</x:v>
      </x:c>
      <x:c r="V782" s="30">
        <x:v>53</x:v>
      </x:c>
      <x:c r="W782" s="14" t="s">
        <x:v>63</x:v>
      </x:c>
      <x:c r="X782" s="14" t="s">
        <x:v>117</x:v>
      </x:c>
      <x:c r="Y782" s="32" t="str">
        <x:v>TRN-0781|20260421</x:v>
      </x:c>
      <x:c r="Z782" s="32" t="str" cm="1">
        <x:f t="array" ref="Z78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782" s="33" t="n">
        <x:f>--OR(WorkforceData[[#This Row],[Status]]="Active",WorkforceData[[#This Row],[Promoted]]="Yes",WorkforceData[[#This Row],[Total Days Worked]]&gt;=121)</x:f>
        <x:v>1</x:v>
      </x:c>
      <x:c r="AB782" s="33" t="n">
        <x:f>IF(AND(Q782="Terminated",R782="",O782=0),1,0)</x:f>
        <x:v>0</x:v>
      </x:c>
      <x:c r="AC782" s="33" t="n">
        <x:f>--OR(WorkforceData[[#This Row],[Status]]="Resigned",WorkforceData[[#This Row],[Status After Training]]="Withdrew")</x:f>
        <x:v>0</x:v>
      </x:c>
      <x:c r="AD782" s="34" t="n">
        <x:f>EOMONTH(WorkforceData[[#This Row],[Training Date]],0)</x:f>
        <x:v>46142</x:v>
      </x:c>
      <x:c r="AE782" s="32" t="str">
        <x:f>IF(M782&lt;H782,"Existing Employee",IF(U782="","No Assignment",IF(V782=0,"0 Days",IF(V782&lt;=7,"1-7 Days",IF(V782&lt;=14,"8-14 Days",IF(V782&lt;=21,"15-21 Days","21+ Days"))))))</x:f>
        <x:v>Existing Employee</x:v>
      </x:c>
      <x:c r="AF78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82" s="33" t="n">
        <x:f>--(WorkforceData[[#This Row],[Total Days Worked]]&gt;=121)</x:f>
        <x:v>1</x:v>
      </x:c>
    </x:row>
    <x:row r="783">
      <x:c r="A783" s="236" t="str">
        <x:v>TRN-0782</x:v>
      </x:c>
      <x:c r="B783" s="243"/>
      <x:c r="C783" s="243"/>
      <x:c r="D783" s="243"/>
      <x:c r="E783" s="243"/>
      <x:c r="F783" s="14" t="str">
        <x:v>Recruiter F</x:v>
      </x:c>
      <x:c r="G783" s="14" t="str">
        <x:v>Training Center B</x:v>
      </x:c>
      <x:c r="H783" s="28">
        <x:v>46133</x:v>
      </x:c>
      <x:c r="I783" s="14">
        <x:v>2026</x:v>
      </x:c>
      <x:c r="J783" s="14" t="s">
        <x:v>126</x:v>
      </x:c>
      <x:c r="K783" s="14">
        <x:v>26</x:v>
      </x:c>
      <x:c r="L783" s="29" t="s">
        <x:v>101</x:v>
      </x:c>
      <x:c r="M783" s="28">
        <x:v>46123</x:v>
      </x:c>
      <x:c r="N783" s="14"/>
      <x:c r="O783" s="14">
        <x:v>128</x:v>
      </x:c>
      <x:c r="P783" s="14" t="s">
        <x:v>113</x:v>
      </x:c>
      <x:c r="Q783" s="14" t="s">
        <x:v>25</x:v>
      </x:c>
      <x:c r="R783" s="14"/>
      <x:c r="S783" s="14" t="s">
        <x:v>105</x:v>
      </x:c>
      <x:c r="T783" s="14" t="str">
        <x:v>Region B</x:v>
      </x:c>
      <x:c r="U783" s="28">
        <x:v>46149</x:v>
      </x:c>
      <x:c r="V783" s="30">
        <x:v>16</x:v>
      </x:c>
      <x:c r="W783" s="14" t="s">
        <x:v>112</x:v>
      </x:c>
      <x:c r="X783" s="14" t="s">
        <x:v>106</x:v>
      </x:c>
      <x:c r="Y783" s="32" t="str">
        <x:v>TRN-0782|20260421</x:v>
      </x:c>
      <x:c r="Z783" s="32" t="str" cm="1">
        <x:f t="array" ref="Z78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783" s="33" t="n">
        <x:f>--OR(WorkforceData[[#This Row],[Status]]="Active",WorkforceData[[#This Row],[Promoted]]="Yes",WorkforceData[[#This Row],[Total Days Worked]]&gt;=121)</x:f>
        <x:v>1</x:v>
      </x:c>
      <x:c r="AB783" s="33" t="n">
        <x:f>IF(AND(Q783="Terminated",R783="",O783=0),1,0)</x:f>
        <x:v>0</x:v>
      </x:c>
      <x:c r="AC783" s="33" t="n">
        <x:f>--OR(WorkforceData[[#This Row],[Status]]="Resigned",WorkforceData[[#This Row],[Status After Training]]="Withdrew")</x:f>
        <x:v>0</x:v>
      </x:c>
      <x:c r="AD783" s="34" t="n">
        <x:f>EOMONTH(WorkforceData[[#This Row],[Training Date]],0)</x:f>
        <x:v>46142</x:v>
      </x:c>
      <x:c r="AE783" s="32" t="str">
        <x:f>IF(M783&lt;H783,"Existing Employee",IF(U783="","No Assignment",IF(V783=0,"0 Days",IF(V783&lt;=7,"1-7 Days",IF(V783&lt;=14,"8-14 Days",IF(V783&lt;=21,"15-21 Days","21+ Days"))))))</x:f>
        <x:v>Existing Employee</x:v>
      </x:c>
      <x:c r="AF78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83" s="33" t="n">
        <x:f>--(WorkforceData[[#This Row],[Total Days Worked]]&gt;=121)</x:f>
        <x:v>1</x:v>
      </x:c>
    </x:row>
    <x:row r="784">
      <x:c r="A784" s="236" t="str">
        <x:v>TRN-0783</x:v>
      </x:c>
      <x:c r="B784" s="243"/>
      <x:c r="C784" s="243"/>
      <x:c r="D784" s="243"/>
      <x:c r="E784" s="243"/>
      <x:c r="F784" s="14" t="str">
        <x:v>Recruiter E</x:v>
      </x:c>
      <x:c r="G784" s="14" t="str">
        <x:v>Training Center B</x:v>
      </x:c>
      <x:c r="H784" s="28">
        <x:v>46133</x:v>
      </x:c>
      <x:c r="I784" s="14">
        <x:v>2026</x:v>
      </x:c>
      <x:c r="J784" s="14" t="s">
        <x:v>126</x:v>
      </x:c>
      <x:c r="K784" s="14">
        <x:v>26</x:v>
      </x:c>
      <x:c r="L784" s="29" t="s">
        <x:v>101</x:v>
      </x:c>
      <x:c r="M784" s="28">
        <x:v>46126</x:v>
      </x:c>
      <x:c r="N784" s="14"/>
      <x:c r="O784" s="14">
        <x:v>125</x:v>
      </x:c>
      <x:c r="P784" s="14" t="s">
        <x:v>113</x:v>
      </x:c>
      <x:c r="Q784" s="14" t="s">
        <x:v>38</x:v>
      </x:c>
      <x:c r="R784" s="14"/>
      <x:c r="S784" s="14" t="s">
        <x:v>105</x:v>
      </x:c>
      <x:c r="T784" s="14" t="str">
        <x:v>Region A</x:v>
      </x:c>
      <x:c r="U784" s="28">
        <x:v>46139</x:v>
      </x:c>
      <x:c r="V784" s="30">
        <x:v>6</x:v>
      </x:c>
      <x:c r="W784" s="14" t="s">
        <x:v>109</x:v>
      </x:c>
      <x:c r="X784" s="14" t="s">
        <x:v>106</x:v>
      </x:c>
      <x:c r="Y784" s="32" t="str">
        <x:v>TRN-0783|20260421</x:v>
      </x:c>
      <x:c r="Z784" s="32" t="str" cm="1">
        <x:f t="array" ref="Z78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784" s="33" t="n">
        <x:f>--OR(WorkforceData[[#This Row],[Status]]="Active",WorkforceData[[#This Row],[Promoted]]="Yes",WorkforceData[[#This Row],[Total Days Worked]]&gt;=121)</x:f>
        <x:v>1</x:v>
      </x:c>
      <x:c r="AB784" s="33" t="n">
        <x:f>IF(AND(Q784="Terminated",R784="",O784=0),1,0)</x:f>
        <x:v>0</x:v>
      </x:c>
      <x:c r="AC784" s="33" t="n">
        <x:f>--OR(WorkforceData[[#This Row],[Status]]="Resigned",WorkforceData[[#This Row],[Status After Training]]="Withdrew")</x:f>
        <x:v>0</x:v>
      </x:c>
      <x:c r="AD784" s="34" t="n">
        <x:f>EOMONTH(WorkforceData[[#This Row],[Training Date]],0)</x:f>
        <x:v>46142</x:v>
      </x:c>
      <x:c r="AE784" s="32" t="str">
        <x:f>IF(M784&lt;H784,"Existing Employee",IF(U784="","No Assignment",IF(V784=0,"0 Days",IF(V784&lt;=7,"1-7 Days",IF(V784&lt;=14,"8-14 Days",IF(V784&lt;=21,"15-21 Days","21+ Days"))))))</x:f>
        <x:v>Existing Employee</x:v>
      </x:c>
      <x:c r="AF78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84" s="33" t="n">
        <x:f>--(WorkforceData[[#This Row],[Total Days Worked]]&gt;=121)</x:f>
        <x:v>1</x:v>
      </x:c>
    </x:row>
    <x:row r="785">
      <x:c r="A785" s="236" t="str">
        <x:v>TRN-0784</x:v>
      </x:c>
      <x:c r="B785" s="243"/>
      <x:c r="C785" s="243"/>
      <x:c r="D785" s="243"/>
      <x:c r="E785" s="243"/>
      <x:c r="F785" s="14" t="str">
        <x:v>Recruiter G</x:v>
      </x:c>
      <x:c r="G785" s="14" t="str">
        <x:v>Training Center B</x:v>
      </x:c>
      <x:c r="H785" s="28">
        <x:v>46133</x:v>
      </x:c>
      <x:c r="I785" s="14">
        <x:v>2026</x:v>
      </x:c>
      <x:c r="J785" s="14" t="s">
        <x:v>126</x:v>
      </x:c>
      <x:c r="K785" s="14">
        <x:v>26</x:v>
      </x:c>
      <x:c r="L785" s="29" t="s">
        <x:v>101</x:v>
      </x:c>
      <x:c r="M785" s="28">
        <x:v>46133</x:v>
      </x:c>
      <x:c r="N785" s="14"/>
      <x:c r="O785" s="14">
        <x:v>118</x:v>
      </x:c>
      <x:c r="P785" s="14" t="s">
        <x:v>113</x:v>
      </x:c>
      <x:c r="Q785" s="14" t="s">
        <x:v>25</x:v>
      </x:c>
      <x:c r="R785" s="14"/>
      <x:c r="S785" s="14" t="s">
        <x:v>105</x:v>
      </x:c>
      <x:c r="T785" s="14" t="str">
        <x:v>Region B</x:v>
      </x:c>
      <x:c r="U785" s="28">
        <x:v>46143</x:v>
      </x:c>
      <x:c r="V785" s="30">
        <x:v>10</x:v>
      </x:c>
      <x:c r="W785" s="14" t="s">
        <x:v>45</x:v>
      </x:c>
      <x:c r="X785" s="14" t="s">
        <x:v>106</x:v>
      </x:c>
      <x:c r="Y785" s="32" t="str">
        <x:v>TRN-0784|20260421</x:v>
      </x:c>
      <x:c r="Z785" s="32" t="str" cm="1">
        <x:f t="array" ref="Z78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785" s="33" t="n">
        <x:f>--OR(WorkforceData[[#This Row],[Status]]="Active",WorkforceData[[#This Row],[Promoted]]="Yes",WorkforceData[[#This Row],[Total Days Worked]]&gt;=121)</x:f>
        <x:v>1</x:v>
      </x:c>
      <x:c r="AB785" s="33" t="n">
        <x:f>IF(AND(Q785="Terminated",R785="",O785=0),1,0)</x:f>
        <x:v>0</x:v>
      </x:c>
      <x:c r="AC785" s="33" t="n">
        <x:f>--OR(WorkforceData[[#This Row],[Status]]="Resigned",WorkforceData[[#This Row],[Status After Training]]="Withdrew")</x:f>
        <x:v>0</x:v>
      </x:c>
      <x:c r="AD785" s="34" t="n">
        <x:f>EOMONTH(WorkforceData[[#This Row],[Training Date]],0)</x:f>
        <x:v>46142</x:v>
      </x:c>
      <x:c r="AE785" s="32" t="str">
        <x:f>IF(M785&lt;H785,"Existing Employee",IF(U785="","No Assignment",IF(V785=0,"0 Days",IF(V785&lt;=7,"1-7 Days",IF(V785&lt;=14,"8-14 Days",IF(V785&lt;=21,"15-21 Days","21+ Days"))))))</x:f>
        <x:v>8-14 Days</x:v>
      </x:c>
      <x:c r="AF78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91-120 Days</x:v>
      </x:c>
      <x:c r="AG785" s="33" t="n">
        <x:f>--(WorkforceData[[#This Row],[Total Days Worked]]&gt;=121)</x:f>
        <x:v>0</x:v>
      </x:c>
    </x:row>
    <x:row r="786">
      <x:c r="A786" s="236" t="str">
        <x:v>TRN-0785</x:v>
      </x:c>
      <x:c r="B786" s="243"/>
      <x:c r="C786" s="243"/>
      <x:c r="D786" s="243"/>
      <x:c r="E786" s="243"/>
      <x:c r="F786" s="14" t="str">
        <x:v>Recruiter A</x:v>
      </x:c>
      <x:c r="G786" s="14" t="str">
        <x:v>Training Center B</x:v>
      </x:c>
      <x:c r="H786" s="28">
        <x:v>46133</x:v>
      </x:c>
      <x:c r="I786" s="14">
        <x:v>2026</x:v>
      </x:c>
      <x:c r="J786" s="14" t="s">
        <x:v>126</x:v>
      </x:c>
      <x:c r="K786" s="14">
        <x:v>26</x:v>
      </x:c>
      <x:c r="L786" s="29" t="s">
        <x:v>101</x:v>
      </x:c>
      <x:c r="M786" s="28">
        <x:v>46133</x:v>
      </x:c>
      <x:c r="N786" s="14"/>
      <x:c r="O786" s="14">
        <x:v>118</x:v>
      </x:c>
      <x:c r="P786" s="14" t="s">
        <x:v>113</x:v>
      </x:c>
      <x:c r="Q786" s="14" t="s">
        <x:v>25</x:v>
      </x:c>
      <x:c r="R786" s="14"/>
      <x:c r="S786" s="14" t="s">
        <x:v>105</x:v>
      </x:c>
      <x:c r="T786" s="14" t="str">
        <x:v>Region B</x:v>
      </x:c>
      <x:c r="U786" s="28">
        <x:v>46142</x:v>
      </x:c>
      <x:c r="V786" s="30">
        <x:v>9</x:v>
      </x:c>
      <x:c r="W786" s="14" t="s">
        <x:v>45</x:v>
      </x:c>
      <x:c r="X786" s="14" t="s">
        <x:v>106</x:v>
      </x:c>
      <x:c r="Y786" s="32" t="str">
        <x:v>TRN-0785|20260421</x:v>
      </x:c>
      <x:c r="Z786" s="32" t="str" cm="1">
        <x:f t="array" ref="Z78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786" s="33" t="n">
        <x:f>--OR(WorkforceData[[#This Row],[Status]]="Active",WorkforceData[[#This Row],[Promoted]]="Yes",WorkforceData[[#This Row],[Total Days Worked]]&gt;=121)</x:f>
        <x:v>1</x:v>
      </x:c>
      <x:c r="AB786" s="33" t="n">
        <x:f>IF(AND(Q786="Terminated",R786="",O786=0),1,0)</x:f>
        <x:v>0</x:v>
      </x:c>
      <x:c r="AC786" s="33" t="n">
        <x:f>--OR(WorkforceData[[#This Row],[Status]]="Resigned",WorkforceData[[#This Row],[Status After Training]]="Withdrew")</x:f>
        <x:v>0</x:v>
      </x:c>
      <x:c r="AD786" s="34" t="n">
        <x:f>EOMONTH(WorkforceData[[#This Row],[Training Date]],0)</x:f>
        <x:v>46142</x:v>
      </x:c>
      <x:c r="AE786" s="32" t="str">
        <x:f>IF(M786&lt;H786,"Existing Employee",IF(U786="","No Assignment",IF(V786=0,"0 Days",IF(V786&lt;=7,"1-7 Days",IF(V786&lt;=14,"8-14 Days",IF(V786&lt;=21,"15-21 Days","21+ Days"))))))</x:f>
        <x:v>8-14 Days</x:v>
      </x:c>
      <x:c r="AF78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91-120 Days</x:v>
      </x:c>
      <x:c r="AG786" s="33" t="n">
        <x:f>--(WorkforceData[[#This Row],[Total Days Worked]]&gt;=121)</x:f>
        <x:v>0</x:v>
      </x:c>
    </x:row>
    <x:row r="787">
      <x:c r="A787" s="236" t="str">
        <x:v>TRN-0786</x:v>
      </x:c>
      <x:c r="B787" s="243"/>
      <x:c r="C787" s="243"/>
      <x:c r="D787" s="243"/>
      <x:c r="E787" s="243"/>
      <x:c r="F787" s="14" t="str">
        <x:v>Recruiter C</x:v>
      </x:c>
      <x:c r="G787" s="14" t="str">
        <x:v>Training Center B</x:v>
      </x:c>
      <x:c r="H787" s="28">
        <x:v>46133</x:v>
      </x:c>
      <x:c r="I787" s="14">
        <x:v>2026</x:v>
      </x:c>
      <x:c r="J787" s="14" t="s">
        <x:v>126</x:v>
      </x:c>
      <x:c r="K787" s="14">
        <x:v>26</x:v>
      </x:c>
      <x:c r="L787" s="29" t="s">
        <x:v>101</x:v>
      </x:c>
      <x:c r="M787" s="28">
        <x:v>46123</x:v>
      </x:c>
      <x:c r="N787" s="28">
        <x:v>46130</x:v>
      </x:c>
      <x:c r="O787" s="14">
        <x:v>7</x:v>
      </x:c>
      <x:c r="P787" s="14" t="s">
        <x:v>102</x:v>
      </x:c>
      <x:c r="Q787" s="14" t="s">
        <x:v>33</x:v>
      </x:c>
      <x:c r="R787" s="14" t="s">
        <x:v>121</x:v>
      </x:c>
      <x:c r="S787" s="14" t="s">
        <x:v>105</x:v>
      </x:c>
      <x:c r="T787" s="14"/>
      <x:c r="U787" s="28"/>
      <x:c r="V787" s="30"/>
      <x:c r="W787" s="14"/>
      <x:c r="X787" s="14" t="s">
        <x:v>71</x:v>
      </x:c>
      <x:c r="Y787" s="32" t="str">
        <x:v>TRN-0786|20260421</x:v>
      </x:c>
      <x:c r="Z787" s="32" t="str" cm="1">
        <x:f t="array" ref="Z78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787" s="33" t="n">
        <x:f>--OR(WorkforceData[[#This Row],[Status]]="Active",WorkforceData[[#This Row],[Promoted]]="Yes",WorkforceData[[#This Row],[Total Days Worked]]&gt;=121)</x:f>
        <x:v>0</x:v>
      </x:c>
      <x:c r="AB787" s="33" t="n">
        <x:f>IF(AND(Q787="Terminated",R787="",O787=0),1,0)</x:f>
        <x:v>0</x:v>
      </x:c>
      <x:c r="AC787" s="33" t="n">
        <x:f>--OR(WorkforceData[[#This Row],[Status]]="Resigned",WorkforceData[[#This Row],[Status After Training]]="Withdrew")</x:f>
        <x:v>0</x:v>
      </x:c>
      <x:c r="AD787" s="34" t="n">
        <x:f>EOMONTH(WorkforceData[[#This Row],[Training Date]],0)</x:f>
        <x:v>46142</x:v>
      </x:c>
      <x:c r="AE787" s="32" t="str">
        <x:f>IF(M787&lt;H787,"Existing Employee",IF(U787="","No Assignment",IF(V787=0,"0 Days",IF(V787&lt;=7,"1-7 Days",IF(V787&lt;=14,"8-14 Days",IF(V787&lt;=21,"15-21 Days","21+ Days"))))))</x:f>
        <x:v>Existing Employee</x:v>
      </x:c>
      <x:c r="AF78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1-7 Days</x:v>
      </x:c>
      <x:c r="AG787" s="33" t="n">
        <x:f>--(WorkforceData[[#This Row],[Total Days Worked]]&gt;=121)</x:f>
        <x:v>0</x:v>
      </x:c>
    </x:row>
    <x:row r="788">
      <x:c r="A788" s="236" t="str">
        <x:v>TRN-0787</x:v>
      </x:c>
      <x:c r="B788" s="243"/>
      <x:c r="C788" s="243"/>
      <x:c r="D788" s="243"/>
      <x:c r="E788" s="243"/>
      <x:c r="F788" s="14" t="str">
        <x:v>Recruiter C</x:v>
      </x:c>
      <x:c r="G788" s="14" t="str">
        <x:v>Training Center B</x:v>
      </x:c>
      <x:c r="H788" s="28">
        <x:v>46133</x:v>
      </x:c>
      <x:c r="I788" s="14">
        <x:v>2026</x:v>
      </x:c>
      <x:c r="J788" s="14" t="s">
        <x:v>126</x:v>
      </x:c>
      <x:c r="K788" s="14">
        <x:v>26</x:v>
      </x:c>
      <x:c r="L788" s="29" t="s">
        <x:v>101</x:v>
      </x:c>
      <x:c r="M788" s="28">
        <x:v>46123</x:v>
      </x:c>
      <x:c r="N788" s="28">
        <x:v>46214</x:v>
      </x:c>
      <x:c r="O788" s="14">
        <x:v>91</x:v>
      </x:c>
      <x:c r="P788" s="14" t="s">
        <x:v>113</x:v>
      </x:c>
      <x:c r="Q788" s="14" t="s">
        <x:v>103</x:v>
      </x:c>
      <x:c r="R788" s="14" t="s">
        <x:v>104</x:v>
      </x:c>
      <x:c r="S788" s="14" t="s">
        <x:v>105</x:v>
      </x:c>
      <x:c r="T788" s="14" t="str">
        <x:v>Region E</x:v>
      </x:c>
      <x:c r="U788" s="28">
        <x:v>46185</x:v>
      </x:c>
      <x:c r="V788" s="30">
        <x:v>52</x:v>
      </x:c>
      <x:c r="W788" s="14" t="s">
        <x:v>63</x:v>
      </x:c>
      <x:c r="X788" s="14" t="s">
        <x:v>117</x:v>
      </x:c>
      <x:c r="Y788" s="32" t="str">
        <x:v>TRN-0787|20260421</x:v>
      </x:c>
      <x:c r="Z788" s="32" t="str" cm="1">
        <x:f t="array" ref="Z78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788" s="33" t="n">
        <x:f>--OR(WorkforceData[[#This Row],[Status]]="Active",WorkforceData[[#This Row],[Promoted]]="Yes",WorkforceData[[#This Row],[Total Days Worked]]&gt;=121)</x:f>
        <x:v>0</x:v>
      </x:c>
      <x:c r="AB788" s="33" t="n">
        <x:f>IF(AND(Q788="Terminated",R788="",O788=0),1,0)</x:f>
        <x:v>0</x:v>
      </x:c>
      <x:c r="AC788" s="33" t="n">
        <x:f>--OR(WorkforceData[[#This Row],[Status]]="Resigned",WorkforceData[[#This Row],[Status After Training]]="Withdrew")</x:f>
        <x:v>1</x:v>
      </x:c>
      <x:c r="AD788" s="34" t="n">
        <x:f>EOMONTH(WorkforceData[[#This Row],[Training Date]],0)</x:f>
        <x:v>46142</x:v>
      </x:c>
      <x:c r="AE788" s="32" t="str">
        <x:f>IF(M788&lt;H788,"Existing Employee",IF(U788="","No Assignment",IF(V788=0,"0 Days",IF(V788&lt;=7,"1-7 Days",IF(V788&lt;=14,"8-14 Days",IF(V788&lt;=21,"15-21 Days","21+ Days"))))))</x:f>
        <x:v>Existing Employee</x:v>
      </x:c>
      <x:c r="AF78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91-120 Days</x:v>
      </x:c>
      <x:c r="AG788" s="33" t="n">
        <x:f>--(WorkforceData[[#This Row],[Total Days Worked]]&gt;=121)</x:f>
        <x:v>0</x:v>
      </x:c>
    </x:row>
    <x:row r="789">
      <x:c r="A789" s="236" t="str">
        <x:v>TRN-0788</x:v>
      </x:c>
      <x:c r="B789" s="243"/>
      <x:c r="C789" s="243"/>
      <x:c r="D789" s="243"/>
      <x:c r="E789" s="243"/>
      <x:c r="F789" s="14" t="str">
        <x:v>Recruiter G</x:v>
      </x:c>
      <x:c r="G789" s="14" t="str">
        <x:v>Training Center B</x:v>
      </x:c>
      <x:c r="H789" s="28">
        <x:v>46133</x:v>
      </x:c>
      <x:c r="I789" s="14">
        <x:v>2026</x:v>
      </x:c>
      <x:c r="J789" s="14" t="s">
        <x:v>126</x:v>
      </x:c>
      <x:c r="K789" s="14">
        <x:v>26</x:v>
      </x:c>
      <x:c r="L789" s="29" t="s">
        <x:v>101</x:v>
      </x:c>
      <x:c r="M789" s="28">
        <x:v>46133</x:v>
      </x:c>
      <x:c r="N789" s="28">
        <x:v>46149</x:v>
      </x:c>
      <x:c r="O789" s="14">
        <x:v>16</x:v>
      </x:c>
      <x:c r="P789" s="14" t="s">
        <x:v>102</x:v>
      </x:c>
      <x:c r="Q789" s="14" t="s">
        <x:v>103</x:v>
      </x:c>
      <x:c r="R789" s="14" t="s">
        <x:v>111</x:v>
      </x:c>
      <x:c r="S789" s="14" t="s">
        <x:v>105</x:v>
      </x:c>
      <x:c r="T789" s="14" t="str">
        <x:v>Region C</x:v>
      </x:c>
      <x:c r="U789" s="28">
        <x:v>46134</x:v>
      </x:c>
      <x:c r="V789" s="30">
        <x:v>1</x:v>
      </x:c>
      <x:c r="W789" s="14" t="s">
        <x:v>109</x:v>
      </x:c>
      <x:c r="X789" s="14" t="s">
        <x:v>106</x:v>
      </x:c>
      <x:c r="Y789" s="32" t="str">
        <x:v>TRN-0788|20260421</x:v>
      </x:c>
      <x:c r="Z789" s="32" t="str" cm="1">
        <x:f t="array" ref="Z78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789" s="33" t="n">
        <x:f>--OR(WorkforceData[[#This Row],[Status]]="Active",WorkforceData[[#This Row],[Promoted]]="Yes",WorkforceData[[#This Row],[Total Days Worked]]&gt;=121)</x:f>
        <x:v>0</x:v>
      </x:c>
      <x:c r="AB789" s="33" t="n">
        <x:f>IF(AND(Q789="Terminated",R789="",O789=0),1,0)</x:f>
        <x:v>0</x:v>
      </x:c>
      <x:c r="AC789" s="33" t="n">
        <x:f>--OR(WorkforceData[[#This Row],[Status]]="Resigned",WorkforceData[[#This Row],[Status After Training]]="Withdrew")</x:f>
        <x:v>1</x:v>
      </x:c>
      <x:c r="AD789" s="34" t="n">
        <x:f>EOMONTH(WorkforceData[[#This Row],[Training Date]],0)</x:f>
        <x:v>46142</x:v>
      </x:c>
      <x:c r="AE789" s="32" t="str">
        <x:f>IF(M789&lt;H789,"Existing Employee",IF(U789="","No Assignment",IF(V789=0,"0 Days",IF(V789&lt;=7,"1-7 Days",IF(V789&lt;=14,"8-14 Days",IF(V789&lt;=21,"15-21 Days","21+ Days"))))))</x:f>
        <x:v>1-7 Days</x:v>
      </x:c>
      <x:c r="AF78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789" s="33" t="n">
        <x:f>--(WorkforceData[[#This Row],[Total Days Worked]]&gt;=121)</x:f>
        <x:v>0</x:v>
      </x:c>
    </x:row>
    <x:row r="790">
      <x:c r="A790" s="236" t="str">
        <x:v>TRN-0789</x:v>
      </x:c>
      <x:c r="B790" s="243"/>
      <x:c r="C790" s="243"/>
      <x:c r="D790" s="243"/>
      <x:c r="E790" s="243"/>
      <x:c r="F790" s="14" t="str">
        <x:v>Recruiter H</x:v>
      </x:c>
      <x:c r="G790" s="14" t="str">
        <x:v>Training Center B</x:v>
      </x:c>
      <x:c r="H790" s="28">
        <x:v>46133</x:v>
      </x:c>
      <x:c r="I790" s="14">
        <x:v>2026</x:v>
      </x:c>
      <x:c r="J790" s="14" t="s">
        <x:v>126</x:v>
      </x:c>
      <x:c r="K790" s="14">
        <x:v>26</x:v>
      </x:c>
      <x:c r="L790" s="29" t="s">
        <x:v>101</x:v>
      </x:c>
      <x:c r="M790" s="28">
        <x:v>46126</x:v>
      </x:c>
      <x:c r="N790" s="28">
        <x:v>46132</x:v>
      </x:c>
      <x:c r="O790" s="14">
        <x:v>6</x:v>
      </x:c>
      <x:c r="P790" s="14" t="s">
        <x:v>102</x:v>
      </x:c>
      <x:c r="Q790" s="14" t="s">
        <x:v>33</x:v>
      </x:c>
      <x:c r="R790" s="14" t="s">
        <x:v>121</x:v>
      </x:c>
      <x:c r="S790" s="14" t="s">
        <x:v>105</x:v>
      </x:c>
      <x:c r="T790" s="14"/>
      <x:c r="U790" s="28"/>
      <x:c r="V790" s="30"/>
      <x:c r="W790" s="14"/>
      <x:c r="X790" s="14" t="s">
        <x:v>71</x:v>
      </x:c>
      <x:c r="Y790" s="32" t="str">
        <x:v>TRN-0789|20260421</x:v>
      </x:c>
      <x:c r="Z790" s="32" t="str" cm="1">
        <x:f t="array" ref="Z79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790" s="33" t="n">
        <x:f>--OR(WorkforceData[[#This Row],[Status]]="Active",WorkforceData[[#This Row],[Promoted]]="Yes",WorkforceData[[#This Row],[Total Days Worked]]&gt;=121)</x:f>
        <x:v>0</x:v>
      </x:c>
      <x:c r="AB790" s="33" t="n">
        <x:f>IF(AND(Q790="Terminated",R790="",O790=0),1,0)</x:f>
        <x:v>0</x:v>
      </x:c>
      <x:c r="AC790" s="33" t="n">
        <x:f>--OR(WorkforceData[[#This Row],[Status]]="Resigned",WorkforceData[[#This Row],[Status After Training]]="Withdrew")</x:f>
        <x:v>0</x:v>
      </x:c>
      <x:c r="AD790" s="34" t="n">
        <x:f>EOMONTH(WorkforceData[[#This Row],[Training Date]],0)</x:f>
        <x:v>46142</x:v>
      </x:c>
      <x:c r="AE790" s="32" t="str">
        <x:f>IF(M790&lt;H790,"Existing Employee",IF(U790="","No Assignment",IF(V790=0,"0 Days",IF(V790&lt;=7,"1-7 Days",IF(V790&lt;=14,"8-14 Days",IF(V790&lt;=21,"15-21 Days","21+ Days"))))))</x:f>
        <x:v>Existing Employee</x:v>
      </x:c>
      <x:c r="AF79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1-7 Days</x:v>
      </x:c>
      <x:c r="AG790" s="33" t="n">
        <x:f>--(WorkforceData[[#This Row],[Total Days Worked]]&gt;=121)</x:f>
        <x:v>0</x:v>
      </x:c>
    </x:row>
    <x:row r="791">
      <x:c r="A791" s="236" t="str">
        <x:v>TRN-0790</x:v>
      </x:c>
      <x:c r="B791" s="243"/>
      <x:c r="C791" s="243"/>
      <x:c r="D791" s="243"/>
      <x:c r="E791" s="243"/>
      <x:c r="F791" s="14" t="str">
        <x:v>Recruiter A</x:v>
      </x:c>
      <x:c r="G791" s="14" t="str">
        <x:v>Training Center B</x:v>
      </x:c>
      <x:c r="H791" s="28">
        <x:v>46133</x:v>
      </x:c>
      <x:c r="I791" s="14">
        <x:v>2026</x:v>
      </x:c>
      <x:c r="J791" s="14" t="s">
        <x:v>126</x:v>
      </x:c>
      <x:c r="K791" s="14">
        <x:v>26</x:v>
      </x:c>
      <x:c r="L791" s="29" t="s">
        <x:v>101</x:v>
      </x:c>
      <x:c r="M791" s="28">
        <x:v>46132</x:v>
      </x:c>
      <x:c r="N791" s="14"/>
      <x:c r="O791" s="14">
        <x:v>119</x:v>
      </x:c>
      <x:c r="P791" s="14" t="s">
        <x:v>113</x:v>
      </x:c>
      <x:c r="Q791" s="14" t="s">
        <x:v>25</x:v>
      </x:c>
      <x:c r="R791" s="14"/>
      <x:c r="S791" s="14" t="s">
        <x:v>105</x:v>
      </x:c>
      <x:c r="T791" s="14" t="str">
        <x:v>Region C</x:v>
      </x:c>
      <x:c r="U791" s="28">
        <x:v>46134</x:v>
      </x:c>
      <x:c r="V791" s="30">
        <x:v>1</x:v>
      </x:c>
      <x:c r="W791" s="14" t="s">
        <x:v>109</x:v>
      </x:c>
      <x:c r="X791" s="14" t="s">
        <x:v>106</x:v>
      </x:c>
      <x:c r="Y791" s="32" t="str">
        <x:v>TRN-0790|20260421</x:v>
      </x:c>
      <x:c r="Z791" s="32" t="str" cm="1">
        <x:f t="array" ref="Z79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791" s="33" t="n">
        <x:f>--OR(WorkforceData[[#This Row],[Status]]="Active",WorkforceData[[#This Row],[Promoted]]="Yes",WorkforceData[[#This Row],[Total Days Worked]]&gt;=121)</x:f>
        <x:v>1</x:v>
      </x:c>
      <x:c r="AB791" s="33" t="n">
        <x:f>IF(AND(Q791="Terminated",R791="",O791=0),1,0)</x:f>
        <x:v>0</x:v>
      </x:c>
      <x:c r="AC791" s="33" t="n">
        <x:f>--OR(WorkforceData[[#This Row],[Status]]="Resigned",WorkforceData[[#This Row],[Status After Training]]="Withdrew")</x:f>
        <x:v>0</x:v>
      </x:c>
      <x:c r="AD791" s="34" t="n">
        <x:f>EOMONTH(WorkforceData[[#This Row],[Training Date]],0)</x:f>
        <x:v>46142</x:v>
      </x:c>
      <x:c r="AE791" s="32" t="str">
        <x:f>IF(M791&lt;H791,"Existing Employee",IF(U791="","No Assignment",IF(V791=0,"0 Days",IF(V791&lt;=7,"1-7 Days",IF(V791&lt;=14,"8-14 Days",IF(V791&lt;=21,"15-21 Days","21+ Days"))))))</x:f>
        <x:v>Existing Employee</x:v>
      </x:c>
      <x:c r="AF79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91-120 Days</x:v>
      </x:c>
      <x:c r="AG791" s="33" t="n">
        <x:f>--(WorkforceData[[#This Row],[Total Days Worked]]&gt;=121)</x:f>
        <x:v>0</x:v>
      </x:c>
    </x:row>
    <x:row r="792">
      <x:c r="A792" s="236" t="str">
        <x:v>TRN-0791</x:v>
      </x:c>
      <x:c r="B792" s="243"/>
      <x:c r="C792" s="243"/>
      <x:c r="D792" s="243"/>
      <x:c r="E792" s="243"/>
      <x:c r="F792" s="14" t="str">
        <x:v>Recruiter D</x:v>
      </x:c>
      <x:c r="G792" s="14" t="str">
        <x:v>Training Center B</x:v>
      </x:c>
      <x:c r="H792" s="28">
        <x:v>46133</x:v>
      </x:c>
      <x:c r="I792" s="14">
        <x:v>2026</x:v>
      </x:c>
      <x:c r="J792" s="14" t="s">
        <x:v>126</x:v>
      </x:c>
      <x:c r="K792" s="14">
        <x:v>26</x:v>
      </x:c>
      <x:c r="L792" s="29" t="s">
        <x:v>101</x:v>
      </x:c>
      <x:c r="M792" s="28">
        <x:v>46131</x:v>
      </x:c>
      <x:c r="N792" s="28">
        <x:v>46186</x:v>
      </x:c>
      <x:c r="O792" s="14">
        <x:v>55</x:v>
      </x:c>
      <x:c r="P792" s="14" t="s">
        <x:v>110</x:v>
      </x:c>
      <x:c r="Q792" s="14" t="s">
        <x:v>33</x:v>
      </x:c>
      <x:c r="R792" s="14" t="s">
        <x:v>116</x:v>
      </x:c>
      <x:c r="S792" s="14" t="s">
        <x:v>105</x:v>
      </x:c>
      <x:c r="T792" s="14" t="str">
        <x:v>Region C</x:v>
      </x:c>
      <x:c r="U792" s="28">
        <x:v>46133</x:v>
      </x:c>
      <x:c r="V792" s="30">
        <x:v>0</x:v>
      </x:c>
      <x:c r="W792" s="14" t="s">
        <x:v>109</x:v>
      </x:c>
      <x:c r="X792" s="14" t="s">
        <x:v>106</x:v>
      </x:c>
      <x:c r="Y792" s="32" t="str">
        <x:v>TRN-0791|20260421</x:v>
      </x:c>
      <x:c r="Z792" s="32" t="str" cm="1">
        <x:f t="array" ref="Z79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792" s="33" t="n">
        <x:f>--OR(WorkforceData[[#This Row],[Status]]="Active",WorkforceData[[#This Row],[Promoted]]="Yes",WorkforceData[[#This Row],[Total Days Worked]]&gt;=121)</x:f>
        <x:v>0</x:v>
      </x:c>
      <x:c r="AB792" s="33" t="n">
        <x:f>IF(AND(Q792="Terminated",R792="",O792=0),1,0)</x:f>
        <x:v>0</x:v>
      </x:c>
      <x:c r="AC792" s="33" t="n">
        <x:f>--OR(WorkforceData[[#This Row],[Status]]="Resigned",WorkforceData[[#This Row],[Status After Training]]="Withdrew")</x:f>
        <x:v>0</x:v>
      </x:c>
      <x:c r="AD792" s="34" t="n">
        <x:f>EOMONTH(WorkforceData[[#This Row],[Training Date]],0)</x:f>
        <x:v>46142</x:v>
      </x:c>
      <x:c r="AE792" s="32" t="str">
        <x:f>IF(M792&lt;H792,"Existing Employee",IF(U792="","No Assignment",IF(V792=0,"0 Days",IF(V792&lt;=7,"1-7 Days",IF(V792&lt;=14,"8-14 Days",IF(V792&lt;=21,"15-21 Days","21+ Days"))))))</x:f>
        <x:v>Existing Employee</x:v>
      </x:c>
      <x:c r="AF79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792" s="33" t="n">
        <x:f>--(WorkforceData[[#This Row],[Total Days Worked]]&gt;=121)</x:f>
        <x:v>0</x:v>
      </x:c>
    </x:row>
    <x:row r="793">
      <x:c r="A793" s="236" t="str">
        <x:v>TRN-0792</x:v>
      </x:c>
      <x:c r="B793" s="243"/>
      <x:c r="C793" s="243"/>
      <x:c r="D793" s="243"/>
      <x:c r="E793" s="243"/>
      <x:c r="F793" s="14" t="str">
        <x:v>Recruiter D</x:v>
      </x:c>
      <x:c r="G793" s="14" t="str">
        <x:v>Training Center B</x:v>
      </x:c>
      <x:c r="H793" s="28">
        <x:v>46133</x:v>
      </x:c>
      <x:c r="I793" s="14">
        <x:v>2026</x:v>
      </x:c>
      <x:c r="J793" s="14" t="s">
        <x:v>126</x:v>
      </x:c>
      <x:c r="K793" s="14">
        <x:v>26</x:v>
      </x:c>
      <x:c r="L793" s="29" t="s">
        <x:v>101</x:v>
      </x:c>
      <x:c r="M793" s="28">
        <x:v>46130</x:v>
      </x:c>
      <x:c r="N793" s="14"/>
      <x:c r="O793" s="14">
        <x:v>121</x:v>
      </x:c>
      <x:c r="P793" s="14" t="s">
        <x:v>113</x:v>
      </x:c>
      <x:c r="Q793" s="14" t="s">
        <x:v>25</x:v>
      </x:c>
      <x:c r="R793" s="14"/>
      <x:c r="S793" s="14" t="s">
        <x:v>105</x:v>
      </x:c>
      <x:c r="T793" s="14" t="str">
        <x:v>Region D</x:v>
      </x:c>
      <x:c r="U793" s="28">
        <x:v>46138</x:v>
      </x:c>
      <x:c r="V793" s="30">
        <x:v>5</x:v>
      </x:c>
      <x:c r="W793" s="14" t="s">
        <x:v>109</x:v>
      </x:c>
      <x:c r="X793" s="14" t="s">
        <x:v>106</x:v>
      </x:c>
      <x:c r="Y793" s="32" t="str">
        <x:v>TRN-0792|20260421</x:v>
      </x:c>
      <x:c r="Z793" s="32" t="str" cm="1">
        <x:f t="array" ref="Z79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793" s="33" t="n">
        <x:f>--OR(WorkforceData[[#This Row],[Status]]="Active",WorkforceData[[#This Row],[Promoted]]="Yes",WorkforceData[[#This Row],[Total Days Worked]]&gt;=121)</x:f>
        <x:v>1</x:v>
      </x:c>
      <x:c r="AB793" s="33" t="n">
        <x:f>IF(AND(Q793="Terminated",R793="",O793=0),1,0)</x:f>
        <x:v>0</x:v>
      </x:c>
      <x:c r="AC793" s="33" t="n">
        <x:f>--OR(WorkforceData[[#This Row],[Status]]="Resigned",WorkforceData[[#This Row],[Status After Training]]="Withdrew")</x:f>
        <x:v>0</x:v>
      </x:c>
      <x:c r="AD793" s="34" t="n">
        <x:f>EOMONTH(WorkforceData[[#This Row],[Training Date]],0)</x:f>
        <x:v>46142</x:v>
      </x:c>
      <x:c r="AE793" s="32" t="str">
        <x:f>IF(M793&lt;H793,"Existing Employee",IF(U793="","No Assignment",IF(V793=0,"0 Days",IF(V793&lt;=7,"1-7 Days",IF(V793&lt;=14,"8-14 Days",IF(V793&lt;=21,"15-21 Days","21+ Days"))))))</x:f>
        <x:v>Existing Employee</x:v>
      </x:c>
      <x:c r="AF79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93" s="33" t="n">
        <x:f>--(WorkforceData[[#This Row],[Total Days Worked]]&gt;=121)</x:f>
        <x:v>1</x:v>
      </x:c>
    </x:row>
    <x:row r="794">
      <x:c r="A794" s="236" t="str">
        <x:v>TRN-0793</x:v>
      </x:c>
      <x:c r="B794" s="243"/>
      <x:c r="C794" s="243"/>
      <x:c r="D794" s="243"/>
      <x:c r="E794" s="243"/>
      <x:c r="F794" s="14" t="str">
        <x:v>Recruiter A</x:v>
      </x:c>
      <x:c r="G794" s="14" t="str">
        <x:v>Training Center B</x:v>
      </x:c>
      <x:c r="H794" s="28">
        <x:v>46133</x:v>
      </x:c>
      <x:c r="I794" s="14">
        <x:v>2026</x:v>
      </x:c>
      <x:c r="J794" s="14" t="s">
        <x:v>126</x:v>
      </x:c>
      <x:c r="K794" s="14">
        <x:v>26</x:v>
      </x:c>
      <x:c r="L794" s="29" t="s">
        <x:v>101</x:v>
      </x:c>
      <x:c r="M794" s="28">
        <x:v>46128</x:v>
      </x:c>
      <x:c r="N794" s="28">
        <x:v>46129</x:v>
      </x:c>
      <x:c r="O794" s="14">
        <x:v>1</x:v>
      </x:c>
      <x:c r="P794" s="14" t="s">
        <x:v>102</x:v>
      </x:c>
      <x:c r="Q794" s="14" t="s">
        <x:v>103</x:v>
      </x:c>
      <x:c r="R794" s="14" t="s">
        <x:v>111</x:v>
      </x:c>
      <x:c r="S794" s="14" t="s">
        <x:v>105</x:v>
      </x:c>
      <x:c r="T794" s="14"/>
      <x:c r="U794" s="28"/>
      <x:c r="V794" s="30"/>
      <x:c r="W794" s="14"/>
      <x:c r="X794" s="14" t="s">
        <x:v>71</x:v>
      </x:c>
      <x:c r="Y794" s="32" t="str">
        <x:v>TRN-0793|20260421</x:v>
      </x:c>
      <x:c r="Z794" s="32" t="str" cm="1">
        <x:f t="array" ref="Z79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794" s="33" t="n">
        <x:f>--OR(WorkforceData[[#This Row],[Status]]="Active",WorkforceData[[#This Row],[Promoted]]="Yes",WorkforceData[[#This Row],[Total Days Worked]]&gt;=121)</x:f>
        <x:v>0</x:v>
      </x:c>
      <x:c r="AB794" s="33" t="n">
        <x:f>IF(AND(Q794="Terminated",R794="",O794=0),1,0)</x:f>
        <x:v>0</x:v>
      </x:c>
      <x:c r="AC794" s="33" t="n">
        <x:f>--OR(WorkforceData[[#This Row],[Status]]="Resigned",WorkforceData[[#This Row],[Status After Training]]="Withdrew")</x:f>
        <x:v>1</x:v>
      </x:c>
      <x:c r="AD794" s="34" t="n">
        <x:f>EOMONTH(WorkforceData[[#This Row],[Training Date]],0)</x:f>
        <x:v>46142</x:v>
      </x:c>
      <x:c r="AE794" s="32" t="str">
        <x:f>IF(M794&lt;H794,"Existing Employee",IF(U794="","No Assignment",IF(V794=0,"0 Days",IF(V794&lt;=7,"1-7 Days",IF(V794&lt;=14,"8-14 Days",IF(V794&lt;=21,"15-21 Days","21+ Days"))))))</x:f>
        <x:v>Existing Employee</x:v>
      </x:c>
      <x:c r="AF79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1-7 Days</x:v>
      </x:c>
      <x:c r="AG794" s="33" t="n">
        <x:f>--(WorkforceData[[#This Row],[Total Days Worked]]&gt;=121)</x:f>
        <x:v>0</x:v>
      </x:c>
    </x:row>
    <x:row r="795">
      <x:c r="A795" s="236" t="str">
        <x:v>TRN-0794</x:v>
      </x:c>
      <x:c r="B795" s="243"/>
      <x:c r="C795" s="243"/>
      <x:c r="D795" s="243"/>
      <x:c r="E795" s="243"/>
      <x:c r="F795" s="14" t="str">
        <x:v>Recruiter C</x:v>
      </x:c>
      <x:c r="G795" s="14" t="str">
        <x:v>Training Center B</x:v>
      </x:c>
      <x:c r="H795" s="28">
        <x:v>45694</x:v>
      </x:c>
      <x:c r="I795" s="14">
        <x:v>2025</x:v>
      </x:c>
      <x:c r="J795" s="14" t="s">
        <x:v>136</x:v>
      </x:c>
      <x:c r="K795" s="14">
        <x:v>30</x:v>
      </x:c>
      <x:c r="L795" s="29" t="s">
        <x:v>101</x:v>
      </x:c>
      <x:c r="M795" s="28">
        <x:v>45684</x:v>
      </x:c>
      <x:c r="N795" s="28">
        <x:v>45884</x:v>
      </x:c>
      <x:c r="O795" s="14">
        <x:v>200</x:v>
      </x:c>
      <x:c r="P795" s="14" t="s">
        <x:v>107</x:v>
      </x:c>
      <x:c r="Q795" s="14" t="s">
        <x:v>103</x:v>
      </x:c>
      <x:c r="R795" s="14" t="s">
        <x:v>111</x:v>
      </x:c>
      <x:c r="S795" s="14" t="s">
        <x:v>108</x:v>
      </x:c>
      <x:c r="T795" s="14" t="str">
        <x:v>Region E</x:v>
      </x:c>
      <x:c r="U795" s="28">
        <x:v>45699</x:v>
      </x:c>
      <x:c r="V795" s="30">
        <x:v>5</x:v>
      </x:c>
      <x:c r="W795" s="14" t="s">
        <x:v>109</x:v>
      </x:c>
      <x:c r="X795" s="14" t="s">
        <x:v>106</x:v>
      </x:c>
      <x:c r="Y795" s="32" t="str">
        <x:v>TRN-0794|20250206</x:v>
      </x:c>
      <x:c r="Z795" s="32" t="str" cm="1">
        <x:f t="array" ref="Z79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795" s="33" t="n">
        <x:f>--OR(WorkforceData[[#This Row],[Status]]="Active",WorkforceData[[#This Row],[Promoted]]="Yes",WorkforceData[[#This Row],[Total Days Worked]]&gt;=121)</x:f>
        <x:v>1</x:v>
      </x:c>
      <x:c r="AB795" s="33" t="n">
        <x:f>IF(AND(Q795="Terminated",R795="",O795=0),1,0)</x:f>
        <x:v>0</x:v>
      </x:c>
      <x:c r="AC795" s="33" t="n">
        <x:f>--OR(WorkforceData[[#This Row],[Status]]="Resigned",WorkforceData[[#This Row],[Status After Training]]="Withdrew")</x:f>
        <x:v>1</x:v>
      </x:c>
      <x:c r="AD795" s="34" t="n">
        <x:f>EOMONTH(WorkforceData[[#This Row],[Training Date]],0)</x:f>
        <x:v>45716</x:v>
      </x:c>
      <x:c r="AE795" s="32" t="str">
        <x:f>IF(M795&lt;H795,"Existing Employee",IF(U795="","No Assignment",IF(V795=0,"0 Days",IF(V795&lt;=7,"1-7 Days",IF(V795&lt;=14,"8-14 Days",IF(V795&lt;=21,"15-21 Days","21+ Days"))))))</x:f>
        <x:v>Existing Employee</x:v>
      </x:c>
      <x:c r="AF79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95" s="33" t="n">
        <x:f>--(WorkforceData[[#This Row],[Total Days Worked]]&gt;=121)</x:f>
        <x:v>1</x:v>
      </x:c>
    </x:row>
    <x:row r="796">
      <x:c r="A796" s="236" t="str">
        <x:v>TRN-0795</x:v>
      </x:c>
      <x:c r="B796" s="243"/>
      <x:c r="C796" s="243"/>
      <x:c r="D796" s="243"/>
      <x:c r="E796" s="243"/>
      <x:c r="F796" s="14" t="str">
        <x:v>Recruiter D</x:v>
      </x:c>
      <x:c r="G796" s="14" t="str">
        <x:v>Training Center B</x:v>
      </x:c>
      <x:c r="H796" s="28">
        <x:v>45694</x:v>
      </x:c>
      <x:c r="I796" s="14">
        <x:v>2025</x:v>
      </x:c>
      <x:c r="J796" s="14" t="s">
        <x:v>136</x:v>
      </x:c>
      <x:c r="K796" s="14">
        <x:v>30</x:v>
      </x:c>
      <x:c r="L796" s="29" t="s">
        <x:v>101</x:v>
      </x:c>
      <x:c r="M796" s="28">
        <x:v>45693</x:v>
      </x:c>
      <x:c r="N796" s="28">
        <x:v>45784</x:v>
      </x:c>
      <x:c r="O796" s="14">
        <x:v>91</x:v>
      </x:c>
      <x:c r="P796" s="14" t="s">
        <x:v>113</x:v>
      </x:c>
      <x:c r="Q796" s="14" t="s">
        <x:v>103</x:v>
      </x:c>
      <x:c r="R796" s="14" t="s">
        <x:v>111</x:v>
      </x:c>
      <x:c r="S796" s="14" t="s">
        <x:v>105</x:v>
      </x:c>
      <x:c r="T796" s="14" t="str">
        <x:v>Region D</x:v>
      </x:c>
      <x:c r="U796" s="28">
        <x:v>45703</x:v>
      </x:c>
      <x:c r="V796" s="30">
        <x:v>9</x:v>
      </x:c>
      <x:c r="W796" s="14" t="s">
        <x:v>45</x:v>
      </x:c>
      <x:c r="X796" s="14" t="s">
        <x:v>125</x:v>
      </x:c>
      <x:c r="Y796" s="32" t="str">
        <x:v>TRN-0795|20250206</x:v>
      </x:c>
      <x:c r="Z796" s="32" t="str" cm="1">
        <x:f t="array" ref="Z79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796" s="33" t="n">
        <x:f>--OR(WorkforceData[[#This Row],[Status]]="Active",WorkforceData[[#This Row],[Promoted]]="Yes",WorkforceData[[#This Row],[Total Days Worked]]&gt;=121)</x:f>
        <x:v>0</x:v>
      </x:c>
      <x:c r="AB796" s="33" t="n">
        <x:f>IF(AND(Q796="Terminated",R796="",O796=0),1,0)</x:f>
        <x:v>0</x:v>
      </x:c>
      <x:c r="AC796" s="33" t="n">
        <x:f>--OR(WorkforceData[[#This Row],[Status]]="Resigned",WorkforceData[[#This Row],[Status After Training]]="Withdrew")</x:f>
        <x:v>1</x:v>
      </x:c>
      <x:c r="AD796" s="34" t="n">
        <x:f>EOMONTH(WorkforceData[[#This Row],[Training Date]],0)</x:f>
        <x:v>45716</x:v>
      </x:c>
      <x:c r="AE796" s="32" t="str">
        <x:f>IF(M796&lt;H796,"Existing Employee",IF(U796="","No Assignment",IF(V796=0,"0 Days",IF(V796&lt;=7,"1-7 Days",IF(V796&lt;=14,"8-14 Days",IF(V796&lt;=21,"15-21 Days","21+ Days"))))))</x:f>
        <x:v>Existing Employee</x:v>
      </x:c>
      <x:c r="AF79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91-120 Days</x:v>
      </x:c>
      <x:c r="AG796" s="33" t="n">
        <x:f>--(WorkforceData[[#This Row],[Total Days Worked]]&gt;=121)</x:f>
        <x:v>0</x:v>
      </x:c>
    </x:row>
    <x:row r="797">
      <x:c r="A797" s="236" t="str">
        <x:v>TRN-0796</x:v>
      </x:c>
      <x:c r="B797" s="243"/>
      <x:c r="C797" s="243"/>
      <x:c r="D797" s="243"/>
      <x:c r="E797" s="243"/>
      <x:c r="F797" s="14" t="str">
        <x:v>Recruiter H</x:v>
      </x:c>
      <x:c r="G797" s="14" t="str">
        <x:v>Training Center B</x:v>
      </x:c>
      <x:c r="H797" s="28">
        <x:v>45694</x:v>
      </x:c>
      <x:c r="I797" s="14">
        <x:v>2025</x:v>
      </x:c>
      <x:c r="J797" s="14" t="s">
        <x:v>136</x:v>
      </x:c>
      <x:c r="K797" s="14">
        <x:v>30</x:v>
      </x:c>
      <x:c r="L797" s="29" t="s">
        <x:v>101</x:v>
      </x:c>
      <x:c r="M797" s="28">
        <x:v>45694</x:v>
      </x:c>
      <x:c r="N797" s="28">
        <x:v>45755</x:v>
      </x:c>
      <x:c r="O797" s="14">
        <x:v>61</x:v>
      </x:c>
      <x:c r="P797" s="14" t="s">
        <x:v>110</x:v>
      </x:c>
      <x:c r="Q797" s="14" t="s">
        <x:v>103</x:v>
      </x:c>
      <x:c r="R797" s="14" t="s">
        <x:v>104</x:v>
      </x:c>
      <x:c r="S797" s="14" t="s">
        <x:v>105</x:v>
      </x:c>
      <x:c r="T797" s="14" t="str">
        <x:v>Region D</x:v>
      </x:c>
      <x:c r="U797" s="28">
        <x:v>45714</x:v>
      </x:c>
      <x:c r="V797" s="30">
        <x:v>20</x:v>
      </x:c>
      <x:c r="W797" s="14" t="s">
        <x:v>112</x:v>
      </x:c>
      <x:c r="X797" s="14" t="s">
        <x:v>106</x:v>
      </x:c>
      <x:c r="Y797" s="32" t="str">
        <x:v>TRN-0796|20250206</x:v>
      </x:c>
      <x:c r="Z797" s="32" t="str" cm="1">
        <x:f t="array" ref="Z79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797" s="33" t="n">
        <x:f>--OR(WorkforceData[[#This Row],[Status]]="Active",WorkforceData[[#This Row],[Promoted]]="Yes",WorkforceData[[#This Row],[Total Days Worked]]&gt;=121)</x:f>
        <x:v>0</x:v>
      </x:c>
      <x:c r="AB797" s="33" t="n">
        <x:f>IF(AND(Q797="Terminated",R797="",O797=0),1,0)</x:f>
        <x:v>0</x:v>
      </x:c>
      <x:c r="AC797" s="33" t="n">
        <x:f>--OR(WorkforceData[[#This Row],[Status]]="Resigned",WorkforceData[[#This Row],[Status After Training]]="Withdrew")</x:f>
        <x:v>1</x:v>
      </x:c>
      <x:c r="AD797" s="34" t="n">
        <x:f>EOMONTH(WorkforceData[[#This Row],[Training Date]],0)</x:f>
        <x:v>45716</x:v>
      </x:c>
      <x:c r="AE797" s="32" t="str">
        <x:f>IF(M797&lt;H797,"Existing Employee",IF(U797="","No Assignment",IF(V797=0,"0 Days",IF(V797&lt;=7,"1-7 Days",IF(V797&lt;=14,"8-14 Days",IF(V797&lt;=21,"15-21 Days","21+ Days"))))))</x:f>
        <x:v>15-21 Days</x:v>
      </x:c>
      <x:c r="AF79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61-90 Days</x:v>
      </x:c>
      <x:c r="AG797" s="33" t="n">
        <x:f>--(WorkforceData[[#This Row],[Total Days Worked]]&gt;=121)</x:f>
        <x:v>0</x:v>
      </x:c>
    </x:row>
    <x:row r="798">
      <x:c r="A798" s="236" t="str">
        <x:v>TRN-0797</x:v>
      </x:c>
      <x:c r="B798" s="243"/>
      <x:c r="C798" s="243"/>
      <x:c r="D798" s="243"/>
      <x:c r="E798" s="243"/>
      <x:c r="F798" s="14" t="str">
        <x:v>Recruiter E</x:v>
      </x:c>
      <x:c r="G798" s="14" t="str">
        <x:v>Training Center B</x:v>
      </x:c>
      <x:c r="H798" s="28">
        <x:v>45694</x:v>
      </x:c>
      <x:c r="I798" s="14">
        <x:v>2025</x:v>
      </x:c>
      <x:c r="J798" s="14" t="s">
        <x:v>136</x:v>
      </x:c>
      <x:c r="K798" s="14">
        <x:v>30</x:v>
      </x:c>
      <x:c r="L798" s="29" t="s">
        <x:v>101</x:v>
      </x:c>
      <x:c r="M798" s="28">
        <x:v>45687</x:v>
      </x:c>
      <x:c r="N798" s="14"/>
      <x:c r="O798" s="14">
        <x:v>564</x:v>
      </x:c>
      <x:c r="P798" s="14" t="s">
        <x:v>120</x:v>
      </x:c>
      <x:c r="Q798" s="14" t="s">
        <x:v>25</x:v>
      </x:c>
      <x:c r="R798" s="14"/>
      <x:c r="S798" s="14" t="s">
        <x:v>108</x:v>
      </x:c>
      <x:c r="T798" s="14" t="str">
        <x:v>Region D</x:v>
      </x:c>
      <x:c r="U798" s="28">
        <x:v>45696</x:v>
      </x:c>
      <x:c r="V798" s="30">
        <x:v>2</x:v>
      </x:c>
      <x:c r="W798" s="14" t="s">
        <x:v>109</x:v>
      </x:c>
      <x:c r="X798" s="14" t="s">
        <x:v>106</x:v>
      </x:c>
      <x:c r="Y798" s="32" t="str">
        <x:v>TRN-0797|20250206</x:v>
      </x:c>
      <x:c r="Z798" s="32" t="str" cm="1">
        <x:f t="array" ref="Z79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798" s="33" t="n">
        <x:f>--OR(WorkforceData[[#This Row],[Status]]="Active",WorkforceData[[#This Row],[Promoted]]="Yes",WorkforceData[[#This Row],[Total Days Worked]]&gt;=121)</x:f>
        <x:v>1</x:v>
      </x:c>
      <x:c r="AB798" s="33" t="n">
        <x:f>IF(AND(Q798="Terminated",R798="",O798=0),1,0)</x:f>
        <x:v>0</x:v>
      </x:c>
      <x:c r="AC798" s="33" t="n">
        <x:f>--OR(WorkforceData[[#This Row],[Status]]="Resigned",WorkforceData[[#This Row],[Status After Training]]="Withdrew")</x:f>
        <x:v>0</x:v>
      </x:c>
      <x:c r="AD798" s="34" t="n">
        <x:f>EOMONTH(WorkforceData[[#This Row],[Training Date]],0)</x:f>
        <x:v>45716</x:v>
      </x:c>
      <x:c r="AE798" s="32" t="str">
        <x:f>IF(M798&lt;H798,"Existing Employee",IF(U798="","No Assignment",IF(V798=0,"0 Days",IF(V798&lt;=7,"1-7 Days",IF(V798&lt;=14,"8-14 Days",IF(V798&lt;=21,"15-21 Days","21+ Days"))))))</x:f>
        <x:v>Existing Employee</x:v>
      </x:c>
      <x:c r="AF79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98" s="33" t="n">
        <x:f>--(WorkforceData[[#This Row],[Total Days Worked]]&gt;=121)</x:f>
        <x:v>1</x:v>
      </x:c>
    </x:row>
    <x:row r="799">
      <x:c r="A799" s="236" t="str">
        <x:v>TRN-0798</x:v>
      </x:c>
      <x:c r="B799" s="243"/>
      <x:c r="C799" s="243"/>
      <x:c r="D799" s="243"/>
      <x:c r="E799" s="243"/>
      <x:c r="F799" s="14" t="str">
        <x:v>Recruiter H</x:v>
      </x:c>
      <x:c r="G799" s="14" t="str">
        <x:v>Training Center B</x:v>
      </x:c>
      <x:c r="H799" s="28">
        <x:v>45694</x:v>
      </x:c>
      <x:c r="I799" s="14">
        <x:v>2025</x:v>
      </x:c>
      <x:c r="J799" s="14" t="s">
        <x:v>136</x:v>
      </x:c>
      <x:c r="K799" s="14">
        <x:v>30</x:v>
      </x:c>
      <x:c r="L799" s="29" t="s">
        <x:v>101</x:v>
      </x:c>
      <x:c r="M799" s="28">
        <x:v>45691</x:v>
      </x:c>
      <x:c r="N799" s="14"/>
      <x:c r="O799" s="14">
        <x:v>560</x:v>
      </x:c>
      <x:c r="P799" s="14" t="s">
        <x:v>120</x:v>
      </x:c>
      <x:c r="Q799" s="14" t="s">
        <x:v>25</x:v>
      </x:c>
      <x:c r="R799" s="14"/>
      <x:c r="S799" s="14" t="s">
        <x:v>108</x:v>
      </x:c>
      <x:c r="T799" s="14" t="str">
        <x:v>Region D</x:v>
      </x:c>
      <x:c r="U799" s="28">
        <x:v>45746</x:v>
      </x:c>
      <x:c r="V799" s="30">
        <x:v>52</x:v>
      </x:c>
      <x:c r="W799" s="14" t="s">
        <x:v>63</x:v>
      </x:c>
      <x:c r="X799" s="14" t="s">
        <x:v>117</x:v>
      </x:c>
      <x:c r="Y799" s="32" t="str">
        <x:v>TRN-0798|20250206</x:v>
      </x:c>
      <x:c r="Z799" s="32" t="str" cm="1">
        <x:f t="array" ref="Z79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799" s="33" t="n">
        <x:f>--OR(WorkforceData[[#This Row],[Status]]="Active",WorkforceData[[#This Row],[Promoted]]="Yes",WorkforceData[[#This Row],[Total Days Worked]]&gt;=121)</x:f>
        <x:v>1</x:v>
      </x:c>
      <x:c r="AB799" s="33" t="n">
        <x:f>IF(AND(Q799="Terminated",R799="",O799=0),1,0)</x:f>
        <x:v>0</x:v>
      </x:c>
      <x:c r="AC799" s="33" t="n">
        <x:f>--OR(WorkforceData[[#This Row],[Status]]="Resigned",WorkforceData[[#This Row],[Status After Training]]="Withdrew")</x:f>
        <x:v>0</x:v>
      </x:c>
      <x:c r="AD799" s="34" t="n">
        <x:f>EOMONTH(WorkforceData[[#This Row],[Training Date]],0)</x:f>
        <x:v>45716</x:v>
      </x:c>
      <x:c r="AE799" s="32" t="str">
        <x:f>IF(M799&lt;H799,"Existing Employee",IF(U799="","No Assignment",IF(V799=0,"0 Days",IF(V799&lt;=7,"1-7 Days",IF(V799&lt;=14,"8-14 Days",IF(V799&lt;=21,"15-21 Days","21+ Days"))))))</x:f>
        <x:v>Existing Employee</x:v>
      </x:c>
      <x:c r="AF79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799" s="33" t="n">
        <x:f>--(WorkforceData[[#This Row],[Total Days Worked]]&gt;=121)</x:f>
        <x:v>1</x:v>
      </x:c>
    </x:row>
    <x:row r="800">
      <x:c r="A800" s="236" t="str">
        <x:v>TRN-0799</x:v>
      </x:c>
      <x:c r="B800" s="243"/>
      <x:c r="C800" s="243"/>
      <x:c r="D800" s="243"/>
      <x:c r="E800" s="243"/>
      <x:c r="F800" s="14" t="str">
        <x:v>Recruiter A</x:v>
      </x:c>
      <x:c r="G800" s="14" t="str">
        <x:v>Training Center B</x:v>
      </x:c>
      <x:c r="H800" s="28">
        <x:v>45694</x:v>
      </x:c>
      <x:c r="I800" s="14">
        <x:v>2025</x:v>
      </x:c>
      <x:c r="J800" s="14" t="s">
        <x:v>136</x:v>
      </x:c>
      <x:c r="K800" s="14">
        <x:v>30</x:v>
      </x:c>
      <x:c r="L800" s="29" t="s">
        <x:v>101</x:v>
      </x:c>
      <x:c r="M800" s="28">
        <x:v>45693</x:v>
      </x:c>
      <x:c r="N800" s="28">
        <x:v>45713</x:v>
      </x:c>
      <x:c r="O800" s="14">
        <x:v>20</x:v>
      </x:c>
      <x:c r="P800" s="14" t="s">
        <x:v>102</x:v>
      </x:c>
      <x:c r="Q800" s="14" t="s">
        <x:v>33</x:v>
      </x:c>
      <x:c r="R800" s="14" t="s">
        <x:v>116</x:v>
      </x:c>
      <x:c r="S800" s="14" t="s">
        <x:v>105</x:v>
      </x:c>
      <x:c r="T800" s="14" t="str">
        <x:v>Region A</x:v>
      </x:c>
      <x:c r="U800" s="28">
        <x:v>45694</x:v>
      </x:c>
      <x:c r="V800" s="30">
        <x:v>0</x:v>
      </x:c>
      <x:c r="W800" s="14" t="s">
        <x:v>109</x:v>
      </x:c>
      <x:c r="X800" s="14" t="s">
        <x:v>106</x:v>
      </x:c>
      <x:c r="Y800" s="32" t="str">
        <x:v>TRN-0799|20250206</x:v>
      </x:c>
      <x:c r="Z800" s="32" t="str" cm="1">
        <x:f t="array" ref="Z80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800" s="33" t="n">
        <x:f>--OR(WorkforceData[[#This Row],[Status]]="Active",WorkforceData[[#This Row],[Promoted]]="Yes",WorkforceData[[#This Row],[Total Days Worked]]&gt;=121)</x:f>
        <x:v>0</x:v>
      </x:c>
      <x:c r="AB800" s="33" t="n">
        <x:f>IF(AND(Q800="Terminated",R800="",O800=0),1,0)</x:f>
        <x:v>0</x:v>
      </x:c>
      <x:c r="AC800" s="33" t="n">
        <x:f>--OR(WorkforceData[[#This Row],[Status]]="Resigned",WorkforceData[[#This Row],[Status After Training]]="Withdrew")</x:f>
        <x:v>0</x:v>
      </x:c>
      <x:c r="AD800" s="34" t="n">
        <x:f>EOMONTH(WorkforceData[[#This Row],[Training Date]],0)</x:f>
        <x:v>45716</x:v>
      </x:c>
      <x:c r="AE800" s="32" t="str">
        <x:f>IF(M800&lt;H800,"Existing Employee",IF(U800="","No Assignment",IF(V800=0,"0 Days",IF(V800&lt;=7,"1-7 Days",IF(V800&lt;=14,"8-14 Days",IF(V800&lt;=21,"15-21 Days","21+ Days"))))))</x:f>
        <x:v>Existing Employee</x:v>
      </x:c>
      <x:c r="AF80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800" s="33" t="n">
        <x:f>--(WorkforceData[[#This Row],[Total Days Worked]]&gt;=121)</x:f>
        <x:v>0</x:v>
      </x:c>
    </x:row>
    <x:row r="801">
      <x:c r="A801" s="236" t="str">
        <x:v>TRN-0800</x:v>
      </x:c>
      <x:c r="B801" s="243"/>
      <x:c r="C801" s="243"/>
      <x:c r="D801" s="243"/>
      <x:c r="E801" s="243"/>
      <x:c r="F801" s="14" t="str">
        <x:v>Recruiter F</x:v>
      </x:c>
      <x:c r="G801" s="14" t="str">
        <x:v>Training Center B</x:v>
      </x:c>
      <x:c r="H801" s="28">
        <x:v>45694</x:v>
      </x:c>
      <x:c r="I801" s="14">
        <x:v>2025</x:v>
      </x:c>
      <x:c r="J801" s="14" t="s">
        <x:v>136</x:v>
      </x:c>
      <x:c r="K801" s="14">
        <x:v>30</x:v>
      </x:c>
      <x:c r="L801" s="29" t="s">
        <x:v>101</x:v>
      </x:c>
      <x:c r="M801" s="28">
        <x:v>45687</x:v>
      </x:c>
      <x:c r="N801" s="28">
        <x:v>46094</x:v>
      </x:c>
      <x:c r="O801" s="14">
        <x:v>407</x:v>
      </x:c>
      <x:c r="P801" s="14" t="s">
        <x:v>120</x:v>
      </x:c>
      <x:c r="Q801" s="14" t="s">
        <x:v>103</x:v>
      </x:c>
      <x:c r="R801" s="14" t="s">
        <x:v>104</x:v>
      </x:c>
      <x:c r="S801" s="14" t="s">
        <x:v>108</x:v>
      </x:c>
      <x:c r="T801" s="14" t="str">
        <x:v>Region D</x:v>
      </x:c>
      <x:c r="U801" s="28">
        <x:v>45701</x:v>
      </x:c>
      <x:c r="V801" s="30">
        <x:v>7</x:v>
      </x:c>
      <x:c r="W801" s="14" t="s">
        <x:v>109</x:v>
      </x:c>
      <x:c r="X801" s="14" t="s">
        <x:v>106</x:v>
      </x:c>
      <x:c r="Y801" s="32" t="str">
        <x:v>TRN-0800|20250206</x:v>
      </x:c>
      <x:c r="Z801" s="32" t="str" cm="1">
        <x:f t="array" ref="Z80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801" s="33" t="n">
        <x:f>--OR(WorkforceData[[#This Row],[Status]]="Active",WorkforceData[[#This Row],[Promoted]]="Yes",WorkforceData[[#This Row],[Total Days Worked]]&gt;=121)</x:f>
        <x:v>1</x:v>
      </x:c>
      <x:c r="AB801" s="33" t="n">
        <x:f>IF(AND(Q801="Terminated",R801="",O801=0),1,0)</x:f>
        <x:v>0</x:v>
      </x:c>
      <x:c r="AC801" s="33" t="n">
        <x:f>--OR(WorkforceData[[#This Row],[Status]]="Resigned",WorkforceData[[#This Row],[Status After Training]]="Withdrew")</x:f>
        <x:v>1</x:v>
      </x:c>
      <x:c r="AD801" s="34" t="n">
        <x:f>EOMONTH(WorkforceData[[#This Row],[Training Date]],0)</x:f>
        <x:v>45716</x:v>
      </x:c>
      <x:c r="AE801" s="32" t="str">
        <x:f>IF(M801&lt;H801,"Existing Employee",IF(U801="","No Assignment",IF(V801=0,"0 Days",IF(V801&lt;=7,"1-7 Days",IF(V801&lt;=14,"8-14 Days",IF(V801&lt;=21,"15-21 Days","21+ Days"))))))</x:f>
        <x:v>Existing Employee</x:v>
      </x:c>
      <x:c r="AF80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01" s="33" t="n">
        <x:f>--(WorkforceData[[#This Row],[Total Days Worked]]&gt;=121)</x:f>
        <x:v>1</x:v>
      </x:c>
    </x:row>
    <x:row r="802">
      <x:c r="A802" s="236" t="str">
        <x:v>TRN-0801</x:v>
      </x:c>
      <x:c r="B802" s="243"/>
      <x:c r="C802" s="243"/>
      <x:c r="D802" s="243"/>
      <x:c r="E802" s="243"/>
      <x:c r="F802" s="14" t="str">
        <x:v>Recruiter F</x:v>
      </x:c>
      <x:c r="G802" s="14" t="str">
        <x:v>Training Center B</x:v>
      </x:c>
      <x:c r="H802" s="28">
        <x:v>45694</x:v>
      </x:c>
      <x:c r="I802" s="14">
        <x:v>2025</x:v>
      </x:c>
      <x:c r="J802" s="14" t="s">
        <x:v>136</x:v>
      </x:c>
      <x:c r="K802" s="14">
        <x:v>30</x:v>
      </x:c>
      <x:c r="L802" s="29" t="s">
        <x:v>101</x:v>
      </x:c>
      <x:c r="M802" s="28">
        <x:v>45691</x:v>
      </x:c>
      <x:c r="N802" s="14"/>
      <x:c r="O802" s="14">
        <x:v>560</x:v>
      </x:c>
      <x:c r="P802" s="14" t="s">
        <x:v>120</x:v>
      </x:c>
      <x:c r="Q802" s="14" t="s">
        <x:v>38</x:v>
      </x:c>
      <x:c r="R802" s="14"/>
      <x:c r="S802" s="14" t="s">
        <x:v>108</x:v>
      </x:c>
      <x:c r="T802" s="14" t="str">
        <x:v>Region D</x:v>
      </x:c>
      <x:c r="U802" s="28">
        <x:v>45701</x:v>
      </x:c>
      <x:c r="V802" s="30">
        <x:v>7</x:v>
      </x:c>
      <x:c r="W802" s="14" t="s">
        <x:v>109</x:v>
      </x:c>
      <x:c r="X802" s="14" t="s">
        <x:v>106</x:v>
      </x:c>
      <x:c r="Y802" s="32" t="str">
        <x:v>TRN-0801|20250206</x:v>
      </x:c>
      <x:c r="Z802" s="32" t="str" cm="1">
        <x:f t="array" ref="Z80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802" s="33" t="n">
        <x:f>--OR(WorkforceData[[#This Row],[Status]]="Active",WorkforceData[[#This Row],[Promoted]]="Yes",WorkforceData[[#This Row],[Total Days Worked]]&gt;=121)</x:f>
        <x:v>1</x:v>
      </x:c>
      <x:c r="AB802" s="33" t="n">
        <x:f>IF(AND(Q802="Terminated",R802="",O802=0),1,0)</x:f>
        <x:v>0</x:v>
      </x:c>
      <x:c r="AC802" s="33" t="n">
        <x:f>--OR(WorkforceData[[#This Row],[Status]]="Resigned",WorkforceData[[#This Row],[Status After Training]]="Withdrew")</x:f>
        <x:v>0</x:v>
      </x:c>
      <x:c r="AD802" s="34" t="n">
        <x:f>EOMONTH(WorkforceData[[#This Row],[Training Date]],0)</x:f>
        <x:v>45716</x:v>
      </x:c>
      <x:c r="AE802" s="32" t="str">
        <x:f>IF(M802&lt;H802,"Existing Employee",IF(U802="","No Assignment",IF(V802=0,"0 Days",IF(V802&lt;=7,"1-7 Days",IF(V802&lt;=14,"8-14 Days",IF(V802&lt;=21,"15-21 Days","21+ Days"))))))</x:f>
        <x:v>Existing Employee</x:v>
      </x:c>
      <x:c r="AF80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02" s="33" t="n">
        <x:f>--(WorkforceData[[#This Row],[Total Days Worked]]&gt;=121)</x:f>
        <x:v>1</x:v>
      </x:c>
    </x:row>
    <x:row r="803">
      <x:c r="A803" s="236" t="str">
        <x:v>TRN-0802</x:v>
      </x:c>
      <x:c r="B803" s="243"/>
      <x:c r="C803" s="243"/>
      <x:c r="D803" s="243"/>
      <x:c r="E803" s="243"/>
      <x:c r="F803" s="14" t="str">
        <x:v>Recruiter D</x:v>
      </x:c>
      <x:c r="G803" s="14" t="str">
        <x:v>Training Center B</x:v>
      </x:c>
      <x:c r="H803" s="28">
        <x:v>45694</x:v>
      </x:c>
      <x:c r="I803" s="14">
        <x:v>2025</x:v>
      </x:c>
      <x:c r="J803" s="14" t="s">
        <x:v>136</x:v>
      </x:c>
      <x:c r="K803" s="14">
        <x:v>30</x:v>
      </x:c>
      <x:c r="L803" s="29" t="s">
        <x:v>101</x:v>
      </x:c>
      <x:c r="M803" s="28">
        <x:v>45691</x:v>
      </x:c>
      <x:c r="N803" s="28">
        <x:v>45742</x:v>
      </x:c>
      <x:c r="O803" s="14">
        <x:v>51</x:v>
      </x:c>
      <x:c r="P803" s="14" t="s">
        <x:v>110</x:v>
      </x:c>
      <x:c r="Q803" s="14" t="s">
        <x:v>103</x:v>
      </x:c>
      <x:c r="R803" s="14" t="s">
        <x:v>111</x:v>
      </x:c>
      <x:c r="S803" s="14" t="s">
        <x:v>105</x:v>
      </x:c>
      <x:c r="T803" s="14" t="str">
        <x:v>Region B</x:v>
      </x:c>
      <x:c r="U803" s="28">
        <x:v>45720</x:v>
      </x:c>
      <x:c r="V803" s="30">
        <x:v>26</x:v>
      </x:c>
      <x:c r="W803" s="14" t="s">
        <x:v>112</x:v>
      </x:c>
      <x:c r="X803" s="14" t="s">
        <x:v>106</x:v>
      </x:c>
      <x:c r="Y803" s="32" t="str">
        <x:v>TRN-0802|20250206</x:v>
      </x:c>
      <x:c r="Z803" s="32" t="str" cm="1">
        <x:f t="array" ref="Z80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803" s="33" t="n">
        <x:f>--OR(WorkforceData[[#This Row],[Status]]="Active",WorkforceData[[#This Row],[Promoted]]="Yes",WorkforceData[[#This Row],[Total Days Worked]]&gt;=121)</x:f>
        <x:v>0</x:v>
      </x:c>
      <x:c r="AB803" s="33" t="n">
        <x:f>IF(AND(Q803="Terminated",R803="",O803=0),1,0)</x:f>
        <x:v>0</x:v>
      </x:c>
      <x:c r="AC803" s="33" t="n">
        <x:f>--OR(WorkforceData[[#This Row],[Status]]="Resigned",WorkforceData[[#This Row],[Status After Training]]="Withdrew")</x:f>
        <x:v>1</x:v>
      </x:c>
      <x:c r="AD803" s="34" t="n">
        <x:f>EOMONTH(WorkforceData[[#This Row],[Training Date]],0)</x:f>
        <x:v>45716</x:v>
      </x:c>
      <x:c r="AE803" s="32" t="str">
        <x:f>IF(M803&lt;H803,"Existing Employee",IF(U803="","No Assignment",IF(V803=0,"0 Days",IF(V803&lt;=7,"1-7 Days",IF(V803&lt;=14,"8-14 Days",IF(V803&lt;=21,"15-21 Days","21+ Days"))))))</x:f>
        <x:v>Existing Employee</x:v>
      </x:c>
      <x:c r="AF80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803" s="33" t="n">
        <x:f>--(WorkforceData[[#This Row],[Total Days Worked]]&gt;=121)</x:f>
        <x:v>0</x:v>
      </x:c>
    </x:row>
    <x:row r="804">
      <x:c r="A804" s="236" t="str">
        <x:v>TRN-0803</x:v>
      </x:c>
      <x:c r="B804" s="243"/>
      <x:c r="C804" s="243"/>
      <x:c r="D804" s="243"/>
      <x:c r="E804" s="243"/>
      <x:c r="F804" s="14" t="str">
        <x:v>Recruiter E</x:v>
      </x:c>
      <x:c r="G804" s="14" t="str">
        <x:v>Training Center B</x:v>
      </x:c>
      <x:c r="H804" s="28">
        <x:v>45694</x:v>
      </x:c>
      <x:c r="I804" s="14">
        <x:v>2025</x:v>
      </x:c>
      <x:c r="J804" s="14" t="s">
        <x:v>136</x:v>
      </x:c>
      <x:c r="K804" s="14">
        <x:v>30</x:v>
      </x:c>
      <x:c r="L804" s="29" t="s">
        <x:v>101</x:v>
      </x:c>
      <x:c r="M804" s="28">
        <x:v>45692</x:v>
      </x:c>
      <x:c r="N804" s="28">
        <x:v>46251</x:v>
      </x:c>
      <x:c r="O804" s="14">
        <x:v>559</x:v>
      </x:c>
      <x:c r="P804" s="14" t="s">
        <x:v>120</x:v>
      </x:c>
      <x:c r="Q804" s="14" t="s">
        <x:v>33</x:v>
      </x:c>
      <x:c r="R804" s="14" t="s">
        <x:v>121</x:v>
      </x:c>
      <x:c r="S804" s="14" t="s">
        <x:v>108</x:v>
      </x:c>
      <x:c r="T804" s="14" t="str">
        <x:v>Region E</x:v>
      </x:c>
      <x:c r="U804" s="28">
        <x:v>45703</x:v>
      </x:c>
      <x:c r="V804" s="30">
        <x:v>9</x:v>
      </x:c>
      <x:c r="W804" s="14" t="s">
        <x:v>45</x:v>
      </x:c>
      <x:c r="X804" s="14" t="s">
        <x:v>106</x:v>
      </x:c>
      <x:c r="Y804" s="32" t="str">
        <x:v>TRN-0803|20250206</x:v>
      </x:c>
      <x:c r="Z804" s="32" t="str" cm="1">
        <x:f t="array" ref="Z80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804" s="33" t="n">
        <x:f>--OR(WorkforceData[[#This Row],[Status]]="Active",WorkforceData[[#This Row],[Promoted]]="Yes",WorkforceData[[#This Row],[Total Days Worked]]&gt;=121)</x:f>
        <x:v>1</x:v>
      </x:c>
      <x:c r="AB804" s="33" t="n">
        <x:f>IF(AND(Q804="Terminated",R804="",O804=0),1,0)</x:f>
        <x:v>0</x:v>
      </x:c>
      <x:c r="AC804" s="33" t="n">
        <x:f>--OR(WorkforceData[[#This Row],[Status]]="Resigned",WorkforceData[[#This Row],[Status After Training]]="Withdrew")</x:f>
        <x:v>0</x:v>
      </x:c>
      <x:c r="AD804" s="34" t="n">
        <x:f>EOMONTH(WorkforceData[[#This Row],[Training Date]],0)</x:f>
        <x:v>45716</x:v>
      </x:c>
      <x:c r="AE804" s="32" t="str">
        <x:f>IF(M804&lt;H804,"Existing Employee",IF(U804="","No Assignment",IF(V804=0,"0 Days",IF(V804&lt;=7,"1-7 Days",IF(V804&lt;=14,"8-14 Days",IF(V804&lt;=21,"15-21 Days","21+ Days"))))))</x:f>
        <x:v>Existing Employee</x:v>
      </x:c>
      <x:c r="AF80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04" s="33" t="n">
        <x:f>--(WorkforceData[[#This Row],[Total Days Worked]]&gt;=121)</x:f>
        <x:v>1</x:v>
      </x:c>
    </x:row>
    <x:row r="805">
      <x:c r="A805" s="236" t="str">
        <x:v>TRN-0804</x:v>
      </x:c>
      <x:c r="B805" s="243"/>
      <x:c r="C805" s="243"/>
      <x:c r="D805" s="243"/>
      <x:c r="E805" s="243"/>
      <x:c r="F805" s="14" t="str">
        <x:v>Recruiter C</x:v>
      </x:c>
      <x:c r="G805" s="14" t="str">
        <x:v>Training Center B</x:v>
      </x:c>
      <x:c r="H805" s="28">
        <x:v>45694</x:v>
      </x:c>
      <x:c r="I805" s="14">
        <x:v>2025</x:v>
      </x:c>
      <x:c r="J805" s="14" t="s">
        <x:v>136</x:v>
      </x:c>
      <x:c r="K805" s="14">
        <x:v>30</x:v>
      </x:c>
      <x:c r="L805" s="29" t="s">
        <x:v>101</x:v>
      </x:c>
      <x:c r="M805" s="28">
        <x:v>45694</x:v>
      </x:c>
      <x:c r="N805" s="28">
        <x:v>46251</x:v>
      </x:c>
      <x:c r="O805" s="14">
        <x:v>557</x:v>
      </x:c>
      <x:c r="P805" s="14" t="s">
        <x:v>120</x:v>
      </x:c>
      <x:c r="Q805" s="14" t="s">
        <x:v>103</x:v>
      </x:c>
      <x:c r="R805" s="14" t="s">
        <x:v>104</x:v>
      </x:c>
      <x:c r="S805" s="14" t="s">
        <x:v>108</x:v>
      </x:c>
      <x:c r="T805" s="14" t="str">
        <x:v>Region C</x:v>
      </x:c>
      <x:c r="U805" s="28">
        <x:v>45700</x:v>
      </x:c>
      <x:c r="V805" s="30">
        <x:v>6</x:v>
      </x:c>
      <x:c r="W805" s="14" t="s">
        <x:v>109</x:v>
      </x:c>
      <x:c r="X805" s="14" t="s">
        <x:v>106</x:v>
      </x:c>
      <x:c r="Y805" s="32" t="str">
        <x:v>TRN-0804|20250206</x:v>
      </x:c>
      <x:c r="Z805" s="32" t="str" cm="1">
        <x:f t="array" ref="Z80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805" s="33" t="n">
        <x:f>--OR(WorkforceData[[#This Row],[Status]]="Active",WorkforceData[[#This Row],[Promoted]]="Yes",WorkforceData[[#This Row],[Total Days Worked]]&gt;=121)</x:f>
        <x:v>1</x:v>
      </x:c>
      <x:c r="AB805" s="33" t="n">
        <x:f>IF(AND(Q805="Terminated",R805="",O805=0),1,0)</x:f>
        <x:v>0</x:v>
      </x:c>
      <x:c r="AC805" s="33" t="n">
        <x:f>--OR(WorkforceData[[#This Row],[Status]]="Resigned",WorkforceData[[#This Row],[Status After Training]]="Withdrew")</x:f>
        <x:v>1</x:v>
      </x:c>
      <x:c r="AD805" s="34" t="n">
        <x:f>EOMONTH(WorkforceData[[#This Row],[Training Date]],0)</x:f>
        <x:v>45716</x:v>
      </x:c>
      <x:c r="AE805" s="32" t="str">
        <x:f>IF(M805&lt;H805,"Existing Employee",IF(U805="","No Assignment",IF(V805=0,"0 Days",IF(V805&lt;=7,"1-7 Days",IF(V805&lt;=14,"8-14 Days",IF(V805&lt;=21,"15-21 Days","21+ Days"))))))</x:f>
        <x:v>1-7 Days</x:v>
      </x:c>
      <x:c r="AF80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05" s="33" t="n">
        <x:f>--(WorkforceData[[#This Row],[Total Days Worked]]&gt;=121)</x:f>
        <x:v>1</x:v>
      </x:c>
    </x:row>
    <x:row r="806">
      <x:c r="A806" s="236" t="str">
        <x:v>TRN-0805</x:v>
      </x:c>
      <x:c r="B806" s="243"/>
      <x:c r="C806" s="243"/>
      <x:c r="D806" s="243"/>
      <x:c r="E806" s="243"/>
      <x:c r="F806" s="14" t="str">
        <x:v>Recruiter F</x:v>
      </x:c>
      <x:c r="G806" s="14" t="str">
        <x:v>Training Center B</x:v>
      </x:c>
      <x:c r="H806" s="28">
        <x:v>45694</x:v>
      </x:c>
      <x:c r="I806" s="14">
        <x:v>2025</x:v>
      </x:c>
      <x:c r="J806" s="14" t="s">
        <x:v>136</x:v>
      </x:c>
      <x:c r="K806" s="14">
        <x:v>30</x:v>
      </x:c>
      <x:c r="L806" s="29" t="s">
        <x:v>101</x:v>
      </x:c>
      <x:c r="M806" s="28">
        <x:v>45689</x:v>
      </x:c>
      <x:c r="N806" s="14"/>
      <x:c r="O806" s="14">
        <x:v>562</x:v>
      </x:c>
      <x:c r="P806" s="14" t="s">
        <x:v>120</x:v>
      </x:c>
      <x:c r="Q806" s="14" t="s">
        <x:v>25</x:v>
      </x:c>
      <x:c r="R806" s="14"/>
      <x:c r="S806" s="14" t="s">
        <x:v>108</x:v>
      </x:c>
      <x:c r="T806" s="14" t="str">
        <x:v>Region E</x:v>
      </x:c>
      <x:c r="U806" s="28">
        <x:v>45697</x:v>
      </x:c>
      <x:c r="V806" s="30">
        <x:v>3</x:v>
      </x:c>
      <x:c r="W806" s="14" t="s">
        <x:v>109</x:v>
      </x:c>
      <x:c r="X806" s="14" t="s">
        <x:v>106</x:v>
      </x:c>
      <x:c r="Y806" s="32" t="str">
        <x:v>TRN-0805|20250206</x:v>
      </x:c>
      <x:c r="Z806" s="32" t="str" cm="1">
        <x:f t="array" ref="Z80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806" s="33" t="n">
        <x:f>--OR(WorkforceData[[#This Row],[Status]]="Active",WorkforceData[[#This Row],[Promoted]]="Yes",WorkforceData[[#This Row],[Total Days Worked]]&gt;=121)</x:f>
        <x:v>1</x:v>
      </x:c>
      <x:c r="AB806" s="33" t="n">
        <x:f>IF(AND(Q806="Terminated",R806="",O806=0),1,0)</x:f>
        <x:v>0</x:v>
      </x:c>
      <x:c r="AC806" s="33" t="n">
        <x:f>--OR(WorkforceData[[#This Row],[Status]]="Resigned",WorkforceData[[#This Row],[Status After Training]]="Withdrew")</x:f>
        <x:v>0</x:v>
      </x:c>
      <x:c r="AD806" s="34" t="n">
        <x:f>EOMONTH(WorkforceData[[#This Row],[Training Date]],0)</x:f>
        <x:v>45716</x:v>
      </x:c>
      <x:c r="AE806" s="32" t="str">
        <x:f>IF(M806&lt;H806,"Existing Employee",IF(U806="","No Assignment",IF(V806=0,"0 Days",IF(V806&lt;=7,"1-7 Days",IF(V806&lt;=14,"8-14 Days",IF(V806&lt;=21,"15-21 Days","21+ Days"))))))</x:f>
        <x:v>Existing Employee</x:v>
      </x:c>
      <x:c r="AF80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06" s="33" t="n">
        <x:f>--(WorkforceData[[#This Row],[Total Days Worked]]&gt;=121)</x:f>
        <x:v>1</x:v>
      </x:c>
    </x:row>
    <x:row r="807">
      <x:c r="A807" s="236" t="str">
        <x:v>TRN-0806</x:v>
      </x:c>
      <x:c r="B807" s="243"/>
      <x:c r="C807" s="243"/>
      <x:c r="D807" s="243"/>
      <x:c r="E807" s="243"/>
      <x:c r="F807" s="14" t="str">
        <x:v>Recruiter A</x:v>
      </x:c>
      <x:c r="G807" s="14" t="str">
        <x:v>Training Center B</x:v>
      </x:c>
      <x:c r="H807" s="28">
        <x:v>45694</x:v>
      </x:c>
      <x:c r="I807" s="14">
        <x:v>2025</x:v>
      </x:c>
      <x:c r="J807" s="14" t="s">
        <x:v>136</x:v>
      </x:c>
      <x:c r="K807" s="14">
        <x:v>30</x:v>
      </x:c>
      <x:c r="L807" s="29" t="s">
        <x:v>101</x:v>
      </x:c>
      <x:c r="M807" s="28">
        <x:v>45694</x:v>
      </x:c>
      <x:c r="N807" s="14"/>
      <x:c r="O807" s="14">
        <x:v>557</x:v>
      </x:c>
      <x:c r="P807" s="14" t="s">
        <x:v>120</x:v>
      </x:c>
      <x:c r="Q807" s="14" t="s">
        <x:v>25</x:v>
      </x:c>
      <x:c r="R807" s="14"/>
      <x:c r="S807" s="14" t="s">
        <x:v>108</x:v>
      </x:c>
      <x:c r="T807" s="14" t="str">
        <x:v>Region A</x:v>
      </x:c>
      <x:c r="U807" s="28">
        <x:v>45696</x:v>
      </x:c>
      <x:c r="V807" s="30">
        <x:v>2</x:v>
      </x:c>
      <x:c r="W807" s="14" t="s">
        <x:v>109</x:v>
      </x:c>
      <x:c r="X807" s="14" t="s">
        <x:v>106</x:v>
      </x:c>
      <x:c r="Y807" s="32" t="str">
        <x:v>TRN-0806|20250206</x:v>
      </x:c>
      <x:c r="Z807" s="32" t="str" cm="1">
        <x:f t="array" ref="Z80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807" s="33" t="n">
        <x:f>--OR(WorkforceData[[#This Row],[Status]]="Active",WorkforceData[[#This Row],[Promoted]]="Yes",WorkforceData[[#This Row],[Total Days Worked]]&gt;=121)</x:f>
        <x:v>1</x:v>
      </x:c>
      <x:c r="AB807" s="33" t="n">
        <x:f>IF(AND(Q807="Terminated",R807="",O807=0),1,0)</x:f>
        <x:v>0</x:v>
      </x:c>
      <x:c r="AC807" s="33" t="n">
        <x:f>--OR(WorkforceData[[#This Row],[Status]]="Resigned",WorkforceData[[#This Row],[Status After Training]]="Withdrew")</x:f>
        <x:v>0</x:v>
      </x:c>
      <x:c r="AD807" s="34" t="n">
        <x:f>EOMONTH(WorkforceData[[#This Row],[Training Date]],0)</x:f>
        <x:v>45716</x:v>
      </x:c>
      <x:c r="AE807" s="32" t="str">
        <x:f>IF(M807&lt;H807,"Existing Employee",IF(U807="","No Assignment",IF(V807=0,"0 Days",IF(V807&lt;=7,"1-7 Days",IF(V807&lt;=14,"8-14 Days",IF(V807&lt;=21,"15-21 Days","21+ Days"))))))</x:f>
        <x:v>1-7 Days</x:v>
      </x:c>
      <x:c r="AF80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07" s="33" t="n">
        <x:f>--(WorkforceData[[#This Row],[Total Days Worked]]&gt;=121)</x:f>
        <x:v>1</x:v>
      </x:c>
    </x:row>
    <x:row r="808">
      <x:c r="A808" s="236" t="str">
        <x:v>TRN-0807</x:v>
      </x:c>
      <x:c r="B808" s="243"/>
      <x:c r="C808" s="243"/>
      <x:c r="D808" s="243"/>
      <x:c r="E808" s="243"/>
      <x:c r="F808" s="14" t="str">
        <x:v>Recruiter H</x:v>
      </x:c>
      <x:c r="G808" s="14" t="str">
        <x:v>Training Center B</x:v>
      </x:c>
      <x:c r="H808" s="28">
        <x:v>45694</x:v>
      </x:c>
      <x:c r="I808" s="14">
        <x:v>2025</x:v>
      </x:c>
      <x:c r="J808" s="14" t="s">
        <x:v>136</x:v>
      </x:c>
      <x:c r="K808" s="14">
        <x:v>30</x:v>
      </x:c>
      <x:c r="L808" s="29" t="s">
        <x:v>101</x:v>
      </x:c>
      <x:c r="M808" s="28">
        <x:v>45694</x:v>
      </x:c>
      <x:c r="N808" s="28">
        <x:v>45769</x:v>
      </x:c>
      <x:c r="O808" s="14">
        <x:v>75</x:v>
      </x:c>
      <x:c r="P808" s="14" t="s">
        <x:v>110</x:v>
      </x:c>
      <x:c r="Q808" s="14" t="s">
        <x:v>33</x:v>
      </x:c>
      <x:c r="R808" s="14" t="s">
        <x:v>116</x:v>
      </x:c>
      <x:c r="S808" s="14" t="s">
        <x:v>105</x:v>
      </x:c>
      <x:c r="T808" s="14" t="str">
        <x:v>Region E</x:v>
      </x:c>
      <x:c r="U808" s="28">
        <x:v>45715</x:v>
      </x:c>
      <x:c r="V808" s="30">
        <x:v>21</x:v>
      </x:c>
      <x:c r="W808" s="14" t="s">
        <x:v>112</x:v>
      </x:c>
      <x:c r="X808" s="14" t="s">
        <x:v>106</x:v>
      </x:c>
      <x:c r="Y808" s="32" t="str">
        <x:v>TRN-0807|20250206</x:v>
      </x:c>
      <x:c r="Z808" s="32" t="str" cm="1">
        <x:f t="array" ref="Z80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808" s="33" t="n">
        <x:f>--OR(WorkforceData[[#This Row],[Status]]="Active",WorkforceData[[#This Row],[Promoted]]="Yes",WorkforceData[[#This Row],[Total Days Worked]]&gt;=121)</x:f>
        <x:v>0</x:v>
      </x:c>
      <x:c r="AB808" s="33" t="n">
        <x:f>IF(AND(Q808="Terminated",R808="",O808=0),1,0)</x:f>
        <x:v>0</x:v>
      </x:c>
      <x:c r="AC808" s="33" t="n">
        <x:f>--OR(WorkforceData[[#This Row],[Status]]="Resigned",WorkforceData[[#This Row],[Status After Training]]="Withdrew")</x:f>
        <x:v>0</x:v>
      </x:c>
      <x:c r="AD808" s="34" t="n">
        <x:f>EOMONTH(WorkforceData[[#This Row],[Training Date]],0)</x:f>
        <x:v>45716</x:v>
      </x:c>
      <x:c r="AE808" s="32" t="str">
        <x:f>IF(M808&lt;H808,"Existing Employee",IF(U808="","No Assignment",IF(V808=0,"0 Days",IF(V808&lt;=7,"1-7 Days",IF(V808&lt;=14,"8-14 Days",IF(V808&lt;=21,"15-21 Days","21+ Days"))))))</x:f>
        <x:v>15-21 Days</x:v>
      </x:c>
      <x:c r="AF80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61-90 Days</x:v>
      </x:c>
      <x:c r="AG808" s="33" t="n">
        <x:f>--(WorkforceData[[#This Row],[Total Days Worked]]&gt;=121)</x:f>
        <x:v>0</x:v>
      </x:c>
    </x:row>
    <x:row r="809">
      <x:c r="A809" s="236" t="str">
        <x:v>TRN-0808</x:v>
      </x:c>
      <x:c r="B809" s="243"/>
      <x:c r="C809" s="243"/>
      <x:c r="D809" s="243"/>
      <x:c r="E809" s="243"/>
      <x:c r="F809" s="14" t="str">
        <x:v>Recruiter A</x:v>
      </x:c>
      <x:c r="G809" s="14" t="str">
        <x:v>Training Center B</x:v>
      </x:c>
      <x:c r="H809" s="28">
        <x:v>45694</x:v>
      </x:c>
      <x:c r="I809" s="14">
        <x:v>2025</x:v>
      </x:c>
      <x:c r="J809" s="14" t="s">
        <x:v>136</x:v>
      </x:c>
      <x:c r="K809" s="14">
        <x:v>30</x:v>
      </x:c>
      <x:c r="L809" s="29" t="s">
        <x:v>101</x:v>
      </x:c>
      <x:c r="M809" s="28">
        <x:v>45691</x:v>
      </x:c>
      <x:c r="N809" s="14"/>
      <x:c r="O809" s="14">
        <x:v>560</x:v>
      </x:c>
      <x:c r="P809" s="14" t="s">
        <x:v>120</x:v>
      </x:c>
      <x:c r="Q809" s="14" t="s">
        <x:v>25</x:v>
      </x:c>
      <x:c r="R809" s="14"/>
      <x:c r="S809" s="14" t="s">
        <x:v>108</x:v>
      </x:c>
      <x:c r="T809" s="14" t="str">
        <x:v>Region E</x:v>
      </x:c>
      <x:c r="U809" s="28">
        <x:v>45694</x:v>
      </x:c>
      <x:c r="V809" s="30">
        <x:v>0</x:v>
      </x:c>
      <x:c r="W809" s="14" t="s">
        <x:v>109</x:v>
      </x:c>
      <x:c r="X809" s="14" t="s">
        <x:v>106</x:v>
      </x:c>
      <x:c r="Y809" s="32" t="str">
        <x:v>TRN-0808|20250206</x:v>
      </x:c>
      <x:c r="Z809" s="32" t="str" cm="1">
        <x:f t="array" ref="Z80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809" s="33" t="n">
        <x:f>--OR(WorkforceData[[#This Row],[Status]]="Active",WorkforceData[[#This Row],[Promoted]]="Yes",WorkforceData[[#This Row],[Total Days Worked]]&gt;=121)</x:f>
        <x:v>1</x:v>
      </x:c>
      <x:c r="AB809" s="33" t="n">
        <x:f>IF(AND(Q809="Terminated",R809="",O809=0),1,0)</x:f>
        <x:v>0</x:v>
      </x:c>
      <x:c r="AC809" s="33" t="n">
        <x:f>--OR(WorkforceData[[#This Row],[Status]]="Resigned",WorkforceData[[#This Row],[Status After Training]]="Withdrew")</x:f>
        <x:v>0</x:v>
      </x:c>
      <x:c r="AD809" s="34" t="n">
        <x:f>EOMONTH(WorkforceData[[#This Row],[Training Date]],0)</x:f>
        <x:v>45716</x:v>
      </x:c>
      <x:c r="AE809" s="32" t="str">
        <x:f>IF(M809&lt;H809,"Existing Employee",IF(U809="","No Assignment",IF(V809=0,"0 Days",IF(V809&lt;=7,"1-7 Days",IF(V809&lt;=14,"8-14 Days",IF(V809&lt;=21,"15-21 Days","21+ Days"))))))</x:f>
        <x:v>Existing Employee</x:v>
      </x:c>
      <x:c r="AF80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09" s="33" t="n">
        <x:f>--(WorkforceData[[#This Row],[Total Days Worked]]&gt;=121)</x:f>
        <x:v>1</x:v>
      </x:c>
    </x:row>
    <x:row r="810">
      <x:c r="A810" s="236" t="str">
        <x:v>TRN-0809</x:v>
      </x:c>
      <x:c r="B810" s="243"/>
      <x:c r="C810" s="243"/>
      <x:c r="D810" s="243"/>
      <x:c r="E810" s="243"/>
      <x:c r="F810" s="14" t="str">
        <x:v>Recruiter G</x:v>
      </x:c>
      <x:c r="G810" s="14" t="str">
        <x:v>Training Center B</x:v>
      </x:c>
      <x:c r="H810" s="28">
        <x:v>45694</x:v>
      </x:c>
      <x:c r="I810" s="14">
        <x:v>2025</x:v>
      </x:c>
      <x:c r="J810" s="14" t="s">
        <x:v>136</x:v>
      </x:c>
      <x:c r="K810" s="14">
        <x:v>30</x:v>
      </x:c>
      <x:c r="L810" s="29" t="s">
        <x:v>101</x:v>
      </x:c>
      <x:c r="M810" s="28">
        <x:v>45689</x:v>
      </x:c>
      <x:c r="N810" s="28">
        <x:v>45779</x:v>
      </x:c>
      <x:c r="O810" s="14">
        <x:v>90</x:v>
      </x:c>
      <x:c r="P810" s="14" t="s">
        <x:v>110</x:v>
      </x:c>
      <x:c r="Q810" s="14" t="s">
        <x:v>103</x:v>
      </x:c>
      <x:c r="R810" s="14" t="s">
        <x:v>104</x:v>
      </x:c>
      <x:c r="S810" s="14" t="s">
        <x:v>105</x:v>
      </x:c>
      <x:c r="T810" s="14" t="str">
        <x:v>Region A</x:v>
      </x:c>
      <x:c r="U810" s="28">
        <x:v>45719</x:v>
      </x:c>
      <x:c r="V810" s="30">
        <x:v>25</x:v>
      </x:c>
      <x:c r="W810" s="14" t="s">
        <x:v>112</x:v>
      </x:c>
      <x:c r="X810" s="14" t="s">
        <x:v>106</x:v>
      </x:c>
      <x:c r="Y810" s="32" t="str">
        <x:v>TRN-0809|20250206</x:v>
      </x:c>
      <x:c r="Z810" s="32" t="str" cm="1">
        <x:f t="array" ref="Z81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810" s="33" t="n">
        <x:f>--OR(WorkforceData[[#This Row],[Status]]="Active",WorkforceData[[#This Row],[Promoted]]="Yes",WorkforceData[[#This Row],[Total Days Worked]]&gt;=121)</x:f>
        <x:v>0</x:v>
      </x:c>
      <x:c r="AB810" s="33" t="n">
        <x:f>IF(AND(Q810="Terminated",R810="",O810=0),1,0)</x:f>
        <x:v>0</x:v>
      </x:c>
      <x:c r="AC810" s="33" t="n">
        <x:f>--OR(WorkforceData[[#This Row],[Status]]="Resigned",WorkforceData[[#This Row],[Status After Training]]="Withdrew")</x:f>
        <x:v>1</x:v>
      </x:c>
      <x:c r="AD810" s="34" t="n">
        <x:f>EOMONTH(WorkforceData[[#This Row],[Training Date]],0)</x:f>
        <x:v>45716</x:v>
      </x:c>
      <x:c r="AE810" s="32" t="str">
        <x:f>IF(M810&lt;H810,"Existing Employee",IF(U810="","No Assignment",IF(V810=0,"0 Days",IF(V810&lt;=7,"1-7 Days",IF(V810&lt;=14,"8-14 Days",IF(V810&lt;=21,"15-21 Days","21+ Days"))))))</x:f>
        <x:v>Existing Employee</x:v>
      </x:c>
      <x:c r="AF81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61-90 Days</x:v>
      </x:c>
      <x:c r="AG810" s="33" t="n">
        <x:f>--(WorkforceData[[#This Row],[Total Days Worked]]&gt;=121)</x:f>
        <x:v>0</x:v>
      </x:c>
    </x:row>
    <x:row r="811">
      <x:c r="A811" s="236" t="str">
        <x:v>TRN-0810</x:v>
      </x:c>
      <x:c r="B811" s="243"/>
      <x:c r="C811" s="243"/>
      <x:c r="D811" s="243"/>
      <x:c r="E811" s="243"/>
      <x:c r="F811" s="14" t="str">
        <x:v>Recruiter E</x:v>
      </x:c>
      <x:c r="G811" s="14" t="str">
        <x:v>Training Center B</x:v>
      </x:c>
      <x:c r="H811" s="28">
        <x:v>45694</x:v>
      </x:c>
      <x:c r="I811" s="14">
        <x:v>2025</x:v>
      </x:c>
      <x:c r="J811" s="14" t="s">
        <x:v>136</x:v>
      </x:c>
      <x:c r="K811" s="14">
        <x:v>30</x:v>
      </x:c>
      <x:c r="L811" s="29" t="s">
        <x:v>101</x:v>
      </x:c>
      <x:c r="M811" s="28">
        <x:v>45689</x:v>
      </x:c>
      <x:c r="N811" s="28">
        <x:v>45699</x:v>
      </x:c>
      <x:c r="O811" s="14">
        <x:v>10</x:v>
      </x:c>
      <x:c r="P811" s="14" t="s">
        <x:v>102</x:v>
      </x:c>
      <x:c r="Q811" s="14" t="s">
        <x:v>103</x:v>
      </x:c>
      <x:c r="R811" s="14" t="s">
        <x:v>111</x:v>
      </x:c>
      <x:c r="S811" s="14" t="s">
        <x:v>105</x:v>
      </x:c>
      <x:c r="T811" s="14" t="str">
        <x:v>Region D</x:v>
      </x:c>
      <x:c r="U811" s="28">
        <x:v>45695</x:v>
      </x:c>
      <x:c r="V811" s="30">
        <x:v>1</x:v>
      </x:c>
      <x:c r="W811" s="14" t="s">
        <x:v>109</x:v>
      </x:c>
      <x:c r="X811" s="14" t="s">
        <x:v>125</x:v>
      </x:c>
      <x:c r="Y811" s="32" t="str">
        <x:v>TRN-0810|20250206</x:v>
      </x:c>
      <x:c r="Z811" s="32" t="str" cm="1">
        <x:f t="array" ref="Z81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811" s="33" t="n">
        <x:f>--OR(WorkforceData[[#This Row],[Status]]="Active",WorkforceData[[#This Row],[Promoted]]="Yes",WorkforceData[[#This Row],[Total Days Worked]]&gt;=121)</x:f>
        <x:v>0</x:v>
      </x:c>
      <x:c r="AB811" s="33" t="n">
        <x:f>IF(AND(Q811="Terminated",R811="",O811=0),1,0)</x:f>
        <x:v>0</x:v>
      </x:c>
      <x:c r="AC811" s="33" t="n">
        <x:f>--OR(WorkforceData[[#This Row],[Status]]="Resigned",WorkforceData[[#This Row],[Status After Training]]="Withdrew")</x:f>
        <x:v>1</x:v>
      </x:c>
      <x:c r="AD811" s="34" t="n">
        <x:f>EOMONTH(WorkforceData[[#This Row],[Training Date]],0)</x:f>
        <x:v>45716</x:v>
      </x:c>
      <x:c r="AE811" s="32" t="str">
        <x:f>IF(M811&lt;H811,"Existing Employee",IF(U811="","No Assignment",IF(V811=0,"0 Days",IF(V811&lt;=7,"1-7 Days",IF(V811&lt;=14,"8-14 Days",IF(V811&lt;=21,"15-21 Days","21+ Days"))))))</x:f>
        <x:v>Existing Employee</x:v>
      </x:c>
      <x:c r="AF81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811" s="33" t="n">
        <x:f>--(WorkforceData[[#This Row],[Total Days Worked]]&gt;=121)</x:f>
        <x:v>0</x:v>
      </x:c>
    </x:row>
    <x:row r="812">
      <x:c r="A812" s="236" t="str">
        <x:v>TRN-0811</x:v>
      </x:c>
      <x:c r="B812" s="243"/>
      <x:c r="C812" s="243"/>
      <x:c r="D812" s="243"/>
      <x:c r="E812" s="243"/>
      <x:c r="F812" s="14" t="str">
        <x:v>Recruiter H</x:v>
      </x:c>
      <x:c r="G812" s="14" t="str">
        <x:v>Training Center B</x:v>
      </x:c>
      <x:c r="H812" s="28">
        <x:v>45694</x:v>
      </x:c>
      <x:c r="I812" s="14">
        <x:v>2025</x:v>
      </x:c>
      <x:c r="J812" s="14" t="s">
        <x:v>136</x:v>
      </x:c>
      <x:c r="K812" s="14">
        <x:v>30</x:v>
      </x:c>
      <x:c r="L812" s="29" t="s">
        <x:v>101</x:v>
      </x:c>
      <x:c r="M812" s="28">
        <x:v>45684</x:v>
      </x:c>
      <x:c r="N812" s="14"/>
      <x:c r="O812" s="14">
        <x:v>567</x:v>
      </x:c>
      <x:c r="P812" s="14" t="s">
        <x:v>120</x:v>
      </x:c>
      <x:c r="Q812" s="14" t="s">
        <x:v>25</x:v>
      </x:c>
      <x:c r="R812" s="14"/>
      <x:c r="S812" s="14" t="s">
        <x:v>108</x:v>
      </x:c>
      <x:c r="T812" s="14" t="str">
        <x:v>Region B</x:v>
      </x:c>
      <x:c r="U812" s="28">
        <x:v>45752</x:v>
      </x:c>
      <x:c r="V812" s="30">
        <x:v>58</x:v>
      </x:c>
      <x:c r="W812" s="14" t="s">
        <x:v>63</x:v>
      </x:c>
      <x:c r="X812" s="14" t="s">
        <x:v>117</x:v>
      </x:c>
      <x:c r="Y812" s="32" t="str">
        <x:v>TRN-0811|20250206</x:v>
      </x:c>
      <x:c r="Z812" s="32" t="str" cm="1">
        <x:f t="array" ref="Z81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812" s="33" t="n">
        <x:f>--OR(WorkforceData[[#This Row],[Status]]="Active",WorkforceData[[#This Row],[Promoted]]="Yes",WorkforceData[[#This Row],[Total Days Worked]]&gt;=121)</x:f>
        <x:v>1</x:v>
      </x:c>
      <x:c r="AB812" s="33" t="n">
        <x:f>IF(AND(Q812="Terminated",R812="",O812=0),1,0)</x:f>
        <x:v>0</x:v>
      </x:c>
      <x:c r="AC812" s="33" t="n">
        <x:f>--OR(WorkforceData[[#This Row],[Status]]="Resigned",WorkforceData[[#This Row],[Status After Training]]="Withdrew")</x:f>
        <x:v>0</x:v>
      </x:c>
      <x:c r="AD812" s="34" t="n">
        <x:f>EOMONTH(WorkforceData[[#This Row],[Training Date]],0)</x:f>
        <x:v>45716</x:v>
      </x:c>
      <x:c r="AE812" s="32" t="str">
        <x:f>IF(M812&lt;H812,"Existing Employee",IF(U812="","No Assignment",IF(V812=0,"0 Days",IF(V812&lt;=7,"1-7 Days",IF(V812&lt;=14,"8-14 Days",IF(V812&lt;=21,"15-21 Days","21+ Days"))))))</x:f>
        <x:v>Existing Employee</x:v>
      </x:c>
      <x:c r="AF81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12" s="33" t="n">
        <x:f>--(WorkforceData[[#This Row],[Total Days Worked]]&gt;=121)</x:f>
        <x:v>1</x:v>
      </x:c>
    </x:row>
    <x:row r="813">
      <x:c r="A813" s="236" t="str">
        <x:v>TRN-0812</x:v>
      </x:c>
      <x:c r="B813" s="243"/>
      <x:c r="C813" s="243"/>
      <x:c r="D813" s="243"/>
      <x:c r="E813" s="243"/>
      <x:c r="F813" s="14" t="str">
        <x:v>Recruiter D</x:v>
      </x:c>
      <x:c r="G813" s="14" t="str">
        <x:v>Training Center B</x:v>
      </x:c>
      <x:c r="H813" s="28">
        <x:v>45694</x:v>
      </x:c>
      <x:c r="I813" s="14">
        <x:v>2025</x:v>
      </x:c>
      <x:c r="J813" s="14" t="s">
        <x:v>136</x:v>
      </x:c>
      <x:c r="K813" s="14">
        <x:v>30</x:v>
      </x:c>
      <x:c r="L813" s="29" t="s">
        <x:v>101</x:v>
      </x:c>
      <x:c r="M813" s="28">
        <x:v>45687</x:v>
      </x:c>
      <x:c r="N813" s="14"/>
      <x:c r="O813" s="14">
        <x:v>564</x:v>
      </x:c>
      <x:c r="P813" s="14" t="s">
        <x:v>120</x:v>
      </x:c>
      <x:c r="Q813" s="14" t="s">
        <x:v>25</x:v>
      </x:c>
      <x:c r="R813" s="14"/>
      <x:c r="S813" s="14" t="s">
        <x:v>108</x:v>
      </x:c>
      <x:c r="T813" s="14" t="str">
        <x:v>Region B</x:v>
      </x:c>
      <x:c r="U813" s="28">
        <x:v>45699</x:v>
      </x:c>
      <x:c r="V813" s="30">
        <x:v>5</x:v>
      </x:c>
      <x:c r="W813" s="14" t="s">
        <x:v>109</x:v>
      </x:c>
      <x:c r="X813" s="14" t="s">
        <x:v>106</x:v>
      </x:c>
      <x:c r="Y813" s="32" t="str">
        <x:v>TRN-0812|20250206</x:v>
      </x:c>
      <x:c r="Z813" s="32" t="str" cm="1">
        <x:f t="array" ref="Z81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813" s="33" t="n">
        <x:f>--OR(WorkforceData[[#This Row],[Status]]="Active",WorkforceData[[#This Row],[Promoted]]="Yes",WorkforceData[[#This Row],[Total Days Worked]]&gt;=121)</x:f>
        <x:v>1</x:v>
      </x:c>
      <x:c r="AB813" s="33" t="n">
        <x:f>IF(AND(Q813="Terminated",R813="",O813=0),1,0)</x:f>
        <x:v>0</x:v>
      </x:c>
      <x:c r="AC813" s="33" t="n">
        <x:f>--OR(WorkforceData[[#This Row],[Status]]="Resigned",WorkforceData[[#This Row],[Status After Training]]="Withdrew")</x:f>
        <x:v>0</x:v>
      </x:c>
      <x:c r="AD813" s="34" t="n">
        <x:f>EOMONTH(WorkforceData[[#This Row],[Training Date]],0)</x:f>
        <x:v>45716</x:v>
      </x:c>
      <x:c r="AE813" s="32" t="str">
        <x:f>IF(M813&lt;H813,"Existing Employee",IF(U813="","No Assignment",IF(V813=0,"0 Days",IF(V813&lt;=7,"1-7 Days",IF(V813&lt;=14,"8-14 Days",IF(V813&lt;=21,"15-21 Days","21+ Days"))))))</x:f>
        <x:v>Existing Employee</x:v>
      </x:c>
      <x:c r="AF81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13" s="33" t="n">
        <x:f>--(WorkforceData[[#This Row],[Total Days Worked]]&gt;=121)</x:f>
        <x:v>1</x:v>
      </x:c>
    </x:row>
    <x:row r="814">
      <x:c r="A814" s="236" t="str">
        <x:v>TRN-0813</x:v>
      </x:c>
      <x:c r="B814" s="243"/>
      <x:c r="C814" s="243"/>
      <x:c r="D814" s="243"/>
      <x:c r="E814" s="243"/>
      <x:c r="F814" s="14" t="str">
        <x:v>Recruiter F</x:v>
      </x:c>
      <x:c r="G814" s="14" t="str">
        <x:v>Training Center B</x:v>
      </x:c>
      <x:c r="H814" s="28">
        <x:v>45694</x:v>
      </x:c>
      <x:c r="I814" s="14">
        <x:v>2025</x:v>
      </x:c>
      <x:c r="J814" s="14" t="s">
        <x:v>136</x:v>
      </x:c>
      <x:c r="K814" s="14">
        <x:v>30</x:v>
      </x:c>
      <x:c r="L814" s="29" t="s">
        <x:v>101</x:v>
      </x:c>
      <x:c r="M814" s="28">
        <x:v>45693</x:v>
      </x:c>
      <x:c r="N814" s="14"/>
      <x:c r="O814" s="14">
        <x:v>558</x:v>
      </x:c>
      <x:c r="P814" s="14" t="s">
        <x:v>120</x:v>
      </x:c>
      <x:c r="Q814" s="14" t="s">
        <x:v>25</x:v>
      </x:c>
      <x:c r="R814" s="14"/>
      <x:c r="S814" s="14" t="s">
        <x:v>108</x:v>
      </x:c>
      <x:c r="T814" s="14" t="str">
        <x:v>Region E</x:v>
      </x:c>
      <x:c r="U814" s="28">
        <x:v>45698</x:v>
      </x:c>
      <x:c r="V814" s="30">
        <x:v>4</x:v>
      </x:c>
      <x:c r="W814" s="14" t="s">
        <x:v>109</x:v>
      </x:c>
      <x:c r="X814" s="14" t="s">
        <x:v>106</x:v>
      </x:c>
      <x:c r="Y814" s="32" t="str">
        <x:v>TRN-0813|20250206</x:v>
      </x:c>
      <x:c r="Z814" s="32" t="str" cm="1">
        <x:f t="array" ref="Z81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814" s="33" t="n">
        <x:f>--OR(WorkforceData[[#This Row],[Status]]="Active",WorkforceData[[#This Row],[Promoted]]="Yes",WorkforceData[[#This Row],[Total Days Worked]]&gt;=121)</x:f>
        <x:v>1</x:v>
      </x:c>
      <x:c r="AB814" s="33" t="n">
        <x:f>IF(AND(Q814="Terminated",R814="",O814=0),1,0)</x:f>
        <x:v>0</x:v>
      </x:c>
      <x:c r="AC814" s="33" t="n">
        <x:f>--OR(WorkforceData[[#This Row],[Status]]="Resigned",WorkforceData[[#This Row],[Status After Training]]="Withdrew")</x:f>
        <x:v>0</x:v>
      </x:c>
      <x:c r="AD814" s="34" t="n">
        <x:f>EOMONTH(WorkforceData[[#This Row],[Training Date]],0)</x:f>
        <x:v>45716</x:v>
      </x:c>
      <x:c r="AE814" s="32" t="str">
        <x:f>IF(M814&lt;H814,"Existing Employee",IF(U814="","No Assignment",IF(V814=0,"0 Days",IF(V814&lt;=7,"1-7 Days",IF(V814&lt;=14,"8-14 Days",IF(V814&lt;=21,"15-21 Days","21+ Days"))))))</x:f>
        <x:v>Existing Employee</x:v>
      </x:c>
      <x:c r="AF81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14" s="33" t="n">
        <x:f>--(WorkforceData[[#This Row],[Total Days Worked]]&gt;=121)</x:f>
        <x:v>1</x:v>
      </x:c>
    </x:row>
    <x:row r="815">
      <x:c r="A815" s="236" t="str">
        <x:v>TRN-0814</x:v>
      </x:c>
      <x:c r="B815" s="243"/>
      <x:c r="C815" s="243"/>
      <x:c r="D815" s="243"/>
      <x:c r="E815" s="243"/>
      <x:c r="F815" s="14" t="str">
        <x:v>Recruiter G</x:v>
      </x:c>
      <x:c r="G815" s="14" t="str">
        <x:v>Training Center B</x:v>
      </x:c>
      <x:c r="H815" s="28">
        <x:v>45694</x:v>
      </x:c>
      <x:c r="I815" s="14">
        <x:v>2025</x:v>
      </x:c>
      <x:c r="J815" s="14" t="s">
        <x:v>136</x:v>
      </x:c>
      <x:c r="K815" s="14">
        <x:v>30</x:v>
      </x:c>
      <x:c r="L815" s="29" t="s">
        <x:v>101</x:v>
      </x:c>
      <x:c r="M815" s="28">
        <x:v>45694</x:v>
      </x:c>
      <x:c r="N815" s="28">
        <x:v>45852</x:v>
      </x:c>
      <x:c r="O815" s="14">
        <x:v>158</x:v>
      </x:c>
      <x:c r="P815" s="14" t="s">
        <x:v>113</x:v>
      </x:c>
      <x:c r="Q815" s="14" t="s">
        <x:v>103</x:v>
      </x:c>
      <x:c r="R815" s="14" t="s">
        <x:v>111</x:v>
      </x:c>
      <x:c r="S815" s="14" t="s">
        <x:v>105</x:v>
      </x:c>
      <x:c r="T815" s="14"/>
      <x:c r="U815" s="28"/>
      <x:c r="V815" s="30"/>
      <x:c r="W815" s="14"/>
      <x:c r="X815" s="14" t="s">
        <x:v>71</x:v>
      </x:c>
      <x:c r="Y815" s="32" t="str">
        <x:v>TRN-0814|20250206</x:v>
      </x:c>
      <x:c r="Z815" s="32" t="str" cm="1">
        <x:f t="array" ref="Z81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Complete</x:v>
      </x:c>
      <x:c r="AA815" s="33" t="n">
        <x:f>--OR(WorkforceData[[#This Row],[Status]]="Active",WorkforceData[[#This Row],[Promoted]]="Yes",WorkforceData[[#This Row],[Total Days Worked]]&gt;=121)</x:f>
        <x:v>1</x:v>
      </x:c>
      <x:c r="AB815" s="33" t="n">
        <x:f>IF(AND(Q815="Terminated",R815="",O815=0),1,0)</x:f>
        <x:v>0</x:v>
      </x:c>
      <x:c r="AC815" s="33" t="n">
        <x:f>--OR(WorkforceData[[#This Row],[Status]]="Resigned",WorkforceData[[#This Row],[Status After Training]]="Withdrew")</x:f>
        <x:v>1</x:v>
      </x:c>
      <x:c r="AD815" s="34" t="n">
        <x:f>EOMONTH(WorkforceData[[#This Row],[Training Date]],0)</x:f>
        <x:v>45716</x:v>
      </x:c>
      <x:c r="AE815" s="32" t="str">
        <x:f>IF(M815&lt;H815,"Existing Employee",IF(U815="","No Assignment",IF(V815=0,"0 Days",IF(V815&lt;=7,"1-7 Days",IF(V815&lt;=14,"8-14 Days",IF(V815&lt;=21,"15-21 Days","21+ Days"))))))</x:f>
        <x:v>No Assignment</x:v>
      </x:c>
      <x:c r="AF81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15" s="33" t="n">
        <x:f>--(WorkforceData[[#This Row],[Total Days Worked]]&gt;=121)</x:f>
        <x:v>1</x:v>
      </x:c>
    </x:row>
    <x:row r="816">
      <x:c r="A816" s="236" t="str">
        <x:v>TRN-0815</x:v>
      </x:c>
      <x:c r="B816" s="243"/>
      <x:c r="C816" s="243"/>
      <x:c r="D816" s="243"/>
      <x:c r="E816" s="243"/>
      <x:c r="F816" s="14" t="str">
        <x:v>Recruiter F</x:v>
      </x:c>
      <x:c r="G816" s="14" t="str">
        <x:v>Training Center B</x:v>
      </x:c>
      <x:c r="H816" s="28">
        <x:v>45694</x:v>
      </x:c>
      <x:c r="I816" s="14">
        <x:v>2025</x:v>
      </x:c>
      <x:c r="J816" s="14" t="s">
        <x:v>136</x:v>
      </x:c>
      <x:c r="K816" s="14">
        <x:v>30</x:v>
      </x:c>
      <x:c r="L816" s="29" t="s">
        <x:v>101</x:v>
      </x:c>
      <x:c r="M816" s="28">
        <x:v>45694</x:v>
      </x:c>
      <x:c r="N816" s="14"/>
      <x:c r="O816" s="14">
        <x:v>557</x:v>
      </x:c>
      <x:c r="P816" s="14" t="s">
        <x:v>120</x:v>
      </x:c>
      <x:c r="Q816" s="14" t="s">
        <x:v>25</x:v>
      </x:c>
      <x:c r="R816" s="14"/>
      <x:c r="S816" s="14" t="s">
        <x:v>108</x:v>
      </x:c>
      <x:c r="T816" s="14" t="str">
        <x:v>Region C</x:v>
      </x:c>
      <x:c r="U816" s="28">
        <x:v>45703</x:v>
      </x:c>
      <x:c r="V816" s="30">
        <x:v>9</x:v>
      </x:c>
      <x:c r="W816" s="14" t="s">
        <x:v>45</x:v>
      </x:c>
      <x:c r="X816" s="14" t="s">
        <x:v>106</x:v>
      </x:c>
      <x:c r="Y816" s="32" t="str">
        <x:v>TRN-0815|20250206</x:v>
      </x:c>
      <x:c r="Z816" s="32" t="str" cm="1">
        <x:f t="array" ref="Z81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816" s="33" t="n">
        <x:f>--OR(WorkforceData[[#This Row],[Status]]="Active",WorkforceData[[#This Row],[Promoted]]="Yes",WorkforceData[[#This Row],[Total Days Worked]]&gt;=121)</x:f>
        <x:v>1</x:v>
      </x:c>
      <x:c r="AB816" s="33" t="n">
        <x:f>IF(AND(Q816="Terminated",R816="",O816=0),1,0)</x:f>
        <x:v>0</x:v>
      </x:c>
      <x:c r="AC816" s="33" t="n">
        <x:f>--OR(WorkforceData[[#This Row],[Status]]="Resigned",WorkforceData[[#This Row],[Status After Training]]="Withdrew")</x:f>
        <x:v>0</x:v>
      </x:c>
      <x:c r="AD816" s="34" t="n">
        <x:f>EOMONTH(WorkforceData[[#This Row],[Training Date]],0)</x:f>
        <x:v>45716</x:v>
      </x:c>
      <x:c r="AE816" s="32" t="str">
        <x:f>IF(M816&lt;H816,"Existing Employee",IF(U816="","No Assignment",IF(V816=0,"0 Days",IF(V816&lt;=7,"1-7 Days",IF(V816&lt;=14,"8-14 Days",IF(V816&lt;=21,"15-21 Days","21+ Days"))))))</x:f>
        <x:v>8-14 Days</x:v>
      </x:c>
      <x:c r="AF81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16" s="33" t="n">
        <x:f>--(WorkforceData[[#This Row],[Total Days Worked]]&gt;=121)</x:f>
        <x:v>1</x:v>
      </x:c>
    </x:row>
    <x:row r="817">
      <x:c r="A817" s="236" t="str">
        <x:v>TRN-0816</x:v>
      </x:c>
      <x:c r="B817" s="243"/>
      <x:c r="C817" s="243"/>
      <x:c r="D817" s="243"/>
      <x:c r="E817" s="243"/>
      <x:c r="F817" s="14" t="str">
        <x:v>Recruiter C</x:v>
      </x:c>
      <x:c r="G817" s="14" t="str">
        <x:v>Training Center B</x:v>
      </x:c>
      <x:c r="H817" s="28">
        <x:v>45694</x:v>
      </x:c>
      <x:c r="I817" s="14">
        <x:v>2025</x:v>
      </x:c>
      <x:c r="J817" s="14" t="s">
        <x:v>136</x:v>
      </x:c>
      <x:c r="K817" s="14">
        <x:v>30</x:v>
      </x:c>
      <x:c r="L817" s="29" t="s">
        <x:v>101</x:v>
      </x:c>
      <x:c r="M817" s="28">
        <x:v>45689</x:v>
      </x:c>
      <x:c r="N817" s="14"/>
      <x:c r="O817" s="14">
        <x:v>562</x:v>
      </x:c>
      <x:c r="P817" s="14" t="s">
        <x:v>120</x:v>
      </x:c>
      <x:c r="Q817" s="14" t="s">
        <x:v>25</x:v>
      </x:c>
      <x:c r="R817" s="14"/>
      <x:c r="S817" s="14" t="s">
        <x:v>108</x:v>
      </x:c>
      <x:c r="T817" s="14" t="str">
        <x:v>Region C</x:v>
      </x:c>
      <x:c r="U817" s="28">
        <x:v>45741</x:v>
      </x:c>
      <x:c r="V817" s="30">
        <x:v>47</x:v>
      </x:c>
      <x:c r="W817" s="14" t="s">
        <x:v>63</x:v>
      </x:c>
      <x:c r="X817" s="14" t="s">
        <x:v>117</x:v>
      </x:c>
      <x:c r="Y817" s="32" t="str">
        <x:v>TRN-0816|20250206</x:v>
      </x:c>
      <x:c r="Z817" s="32" t="str" cm="1">
        <x:f t="array" ref="Z81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817" s="33" t="n">
        <x:f>--OR(WorkforceData[[#This Row],[Status]]="Active",WorkforceData[[#This Row],[Promoted]]="Yes",WorkforceData[[#This Row],[Total Days Worked]]&gt;=121)</x:f>
        <x:v>1</x:v>
      </x:c>
      <x:c r="AB817" s="33" t="n">
        <x:f>IF(AND(Q817="Terminated",R817="",O817=0),1,0)</x:f>
        <x:v>0</x:v>
      </x:c>
      <x:c r="AC817" s="33" t="n">
        <x:f>--OR(WorkforceData[[#This Row],[Status]]="Resigned",WorkforceData[[#This Row],[Status After Training]]="Withdrew")</x:f>
        <x:v>0</x:v>
      </x:c>
      <x:c r="AD817" s="34" t="n">
        <x:f>EOMONTH(WorkforceData[[#This Row],[Training Date]],0)</x:f>
        <x:v>45716</x:v>
      </x:c>
      <x:c r="AE817" s="32" t="str">
        <x:f>IF(M817&lt;H817,"Existing Employee",IF(U817="","No Assignment",IF(V817=0,"0 Days",IF(V817&lt;=7,"1-7 Days",IF(V817&lt;=14,"8-14 Days",IF(V817&lt;=21,"15-21 Days","21+ Days"))))))</x:f>
        <x:v>Existing Employee</x:v>
      </x:c>
      <x:c r="AF81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17" s="33" t="n">
        <x:f>--(WorkforceData[[#This Row],[Total Days Worked]]&gt;=121)</x:f>
        <x:v>1</x:v>
      </x:c>
    </x:row>
    <x:row r="818">
      <x:c r="A818" s="236" t="str">
        <x:v>TRN-0817</x:v>
      </x:c>
      <x:c r="B818" s="243"/>
      <x:c r="C818" s="243"/>
      <x:c r="D818" s="243"/>
      <x:c r="E818" s="243"/>
      <x:c r="F818" s="14" t="str">
        <x:v>Recruiter G</x:v>
      </x:c>
      <x:c r="G818" s="14" t="str">
        <x:v>Training Center B</x:v>
      </x:c>
      <x:c r="H818" s="28">
        <x:v>45694</x:v>
      </x:c>
      <x:c r="I818" s="14">
        <x:v>2025</x:v>
      </x:c>
      <x:c r="J818" s="14" t="s">
        <x:v>136</x:v>
      </x:c>
      <x:c r="K818" s="14">
        <x:v>30</x:v>
      </x:c>
      <x:c r="L818" s="29" t="s">
        <x:v>101</x:v>
      </x:c>
      <x:c r="M818" s="28">
        <x:v>45692</x:v>
      </x:c>
      <x:c r="N818" s="14"/>
      <x:c r="O818" s="14">
        <x:v>559</x:v>
      </x:c>
      <x:c r="P818" s="14" t="s">
        <x:v>120</x:v>
      </x:c>
      <x:c r="Q818" s="14" t="s">
        <x:v>25</x:v>
      </x:c>
      <x:c r="R818" s="14"/>
      <x:c r="S818" s="14" t="s">
        <x:v>108</x:v>
      </x:c>
      <x:c r="T818" s="14" t="str">
        <x:v>Region B</x:v>
      </x:c>
      <x:c r="U818" s="28">
        <x:v>45696</x:v>
      </x:c>
      <x:c r="V818" s="30">
        <x:v>2</x:v>
      </x:c>
      <x:c r="W818" s="14" t="s">
        <x:v>109</x:v>
      </x:c>
      <x:c r="X818" s="14" t="s">
        <x:v>125</x:v>
      </x:c>
      <x:c r="Y818" s="32" t="str">
        <x:v>TRN-0817|20250206</x:v>
      </x:c>
      <x:c r="Z818" s="32" t="str" cm="1">
        <x:f t="array" ref="Z81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818" s="33" t="n">
        <x:f>--OR(WorkforceData[[#This Row],[Status]]="Active",WorkforceData[[#This Row],[Promoted]]="Yes",WorkforceData[[#This Row],[Total Days Worked]]&gt;=121)</x:f>
        <x:v>1</x:v>
      </x:c>
      <x:c r="AB818" s="33" t="n">
        <x:f>IF(AND(Q818="Terminated",R818="",O818=0),1,0)</x:f>
        <x:v>0</x:v>
      </x:c>
      <x:c r="AC818" s="33" t="n">
        <x:f>--OR(WorkforceData[[#This Row],[Status]]="Resigned",WorkforceData[[#This Row],[Status After Training]]="Withdrew")</x:f>
        <x:v>0</x:v>
      </x:c>
      <x:c r="AD818" s="34" t="n">
        <x:f>EOMONTH(WorkforceData[[#This Row],[Training Date]],0)</x:f>
        <x:v>45716</x:v>
      </x:c>
      <x:c r="AE818" s="32" t="str">
        <x:f>IF(M818&lt;H818,"Existing Employee",IF(U818="","No Assignment",IF(V818=0,"0 Days",IF(V818&lt;=7,"1-7 Days",IF(V818&lt;=14,"8-14 Days",IF(V818&lt;=21,"15-21 Days","21+ Days"))))))</x:f>
        <x:v>Existing Employee</x:v>
      </x:c>
      <x:c r="AF81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18" s="33" t="n">
        <x:f>--(WorkforceData[[#This Row],[Total Days Worked]]&gt;=121)</x:f>
        <x:v>1</x:v>
      </x:c>
    </x:row>
    <x:row r="819">
      <x:c r="A819" s="236" t="str">
        <x:v>TRN-0818</x:v>
      </x:c>
      <x:c r="B819" s="243"/>
      <x:c r="C819" s="243"/>
      <x:c r="D819" s="243"/>
      <x:c r="E819" s="243"/>
      <x:c r="F819" s="14" t="str">
        <x:v>Recruiter A</x:v>
      </x:c>
      <x:c r="G819" s="14" t="str">
        <x:v>Training Center B</x:v>
      </x:c>
      <x:c r="H819" s="28">
        <x:v>45694</x:v>
      </x:c>
      <x:c r="I819" s="14">
        <x:v>2025</x:v>
      </x:c>
      <x:c r="J819" s="14" t="s">
        <x:v>136</x:v>
      </x:c>
      <x:c r="K819" s="14">
        <x:v>30</x:v>
      </x:c>
      <x:c r="L819" s="29" t="s">
        <x:v>101</x:v>
      </x:c>
      <x:c r="M819" s="28">
        <x:v>45684</x:v>
      </x:c>
      <x:c r="N819" s="14"/>
      <x:c r="O819" s="14">
        <x:v>567</x:v>
      </x:c>
      <x:c r="P819" s="14" t="s">
        <x:v>120</x:v>
      </x:c>
      <x:c r="Q819" s="14" t="s">
        <x:v>25</x:v>
      </x:c>
      <x:c r="R819" s="14"/>
      <x:c r="S819" s="14" t="s">
        <x:v>108</x:v>
      </x:c>
      <x:c r="T819" s="14" t="str">
        <x:v>Region C</x:v>
      </x:c>
      <x:c r="U819" s="28">
        <x:v>45695</x:v>
      </x:c>
      <x:c r="V819" s="30">
        <x:v>1</x:v>
      </x:c>
      <x:c r="W819" s="14" t="s">
        <x:v>109</x:v>
      </x:c>
      <x:c r="X819" s="14" t="s">
        <x:v>106</x:v>
      </x:c>
      <x:c r="Y819" s="32" t="str">
        <x:v>TRN-0818|20250206</x:v>
      </x:c>
      <x:c r="Z819" s="32" t="str" cm="1">
        <x:f t="array" ref="Z81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819" s="33" t="n">
        <x:f>--OR(WorkforceData[[#This Row],[Status]]="Active",WorkforceData[[#This Row],[Promoted]]="Yes",WorkforceData[[#This Row],[Total Days Worked]]&gt;=121)</x:f>
        <x:v>1</x:v>
      </x:c>
      <x:c r="AB819" s="33" t="n">
        <x:f>IF(AND(Q819="Terminated",R819="",O819=0),1,0)</x:f>
        <x:v>0</x:v>
      </x:c>
      <x:c r="AC819" s="33" t="n">
        <x:f>--OR(WorkforceData[[#This Row],[Status]]="Resigned",WorkforceData[[#This Row],[Status After Training]]="Withdrew")</x:f>
        <x:v>0</x:v>
      </x:c>
      <x:c r="AD819" s="34" t="n">
        <x:f>EOMONTH(WorkforceData[[#This Row],[Training Date]],0)</x:f>
        <x:v>45716</x:v>
      </x:c>
      <x:c r="AE819" s="32" t="str">
        <x:f>IF(M819&lt;H819,"Existing Employee",IF(U819="","No Assignment",IF(V819=0,"0 Days",IF(V819&lt;=7,"1-7 Days",IF(V819&lt;=14,"8-14 Days",IF(V819&lt;=21,"15-21 Days","21+ Days"))))))</x:f>
        <x:v>Existing Employee</x:v>
      </x:c>
      <x:c r="AF81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19" s="33" t="n">
        <x:f>--(WorkforceData[[#This Row],[Total Days Worked]]&gt;=121)</x:f>
        <x:v>1</x:v>
      </x:c>
    </x:row>
    <x:row r="820">
      <x:c r="A820" s="236" t="str">
        <x:v>TRN-0819</x:v>
      </x:c>
      <x:c r="B820" s="243"/>
      <x:c r="C820" s="243"/>
      <x:c r="D820" s="243"/>
      <x:c r="E820" s="243"/>
      <x:c r="F820" s="14" t="str">
        <x:v>Recruiter C</x:v>
      </x:c>
      <x:c r="G820" s="14" t="str">
        <x:v>Training Center B</x:v>
      </x:c>
      <x:c r="H820" s="28">
        <x:v>45694</x:v>
      </x:c>
      <x:c r="I820" s="14">
        <x:v>2025</x:v>
      </x:c>
      <x:c r="J820" s="14" t="s">
        <x:v>136</x:v>
      </x:c>
      <x:c r="K820" s="14">
        <x:v>30</x:v>
      </x:c>
      <x:c r="L820" s="29" t="s">
        <x:v>101</x:v>
      </x:c>
      <x:c r="M820" s="28">
        <x:v>45693</x:v>
      </x:c>
      <x:c r="N820" s="14"/>
      <x:c r="O820" s="14">
        <x:v>558</x:v>
      </x:c>
      <x:c r="P820" s="14" t="s">
        <x:v>120</x:v>
      </x:c>
      <x:c r="Q820" s="14" t="s">
        <x:v>25</x:v>
      </x:c>
      <x:c r="R820" s="14"/>
      <x:c r="S820" s="14" t="s">
        <x:v>108</x:v>
      </x:c>
      <x:c r="T820" s="14" t="str">
        <x:v>Region A</x:v>
      </x:c>
      <x:c r="U820" s="28">
        <x:v>45697</x:v>
      </x:c>
      <x:c r="V820" s="30">
        <x:v>3</x:v>
      </x:c>
      <x:c r="W820" s="14" t="s">
        <x:v>109</x:v>
      </x:c>
      <x:c r="X820" s="14" t="s">
        <x:v>106</x:v>
      </x:c>
      <x:c r="Y820" s="32" t="str">
        <x:v>TRN-0819|20250206</x:v>
      </x:c>
      <x:c r="Z820" s="32" t="str" cm="1">
        <x:f t="array" ref="Z82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820" s="33" t="n">
        <x:f>--OR(WorkforceData[[#This Row],[Status]]="Active",WorkforceData[[#This Row],[Promoted]]="Yes",WorkforceData[[#This Row],[Total Days Worked]]&gt;=121)</x:f>
        <x:v>1</x:v>
      </x:c>
      <x:c r="AB820" s="33" t="n">
        <x:f>IF(AND(Q820="Terminated",R820="",O820=0),1,0)</x:f>
        <x:v>0</x:v>
      </x:c>
      <x:c r="AC820" s="33" t="n">
        <x:f>--OR(WorkforceData[[#This Row],[Status]]="Resigned",WorkforceData[[#This Row],[Status After Training]]="Withdrew")</x:f>
        <x:v>0</x:v>
      </x:c>
      <x:c r="AD820" s="34" t="n">
        <x:f>EOMONTH(WorkforceData[[#This Row],[Training Date]],0)</x:f>
        <x:v>45716</x:v>
      </x:c>
      <x:c r="AE820" s="32" t="str">
        <x:f>IF(M820&lt;H820,"Existing Employee",IF(U820="","No Assignment",IF(V820=0,"0 Days",IF(V820&lt;=7,"1-7 Days",IF(V820&lt;=14,"8-14 Days",IF(V820&lt;=21,"15-21 Days","21+ Days"))))))</x:f>
        <x:v>Existing Employee</x:v>
      </x:c>
      <x:c r="AF82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20" s="33" t="n">
        <x:f>--(WorkforceData[[#This Row],[Total Days Worked]]&gt;=121)</x:f>
        <x:v>1</x:v>
      </x:c>
    </x:row>
    <x:row r="821">
      <x:c r="A821" s="236" t="str">
        <x:v>TRN-0820</x:v>
      </x:c>
      <x:c r="B821" s="243"/>
      <x:c r="C821" s="243"/>
      <x:c r="D821" s="243"/>
      <x:c r="E821" s="243"/>
      <x:c r="F821" s="14" t="str">
        <x:v>Recruiter A</x:v>
      </x:c>
      <x:c r="G821" s="14" t="str">
        <x:v>Training Center B</x:v>
      </x:c>
      <x:c r="H821" s="28">
        <x:v>45694</x:v>
      </x:c>
      <x:c r="I821" s="14">
        <x:v>2025</x:v>
      </x:c>
      <x:c r="J821" s="14" t="s">
        <x:v>136</x:v>
      </x:c>
      <x:c r="K821" s="14">
        <x:v>30</x:v>
      </x:c>
      <x:c r="L821" s="29" t="s">
        <x:v>101</x:v>
      </x:c>
      <x:c r="M821" s="28">
        <x:v>45692</x:v>
      </x:c>
      <x:c r="N821" s="14"/>
      <x:c r="O821" s="14">
        <x:v>559</x:v>
      </x:c>
      <x:c r="P821" s="14" t="s">
        <x:v>120</x:v>
      </x:c>
      <x:c r="Q821" s="14" t="s">
        <x:v>38</x:v>
      </x:c>
      <x:c r="R821" s="14"/>
      <x:c r="S821" s="14" t="s">
        <x:v>108</x:v>
      </x:c>
      <x:c r="T821" s="14" t="str">
        <x:v>Region D</x:v>
      </x:c>
      <x:c r="U821" s="28">
        <x:v>45696</x:v>
      </x:c>
      <x:c r="V821" s="30">
        <x:v>2</x:v>
      </x:c>
      <x:c r="W821" s="14" t="s">
        <x:v>109</x:v>
      </x:c>
      <x:c r="X821" s="14" t="s">
        <x:v>106</x:v>
      </x:c>
      <x:c r="Y821" s="32" t="str">
        <x:v>TRN-0820|20250206</x:v>
      </x:c>
      <x:c r="Z821" s="32" t="str" cm="1">
        <x:f t="array" ref="Z82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821" s="33" t="n">
        <x:f>--OR(WorkforceData[[#This Row],[Status]]="Active",WorkforceData[[#This Row],[Promoted]]="Yes",WorkforceData[[#This Row],[Total Days Worked]]&gt;=121)</x:f>
        <x:v>1</x:v>
      </x:c>
      <x:c r="AB821" s="33" t="n">
        <x:f>IF(AND(Q821="Terminated",R821="",O821=0),1,0)</x:f>
        <x:v>0</x:v>
      </x:c>
      <x:c r="AC821" s="33" t="n">
        <x:f>--OR(WorkforceData[[#This Row],[Status]]="Resigned",WorkforceData[[#This Row],[Status After Training]]="Withdrew")</x:f>
        <x:v>0</x:v>
      </x:c>
      <x:c r="AD821" s="34" t="n">
        <x:f>EOMONTH(WorkforceData[[#This Row],[Training Date]],0)</x:f>
        <x:v>45716</x:v>
      </x:c>
      <x:c r="AE821" s="32" t="str">
        <x:f>IF(M821&lt;H821,"Existing Employee",IF(U821="","No Assignment",IF(V821=0,"0 Days",IF(V821&lt;=7,"1-7 Days",IF(V821&lt;=14,"8-14 Days",IF(V821&lt;=21,"15-21 Days","21+ Days"))))))</x:f>
        <x:v>Existing Employee</x:v>
      </x:c>
      <x:c r="AF82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21" s="33" t="n">
        <x:f>--(WorkforceData[[#This Row],[Total Days Worked]]&gt;=121)</x:f>
        <x:v>1</x:v>
      </x:c>
    </x:row>
    <x:row r="822">
      <x:c r="A822" s="236" t="str">
        <x:v>TRN-0821</x:v>
      </x:c>
      <x:c r="B822" s="243"/>
      <x:c r="C822" s="243"/>
      <x:c r="D822" s="243"/>
      <x:c r="E822" s="243"/>
      <x:c r="F822" s="14" t="str">
        <x:v>Recruiter B</x:v>
      </x:c>
      <x:c r="G822" s="14" t="str">
        <x:v>Training Center B</x:v>
      </x:c>
      <x:c r="H822" s="28">
        <x:v>45694</x:v>
      </x:c>
      <x:c r="I822" s="14">
        <x:v>2025</x:v>
      </x:c>
      <x:c r="J822" s="14" t="s">
        <x:v>136</x:v>
      </x:c>
      <x:c r="K822" s="14">
        <x:v>30</x:v>
      </x:c>
      <x:c r="L822" s="29" t="s">
        <x:v>101</x:v>
      </x:c>
      <x:c r="M822" s="28">
        <x:v>45694</x:v>
      </x:c>
      <x:c r="N822" s="28">
        <x:v>45894</x:v>
      </x:c>
      <x:c r="O822" s="14">
        <x:v>200</x:v>
      </x:c>
      <x:c r="P822" s="14" t="s">
        <x:v>107</x:v>
      </x:c>
      <x:c r="Q822" s="14" t="s">
        <x:v>103</x:v>
      </x:c>
      <x:c r="R822" s="14" t="s">
        <x:v>104</x:v>
      </x:c>
      <x:c r="S822" s="14" t="s">
        <x:v>108</x:v>
      </x:c>
      <x:c r="T822" s="14" t="str">
        <x:v>Region A</x:v>
      </x:c>
      <x:c r="U822" s="28">
        <x:v>45696</x:v>
      </x:c>
      <x:c r="V822" s="30">
        <x:v>2</x:v>
      </x:c>
      <x:c r="W822" s="14" t="s">
        <x:v>109</x:v>
      </x:c>
      <x:c r="X822" s="14" t="s">
        <x:v>106</x:v>
      </x:c>
      <x:c r="Y822" s="32" t="str">
        <x:v>TRN-0821|20250206</x:v>
      </x:c>
      <x:c r="Z822" s="32" t="str" cm="1">
        <x:f t="array" ref="Z82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822" s="33" t="n">
        <x:f>--OR(WorkforceData[[#This Row],[Status]]="Active",WorkforceData[[#This Row],[Promoted]]="Yes",WorkforceData[[#This Row],[Total Days Worked]]&gt;=121)</x:f>
        <x:v>1</x:v>
      </x:c>
      <x:c r="AB822" s="33" t="n">
        <x:f>IF(AND(Q822="Terminated",R822="",O822=0),1,0)</x:f>
        <x:v>0</x:v>
      </x:c>
      <x:c r="AC822" s="33" t="n">
        <x:f>--OR(WorkforceData[[#This Row],[Status]]="Resigned",WorkforceData[[#This Row],[Status After Training]]="Withdrew")</x:f>
        <x:v>1</x:v>
      </x:c>
      <x:c r="AD822" s="34" t="n">
        <x:f>EOMONTH(WorkforceData[[#This Row],[Training Date]],0)</x:f>
        <x:v>45716</x:v>
      </x:c>
      <x:c r="AE822" s="32" t="str">
        <x:f>IF(M822&lt;H822,"Existing Employee",IF(U822="","No Assignment",IF(V822=0,"0 Days",IF(V822&lt;=7,"1-7 Days",IF(V822&lt;=14,"8-14 Days",IF(V822&lt;=21,"15-21 Days","21+ Days"))))))</x:f>
        <x:v>1-7 Days</x:v>
      </x:c>
      <x:c r="AF82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22" s="33" t="n">
        <x:f>--(WorkforceData[[#This Row],[Total Days Worked]]&gt;=121)</x:f>
        <x:v>1</x:v>
      </x:c>
    </x:row>
    <x:row r="823">
      <x:c r="A823" s="236" t="str">
        <x:v>TRN-0822</x:v>
      </x:c>
      <x:c r="B823" s="243"/>
      <x:c r="C823" s="243"/>
      <x:c r="D823" s="243"/>
      <x:c r="E823" s="243"/>
      <x:c r="F823" s="14" t="str">
        <x:v>Recruiter H</x:v>
      </x:c>
      <x:c r="G823" s="14" t="str">
        <x:v>Training Center B</x:v>
      </x:c>
      <x:c r="H823" s="28">
        <x:v>45694</x:v>
      </x:c>
      <x:c r="I823" s="14">
        <x:v>2025</x:v>
      </x:c>
      <x:c r="J823" s="14" t="s">
        <x:v>136</x:v>
      </x:c>
      <x:c r="K823" s="14">
        <x:v>30</x:v>
      </x:c>
      <x:c r="L823" s="29" t="s">
        <x:v>101</x:v>
      </x:c>
      <x:c r="M823" s="28">
        <x:v>45694</x:v>
      </x:c>
      <x:c r="N823" s="28">
        <x:v>45860</x:v>
      </x:c>
      <x:c r="O823" s="14">
        <x:v>166</x:v>
      </x:c>
      <x:c r="P823" s="14" t="s">
        <x:v>113</x:v>
      </x:c>
      <x:c r="Q823" s="14" t="s">
        <x:v>103</x:v>
      </x:c>
      <x:c r="R823" s="14" t="s">
        <x:v>111</x:v>
      </x:c>
      <x:c r="S823" s="14" t="s">
        <x:v>105</x:v>
      </x:c>
      <x:c r="T823" s="14" t="str">
        <x:v>Region D</x:v>
      </x:c>
      <x:c r="U823" s="28">
        <x:v>45705</x:v>
      </x:c>
      <x:c r="V823" s="30">
        <x:v>11</x:v>
      </x:c>
      <x:c r="W823" s="14" t="s">
        <x:v>45</x:v>
      </x:c>
      <x:c r="X823" s="14" t="s">
        <x:v>106</x:v>
      </x:c>
      <x:c r="Y823" s="32" t="str">
        <x:v>TRN-0822|20250206</x:v>
      </x:c>
      <x:c r="Z823" s="32" t="str" cm="1">
        <x:f t="array" ref="Z82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Complete</x:v>
      </x:c>
      <x:c r="AA823" s="33" t="n">
        <x:f>--OR(WorkforceData[[#This Row],[Status]]="Active",WorkforceData[[#This Row],[Promoted]]="Yes",WorkforceData[[#This Row],[Total Days Worked]]&gt;=121)</x:f>
        <x:v>1</x:v>
      </x:c>
      <x:c r="AB823" s="33" t="n">
        <x:f>IF(AND(Q823="Terminated",R823="",O823=0),1,0)</x:f>
        <x:v>0</x:v>
      </x:c>
      <x:c r="AC823" s="33" t="n">
        <x:f>--OR(WorkforceData[[#This Row],[Status]]="Resigned",WorkforceData[[#This Row],[Status After Training]]="Withdrew")</x:f>
        <x:v>1</x:v>
      </x:c>
      <x:c r="AD823" s="34" t="n">
        <x:f>EOMONTH(WorkforceData[[#This Row],[Training Date]],0)</x:f>
        <x:v>45716</x:v>
      </x:c>
      <x:c r="AE823" s="32" t="str">
        <x:f>IF(M823&lt;H823,"Existing Employee",IF(U823="","No Assignment",IF(V823=0,"0 Days",IF(V823&lt;=7,"1-7 Days",IF(V823&lt;=14,"8-14 Days",IF(V823&lt;=21,"15-21 Days","21+ Days"))))))</x:f>
        <x:v>8-14 Days</x:v>
      </x:c>
      <x:c r="AF82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23" s="33" t="n">
        <x:f>--(WorkforceData[[#This Row],[Total Days Worked]]&gt;=121)</x:f>
        <x:v>1</x:v>
      </x:c>
    </x:row>
    <x:row r="824">
      <x:c r="A824" s="236" t="str">
        <x:v>TRN-0823</x:v>
      </x:c>
      <x:c r="B824" s="243"/>
      <x:c r="C824" s="243"/>
      <x:c r="D824" s="243"/>
      <x:c r="E824" s="243"/>
      <x:c r="F824" s="14" t="str">
        <x:v>Recruiter B</x:v>
      </x:c>
      <x:c r="G824" s="14" t="str">
        <x:v>Training Center B</x:v>
      </x:c>
      <x:c r="H824" s="28">
        <x:v>45694</x:v>
      </x:c>
      <x:c r="I824" s="14">
        <x:v>2025</x:v>
      </x:c>
      <x:c r="J824" s="14" t="s">
        <x:v>136</x:v>
      </x:c>
      <x:c r="K824" s="14">
        <x:v>30</x:v>
      </x:c>
      <x:c r="L824" s="29" t="s">
        <x:v>101</x:v>
      </x:c>
      <x:c r="M824" s="28">
        <x:v>45691</x:v>
      </x:c>
      <x:c r="N824" s="28">
        <x:v>45705</x:v>
      </x:c>
      <x:c r="O824" s="14">
        <x:v>14</x:v>
      </x:c>
      <x:c r="P824" s="14" t="s">
        <x:v>102</x:v>
      </x:c>
      <x:c r="Q824" s="14" t="s">
        <x:v>33</x:v>
      </x:c>
      <x:c r="R824" s="14" t="s">
        <x:v>121</x:v>
      </x:c>
      <x:c r="S824" s="14" t="s">
        <x:v>105</x:v>
      </x:c>
      <x:c r="T824" s="14" t="str">
        <x:v>Region E</x:v>
      </x:c>
      <x:c r="U824" s="28">
        <x:v>45705</x:v>
      </x:c>
      <x:c r="V824" s="30">
        <x:v>11</x:v>
      </x:c>
      <x:c r="W824" s="14" t="s">
        <x:v>45</x:v>
      </x:c>
      <x:c r="X824" s="14" t="s">
        <x:v>106</x:v>
      </x:c>
      <x:c r="Y824" s="32" t="str">
        <x:v>TRN-0823|20250206</x:v>
      </x:c>
      <x:c r="Z824" s="32" t="str" cm="1">
        <x:f t="array" ref="Z82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824" s="33" t="n">
        <x:f>--OR(WorkforceData[[#This Row],[Status]]="Active",WorkforceData[[#This Row],[Promoted]]="Yes",WorkforceData[[#This Row],[Total Days Worked]]&gt;=121)</x:f>
        <x:v>0</x:v>
      </x:c>
      <x:c r="AB824" s="33" t="n">
        <x:f>IF(AND(Q824="Terminated",R824="",O824=0),1,0)</x:f>
        <x:v>0</x:v>
      </x:c>
      <x:c r="AC824" s="33" t="n">
        <x:f>--OR(WorkforceData[[#This Row],[Status]]="Resigned",WorkforceData[[#This Row],[Status After Training]]="Withdrew")</x:f>
        <x:v>0</x:v>
      </x:c>
      <x:c r="AD824" s="34" t="n">
        <x:f>EOMONTH(WorkforceData[[#This Row],[Training Date]],0)</x:f>
        <x:v>45716</x:v>
      </x:c>
      <x:c r="AE824" s="32" t="str">
        <x:f>IF(M824&lt;H824,"Existing Employee",IF(U824="","No Assignment",IF(V824=0,"0 Days",IF(V824&lt;=7,"1-7 Days",IF(V824&lt;=14,"8-14 Days",IF(V824&lt;=21,"15-21 Days","21+ Days"))))))</x:f>
        <x:v>Existing Employee</x:v>
      </x:c>
      <x:c r="AF82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824" s="33" t="n">
        <x:f>--(WorkforceData[[#This Row],[Total Days Worked]]&gt;=121)</x:f>
        <x:v>0</x:v>
      </x:c>
    </x:row>
    <x:row r="825">
      <x:c r="A825" s="236" t="str">
        <x:v>TRN-0824</x:v>
      </x:c>
      <x:c r="B825" s="243"/>
      <x:c r="C825" s="243"/>
      <x:c r="D825" s="243"/>
      <x:c r="E825" s="243"/>
      <x:c r="F825" s="14" t="str">
        <x:v>Recruiter D</x:v>
      </x:c>
      <x:c r="G825" s="14" t="str">
        <x:v>Training Center A</x:v>
      </x:c>
      <x:c r="H825" s="28">
        <x:v>45986</x:v>
      </x:c>
      <x:c r="I825" s="14">
        <x:v>2025</x:v>
      </x:c>
      <x:c r="J825" s="14" t="s">
        <x:v>134</x:v>
      </x:c>
      <x:c r="K825" s="14">
        <x:v>22</x:v>
      </x:c>
      <x:c r="L825" s="29" t="s">
        <x:v>101</x:v>
      </x:c>
      <x:c r="M825" s="28">
        <x:v>45983</x:v>
      </x:c>
      <x:c r="N825" s="28">
        <x:v>46012</x:v>
      </x:c>
      <x:c r="O825" s="14">
        <x:v>29</x:v>
      </x:c>
      <x:c r="P825" s="14" t="s">
        <x:v>102</x:v>
      </x:c>
      <x:c r="Q825" s="14" t="s">
        <x:v>33</x:v>
      </x:c>
      <x:c r="R825" s="14" t="s">
        <x:v>121</x:v>
      </x:c>
      <x:c r="S825" s="14" t="s">
        <x:v>105</x:v>
      </x:c>
      <x:c r="T825" s="14" t="str">
        <x:v>Region C</x:v>
      </x:c>
      <x:c r="U825" s="28">
        <x:v>46012</x:v>
      </x:c>
      <x:c r="V825" s="30">
        <x:v>26</x:v>
      </x:c>
      <x:c r="W825" s="14" t="s">
        <x:v>112</x:v>
      </x:c>
      <x:c r="X825" s="14" t="s">
        <x:v>117</x:v>
      </x:c>
      <x:c r="Y825" s="32" t="str">
        <x:v>TRN-0824|20251125</x:v>
      </x:c>
      <x:c r="Z825" s="32" t="str" cm="1">
        <x:f t="array" ref="Z82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825" s="33" t="n">
        <x:f>--OR(WorkforceData[[#This Row],[Status]]="Active",WorkforceData[[#This Row],[Promoted]]="Yes",WorkforceData[[#This Row],[Total Days Worked]]&gt;=121)</x:f>
        <x:v>0</x:v>
      </x:c>
      <x:c r="AB825" s="33" t="n">
        <x:f>IF(AND(Q825="Terminated",R825="",O825=0),1,0)</x:f>
        <x:v>0</x:v>
      </x:c>
      <x:c r="AC825" s="33" t="n">
        <x:f>--OR(WorkforceData[[#This Row],[Status]]="Resigned",WorkforceData[[#This Row],[Status After Training]]="Withdrew")</x:f>
        <x:v>0</x:v>
      </x:c>
      <x:c r="AD825" s="34" t="n">
        <x:f>EOMONTH(WorkforceData[[#This Row],[Training Date]],0)</x:f>
        <x:v>45991</x:v>
      </x:c>
      <x:c r="AE825" s="32" t="str">
        <x:f>IF(M825&lt;H825,"Existing Employee",IF(U825="","No Assignment",IF(V825=0,"0 Days",IF(V825&lt;=7,"1-7 Days",IF(V825&lt;=14,"8-14 Days",IF(V825&lt;=21,"15-21 Days","21+ Days"))))))</x:f>
        <x:v>Existing Employee</x:v>
      </x:c>
      <x:c r="AF82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825" s="33" t="n">
        <x:f>--(WorkforceData[[#This Row],[Total Days Worked]]&gt;=121)</x:f>
        <x:v>0</x:v>
      </x:c>
    </x:row>
    <x:row r="826">
      <x:c r="A826" s="236" t="str">
        <x:v>TRN-0825</x:v>
      </x:c>
      <x:c r="B826" s="243"/>
      <x:c r="C826" s="243"/>
      <x:c r="D826" s="243"/>
      <x:c r="E826" s="243"/>
      <x:c r="F826" s="14" t="str">
        <x:v>Recruiter F</x:v>
      </x:c>
      <x:c r="G826" s="14" t="str">
        <x:v>Training Center A</x:v>
      </x:c>
      <x:c r="H826" s="28">
        <x:v>45986</x:v>
      </x:c>
      <x:c r="I826" s="14">
        <x:v>2025</x:v>
      </x:c>
      <x:c r="J826" s="14" t="s">
        <x:v>134</x:v>
      </x:c>
      <x:c r="K826" s="14">
        <x:v>22</x:v>
      </x:c>
      <x:c r="L826" s="29" t="s">
        <x:v>101</x:v>
      </x:c>
      <x:c r="M826" s="28">
        <x:v>45976</x:v>
      </x:c>
      <x:c r="N826" s="28">
        <x:v>46118</x:v>
      </x:c>
      <x:c r="O826" s="14">
        <x:v>142</x:v>
      </x:c>
      <x:c r="P826" s="14" t="s">
        <x:v>113</x:v>
      </x:c>
      <x:c r="Q826" s="14" t="s">
        <x:v>103</x:v>
      </x:c>
      <x:c r="R826" s="14" t="s">
        <x:v>123</x:v>
      </x:c>
      <x:c r="S826" s="14" t="s">
        <x:v>105</x:v>
      </x:c>
      <x:c r="T826" s="14" t="str">
        <x:v>Region D</x:v>
      </x:c>
      <x:c r="U826" s="28">
        <x:v>45993</x:v>
      </x:c>
      <x:c r="V826" s="30">
        <x:v>7</x:v>
      </x:c>
      <x:c r="W826" s="14" t="s">
        <x:v>109</x:v>
      </x:c>
      <x:c r="X826" s="14" t="s">
        <x:v>106</x:v>
      </x:c>
      <x:c r="Y826" s="32" t="str">
        <x:v>TRN-0825|20251125</x:v>
      </x:c>
      <x:c r="Z826" s="32" t="str" cm="1">
        <x:f t="array" ref="Z82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Complete</x:v>
      </x:c>
      <x:c r="AA826" s="33" t="n">
        <x:f>--OR(WorkforceData[[#This Row],[Status]]="Active",WorkforceData[[#This Row],[Promoted]]="Yes",WorkforceData[[#This Row],[Total Days Worked]]&gt;=121)</x:f>
        <x:v>1</x:v>
      </x:c>
      <x:c r="AB826" s="33" t="n">
        <x:f>IF(AND(Q826="Terminated",R826="",O826=0),1,0)</x:f>
        <x:v>0</x:v>
      </x:c>
      <x:c r="AC826" s="33" t="n">
        <x:f>--OR(WorkforceData[[#This Row],[Status]]="Resigned",WorkforceData[[#This Row],[Status After Training]]="Withdrew")</x:f>
        <x:v>1</x:v>
      </x:c>
      <x:c r="AD826" s="34" t="n">
        <x:f>EOMONTH(WorkforceData[[#This Row],[Training Date]],0)</x:f>
        <x:v>45991</x:v>
      </x:c>
      <x:c r="AE826" s="32" t="str">
        <x:f>IF(M826&lt;H826,"Existing Employee",IF(U826="","No Assignment",IF(V826=0,"0 Days",IF(V826&lt;=7,"1-7 Days",IF(V826&lt;=14,"8-14 Days",IF(V826&lt;=21,"15-21 Days","21+ Days"))))))</x:f>
        <x:v>Existing Employee</x:v>
      </x:c>
      <x:c r="AF82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26" s="33" t="n">
        <x:f>--(WorkforceData[[#This Row],[Total Days Worked]]&gt;=121)</x:f>
        <x:v>1</x:v>
      </x:c>
    </x:row>
    <x:row r="827">
      <x:c r="A827" s="236" t="str">
        <x:v>TRN-0826</x:v>
      </x:c>
      <x:c r="B827" s="243"/>
      <x:c r="C827" s="243"/>
      <x:c r="D827" s="243"/>
      <x:c r="E827" s="243"/>
      <x:c r="F827" s="14" t="str">
        <x:v>Recruiter G</x:v>
      </x:c>
      <x:c r="G827" s="14" t="str">
        <x:v>Training Center A</x:v>
      </x:c>
      <x:c r="H827" s="28">
        <x:v>45986</x:v>
      </x:c>
      <x:c r="I827" s="14">
        <x:v>2025</x:v>
      </x:c>
      <x:c r="J827" s="14" t="s">
        <x:v>134</x:v>
      </x:c>
      <x:c r="K827" s="14">
        <x:v>22</x:v>
      </x:c>
      <x:c r="L827" s="29" t="s">
        <x:v>101</x:v>
      </x:c>
      <x:c r="M827" s="28">
        <x:v>45986</x:v>
      </x:c>
      <x:c r="N827" s="14"/>
      <x:c r="O827" s="14">
        <x:v>265</x:v>
      </x:c>
      <x:c r="P827" s="14" t="s">
        <x:v>107</x:v>
      </x:c>
      <x:c r="Q827" s="14" t="s">
        <x:v>25</x:v>
      </x:c>
      <x:c r="R827" s="14"/>
      <x:c r="S827" s="14" t="s">
        <x:v>108</x:v>
      </x:c>
      <x:c r="T827" s="14" t="str">
        <x:v>Region E</x:v>
      </x:c>
      <x:c r="U827" s="28">
        <x:v>45990</x:v>
      </x:c>
      <x:c r="V827" s="30">
        <x:v>4</x:v>
      </x:c>
      <x:c r="W827" s="14" t="s">
        <x:v>109</x:v>
      </x:c>
      <x:c r="X827" s="14" t="s">
        <x:v>106</x:v>
      </x:c>
      <x:c r="Y827" s="32" t="str">
        <x:v>TRN-0826|20251125</x:v>
      </x:c>
      <x:c r="Z827" s="32" t="str" cm="1">
        <x:f t="array" ref="Z82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827" s="33" t="n">
        <x:f>--OR(WorkforceData[[#This Row],[Status]]="Active",WorkforceData[[#This Row],[Promoted]]="Yes",WorkforceData[[#This Row],[Total Days Worked]]&gt;=121)</x:f>
        <x:v>1</x:v>
      </x:c>
      <x:c r="AB827" s="33" t="n">
        <x:f>IF(AND(Q827="Terminated",R827="",O827=0),1,0)</x:f>
        <x:v>0</x:v>
      </x:c>
      <x:c r="AC827" s="33" t="n">
        <x:f>--OR(WorkforceData[[#This Row],[Status]]="Resigned",WorkforceData[[#This Row],[Status After Training]]="Withdrew")</x:f>
        <x:v>0</x:v>
      </x:c>
      <x:c r="AD827" s="34" t="n">
        <x:f>EOMONTH(WorkforceData[[#This Row],[Training Date]],0)</x:f>
        <x:v>45991</x:v>
      </x:c>
      <x:c r="AE827" s="32" t="str">
        <x:f>IF(M827&lt;H827,"Existing Employee",IF(U827="","No Assignment",IF(V827=0,"0 Days",IF(V827&lt;=7,"1-7 Days",IF(V827&lt;=14,"8-14 Days",IF(V827&lt;=21,"15-21 Days","21+ Days"))))))</x:f>
        <x:v>1-7 Days</x:v>
      </x:c>
      <x:c r="AF82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27" s="33" t="n">
        <x:f>--(WorkforceData[[#This Row],[Total Days Worked]]&gt;=121)</x:f>
        <x:v>1</x:v>
      </x:c>
    </x:row>
    <x:row r="828">
      <x:c r="A828" s="236" t="str">
        <x:v>TRN-0827</x:v>
      </x:c>
      <x:c r="B828" s="243"/>
      <x:c r="C828" s="243"/>
      <x:c r="D828" s="243"/>
      <x:c r="E828" s="243"/>
      <x:c r="F828" s="14" t="str">
        <x:v>Recruiter F</x:v>
      </x:c>
      <x:c r="G828" s="14" t="str">
        <x:v>Training Center A</x:v>
      </x:c>
      <x:c r="H828" s="28">
        <x:v>45986</x:v>
      </x:c>
      <x:c r="I828" s="14">
        <x:v>2025</x:v>
      </x:c>
      <x:c r="J828" s="14" t="s">
        <x:v>134</x:v>
      </x:c>
      <x:c r="K828" s="14">
        <x:v>22</x:v>
      </x:c>
      <x:c r="L828" s="29" t="s">
        <x:v>101</x:v>
      </x:c>
      <x:c r="M828" s="28">
        <x:v>45986</x:v>
      </x:c>
      <x:c r="N828" s="28">
        <x:v>45987</x:v>
      </x:c>
      <x:c r="O828" s="14">
        <x:v>1</x:v>
      </x:c>
      <x:c r="P828" s="14" t="s">
        <x:v>102</x:v>
      </x:c>
      <x:c r="Q828" s="14" t="s">
        <x:v>33</x:v>
      </x:c>
      <x:c r="R828" s="14" t="s">
        <x:v>124</x:v>
      </x:c>
      <x:c r="S828" s="14" t="s">
        <x:v>105</x:v>
      </x:c>
      <x:c r="T828" s="14" t="str">
        <x:v>Region A</x:v>
      </x:c>
      <x:c r="U828" s="28">
        <x:v>45987</x:v>
      </x:c>
      <x:c r="V828" s="30">
        <x:v>1</x:v>
      </x:c>
      <x:c r="W828" s="14" t="s">
        <x:v>109</x:v>
      </x:c>
      <x:c r="X828" s="14" t="s">
        <x:v>106</x:v>
      </x:c>
      <x:c r="Y828" s="32" t="str">
        <x:v>TRN-0827|20251125</x:v>
      </x:c>
      <x:c r="Z828" s="32" t="str" cm="1">
        <x:f t="array" ref="Z82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828" s="33" t="n">
        <x:f>--OR(WorkforceData[[#This Row],[Status]]="Active",WorkforceData[[#This Row],[Promoted]]="Yes",WorkforceData[[#This Row],[Total Days Worked]]&gt;=121)</x:f>
        <x:v>0</x:v>
      </x:c>
      <x:c r="AB828" s="33" t="n">
        <x:f>IF(AND(Q828="Terminated",R828="",O828=0),1,0)</x:f>
        <x:v>0</x:v>
      </x:c>
      <x:c r="AC828" s="33" t="n">
        <x:f>--OR(WorkforceData[[#This Row],[Status]]="Resigned",WorkforceData[[#This Row],[Status After Training]]="Withdrew")</x:f>
        <x:v>0</x:v>
      </x:c>
      <x:c r="AD828" s="34" t="n">
        <x:f>EOMONTH(WorkforceData[[#This Row],[Training Date]],0)</x:f>
        <x:v>45991</x:v>
      </x:c>
      <x:c r="AE828" s="32" t="str">
        <x:f>IF(M828&lt;H828,"Existing Employee",IF(U828="","No Assignment",IF(V828=0,"0 Days",IF(V828&lt;=7,"1-7 Days",IF(V828&lt;=14,"8-14 Days",IF(V828&lt;=21,"15-21 Days","21+ Days"))))))</x:f>
        <x:v>1-7 Days</x:v>
      </x:c>
      <x:c r="AF82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1-7 Days</x:v>
      </x:c>
      <x:c r="AG828" s="33" t="n">
        <x:f>--(WorkforceData[[#This Row],[Total Days Worked]]&gt;=121)</x:f>
        <x:v>0</x:v>
      </x:c>
    </x:row>
    <x:row r="829">
      <x:c r="A829" s="236" t="str">
        <x:v>TRN-0828</x:v>
      </x:c>
      <x:c r="B829" s="243"/>
      <x:c r="C829" s="243"/>
      <x:c r="D829" s="243"/>
      <x:c r="E829" s="243"/>
      <x:c r="F829" s="14" t="str">
        <x:v>Recruiter E</x:v>
      </x:c>
      <x:c r="G829" s="14" t="str">
        <x:v>Training Center A</x:v>
      </x:c>
      <x:c r="H829" s="28">
        <x:v>45986</x:v>
      </x:c>
      <x:c r="I829" s="14">
        <x:v>2025</x:v>
      </x:c>
      <x:c r="J829" s="14" t="s">
        <x:v>134</x:v>
      </x:c>
      <x:c r="K829" s="14">
        <x:v>22</x:v>
      </x:c>
      <x:c r="L829" s="29" t="s">
        <x:v>101</x:v>
      </x:c>
      <x:c r="M829" s="28">
        <x:v>45976</x:v>
      </x:c>
      <x:c r="N829" s="28">
        <x:v>46131</x:v>
      </x:c>
      <x:c r="O829" s="14">
        <x:v>155</x:v>
      </x:c>
      <x:c r="P829" s="14" t="s">
        <x:v>113</x:v>
      </x:c>
      <x:c r="Q829" s="14" t="s">
        <x:v>33</x:v>
      </x:c>
      <x:c r="R829" s="14" t="s">
        <x:v>116</x:v>
      </x:c>
      <x:c r="S829" s="14" t="s">
        <x:v>105</x:v>
      </x:c>
      <x:c r="T829" s="14" t="str">
        <x:v>Region B</x:v>
      </x:c>
      <x:c r="U829" s="28">
        <x:v>45986</x:v>
      </x:c>
      <x:c r="V829" s="30">
        <x:v>0</x:v>
      </x:c>
      <x:c r="W829" s="14" t="s">
        <x:v>109</x:v>
      </x:c>
      <x:c r="X829" s="14" t="s">
        <x:v>106</x:v>
      </x:c>
      <x:c r="Y829" s="32" t="str">
        <x:v>TRN-0828|20251125</x:v>
      </x:c>
      <x:c r="Z829" s="32" t="str" cm="1">
        <x:f t="array" ref="Z82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Complete</x:v>
      </x:c>
      <x:c r="AA829" s="33" t="n">
        <x:f>--OR(WorkforceData[[#This Row],[Status]]="Active",WorkforceData[[#This Row],[Promoted]]="Yes",WorkforceData[[#This Row],[Total Days Worked]]&gt;=121)</x:f>
        <x:v>1</x:v>
      </x:c>
      <x:c r="AB829" s="33" t="n">
        <x:f>IF(AND(Q829="Terminated",R829="",O829=0),1,0)</x:f>
        <x:v>0</x:v>
      </x:c>
      <x:c r="AC829" s="33" t="n">
        <x:f>--OR(WorkforceData[[#This Row],[Status]]="Resigned",WorkforceData[[#This Row],[Status After Training]]="Withdrew")</x:f>
        <x:v>0</x:v>
      </x:c>
      <x:c r="AD829" s="34" t="n">
        <x:f>EOMONTH(WorkforceData[[#This Row],[Training Date]],0)</x:f>
        <x:v>45991</x:v>
      </x:c>
      <x:c r="AE829" s="32" t="str">
        <x:f>IF(M829&lt;H829,"Existing Employee",IF(U829="","No Assignment",IF(V829=0,"0 Days",IF(V829&lt;=7,"1-7 Days",IF(V829&lt;=14,"8-14 Days",IF(V829&lt;=21,"15-21 Days","21+ Days"))))))</x:f>
        <x:v>Existing Employee</x:v>
      </x:c>
      <x:c r="AF82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29" s="33" t="n">
        <x:f>--(WorkforceData[[#This Row],[Total Days Worked]]&gt;=121)</x:f>
        <x:v>1</x:v>
      </x:c>
    </x:row>
    <x:row r="830">
      <x:c r="A830" s="236" t="str">
        <x:v>TRN-0829</x:v>
      </x:c>
      <x:c r="B830" s="243"/>
      <x:c r="C830" s="243"/>
      <x:c r="D830" s="243"/>
      <x:c r="E830" s="243"/>
      <x:c r="F830" s="14" t="str">
        <x:v>Recruiter F</x:v>
      </x:c>
      <x:c r="G830" s="14" t="str">
        <x:v>Training Center A</x:v>
      </x:c>
      <x:c r="H830" s="28">
        <x:v>45986</x:v>
      </x:c>
      <x:c r="I830" s="14">
        <x:v>2025</x:v>
      </x:c>
      <x:c r="J830" s="14" t="s">
        <x:v>134</x:v>
      </x:c>
      <x:c r="K830" s="14">
        <x:v>22</x:v>
      </x:c>
      <x:c r="L830" s="29" t="s">
        <x:v>101</x:v>
      </x:c>
      <x:c r="M830" s="28">
        <x:v>45986</x:v>
      </x:c>
      <x:c r="N830" s="14"/>
      <x:c r="O830" s="14">
        <x:v>265</x:v>
      </x:c>
      <x:c r="P830" s="14" t="s">
        <x:v>107</x:v>
      </x:c>
      <x:c r="Q830" s="14" t="s">
        <x:v>25</x:v>
      </x:c>
      <x:c r="R830" s="14"/>
      <x:c r="S830" s="14" t="s">
        <x:v>105</x:v>
      </x:c>
      <x:c r="T830" s="14"/>
      <x:c r="U830" s="28"/>
      <x:c r="V830" s="30"/>
      <x:c r="W830" s="14"/>
      <x:c r="X830" s="14" t="s">
        <x:v>71</x:v>
      </x:c>
      <x:c r="Y830" s="32" t="str">
        <x:v>TRN-0829|20251125</x:v>
      </x:c>
      <x:c r="Z830" s="32" t="str" cm="1">
        <x:f t="array" ref="Z83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830" s="33" t="n">
        <x:f>--OR(WorkforceData[[#This Row],[Status]]="Active",WorkforceData[[#This Row],[Promoted]]="Yes",WorkforceData[[#This Row],[Total Days Worked]]&gt;=121)</x:f>
        <x:v>1</x:v>
      </x:c>
      <x:c r="AB830" s="33" t="n">
        <x:f>IF(AND(Q830="Terminated",R830="",O830=0),1,0)</x:f>
        <x:v>0</x:v>
      </x:c>
      <x:c r="AC830" s="33" t="n">
        <x:f>--OR(WorkforceData[[#This Row],[Status]]="Resigned",WorkforceData[[#This Row],[Status After Training]]="Withdrew")</x:f>
        <x:v>0</x:v>
      </x:c>
      <x:c r="AD830" s="34" t="n">
        <x:f>EOMONTH(WorkforceData[[#This Row],[Training Date]],0)</x:f>
        <x:v>45991</x:v>
      </x:c>
      <x:c r="AE830" s="32" t="str">
        <x:f>IF(M830&lt;H830,"Existing Employee",IF(U830="","No Assignment",IF(V830=0,"0 Days",IF(V830&lt;=7,"1-7 Days",IF(V830&lt;=14,"8-14 Days",IF(V830&lt;=21,"15-21 Days","21+ Days"))))))</x:f>
        <x:v>No Assignment</x:v>
      </x:c>
      <x:c r="AF83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30" s="33" t="n">
        <x:f>--(WorkforceData[[#This Row],[Total Days Worked]]&gt;=121)</x:f>
        <x:v>1</x:v>
      </x:c>
    </x:row>
    <x:row r="831">
      <x:c r="A831" s="236" t="str">
        <x:v>TRN-0830</x:v>
      </x:c>
      <x:c r="B831" s="243"/>
      <x:c r="C831" s="243"/>
      <x:c r="D831" s="243"/>
      <x:c r="E831" s="243"/>
      <x:c r="F831" s="14" t="str">
        <x:v>Recruiter H</x:v>
      </x:c>
      <x:c r="G831" s="14" t="str">
        <x:v>Training Center A</x:v>
      </x:c>
      <x:c r="H831" s="28">
        <x:v>45986</x:v>
      </x:c>
      <x:c r="I831" s="14">
        <x:v>2025</x:v>
      </x:c>
      <x:c r="J831" s="14" t="s">
        <x:v>134</x:v>
      </x:c>
      <x:c r="K831" s="14">
        <x:v>22</x:v>
      </x:c>
      <x:c r="L831" s="29" t="s">
        <x:v>101</x:v>
      </x:c>
      <x:c r="M831" s="28">
        <x:v>45983</x:v>
      </x:c>
      <x:c r="N831" s="14"/>
      <x:c r="O831" s="14">
        <x:v>268</x:v>
      </x:c>
      <x:c r="P831" s="14" t="s">
        <x:v>107</x:v>
      </x:c>
      <x:c r="Q831" s="14" t="s">
        <x:v>25</x:v>
      </x:c>
      <x:c r="R831" s="14"/>
      <x:c r="S831" s="14" t="s">
        <x:v>108</x:v>
      </x:c>
      <x:c r="T831" s="14" t="str">
        <x:v>Region B</x:v>
      </x:c>
      <x:c r="U831" s="28">
        <x:v>46060</x:v>
      </x:c>
      <x:c r="V831" s="30">
        <x:v>74</x:v>
      </x:c>
      <x:c r="W831" s="14" t="s">
        <x:v>114</x:v>
      </x:c>
      <x:c r="X831" s="14" t="s">
        <x:v>117</x:v>
      </x:c>
      <x:c r="Y831" s="32" t="str">
        <x:v>TRN-0830|20251125</x:v>
      </x:c>
      <x:c r="Z831" s="32" t="str" cm="1">
        <x:f t="array" ref="Z83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831" s="33" t="n">
        <x:f>--OR(WorkforceData[[#This Row],[Status]]="Active",WorkforceData[[#This Row],[Promoted]]="Yes",WorkforceData[[#This Row],[Total Days Worked]]&gt;=121)</x:f>
        <x:v>1</x:v>
      </x:c>
      <x:c r="AB831" s="33" t="n">
        <x:f>IF(AND(Q831="Terminated",R831="",O831=0),1,0)</x:f>
        <x:v>0</x:v>
      </x:c>
      <x:c r="AC831" s="33" t="n">
        <x:f>--OR(WorkforceData[[#This Row],[Status]]="Resigned",WorkforceData[[#This Row],[Status After Training]]="Withdrew")</x:f>
        <x:v>0</x:v>
      </x:c>
      <x:c r="AD831" s="34" t="n">
        <x:f>EOMONTH(WorkforceData[[#This Row],[Training Date]],0)</x:f>
        <x:v>45991</x:v>
      </x:c>
      <x:c r="AE831" s="32" t="str">
        <x:f>IF(M831&lt;H831,"Existing Employee",IF(U831="","No Assignment",IF(V831=0,"0 Days",IF(V831&lt;=7,"1-7 Days",IF(V831&lt;=14,"8-14 Days",IF(V831&lt;=21,"15-21 Days","21+ Days"))))))</x:f>
        <x:v>Existing Employee</x:v>
      </x:c>
      <x:c r="AF83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31" s="33" t="n">
        <x:f>--(WorkforceData[[#This Row],[Total Days Worked]]&gt;=121)</x:f>
        <x:v>1</x:v>
      </x:c>
    </x:row>
    <x:row r="832">
      <x:c r="A832" s="236" t="str">
        <x:v>TRN-0831</x:v>
      </x:c>
      <x:c r="B832" s="243"/>
      <x:c r="C832" s="243"/>
      <x:c r="D832" s="243"/>
      <x:c r="E832" s="243"/>
      <x:c r="F832" s="14" t="str">
        <x:v>Recruiter G</x:v>
      </x:c>
      <x:c r="G832" s="14" t="str">
        <x:v>Training Center A</x:v>
      </x:c>
      <x:c r="H832" s="28">
        <x:v>45986</x:v>
      </x:c>
      <x:c r="I832" s="14">
        <x:v>2025</x:v>
      </x:c>
      <x:c r="J832" s="14" t="s">
        <x:v>134</x:v>
      </x:c>
      <x:c r="K832" s="14">
        <x:v>22</x:v>
      </x:c>
      <x:c r="L832" s="29" t="s">
        <x:v>101</x:v>
      </x:c>
      <x:c r="M832" s="28">
        <x:v>45981</x:v>
      </x:c>
      <x:c r="N832" s="28">
        <x:v>46138</x:v>
      </x:c>
      <x:c r="O832" s="14">
        <x:v>157</x:v>
      </x:c>
      <x:c r="P832" s="14" t="s">
        <x:v>113</x:v>
      </x:c>
      <x:c r="Q832" s="14" t="s">
        <x:v>33</x:v>
      </x:c>
      <x:c r="R832" s="14" t="s">
        <x:v>116</x:v>
      </x:c>
      <x:c r="S832" s="14" t="s">
        <x:v>105</x:v>
      </x:c>
      <x:c r="T832" s="14" t="str">
        <x:v>Region B</x:v>
      </x:c>
      <x:c r="U832" s="28">
        <x:v>45991</x:v>
      </x:c>
      <x:c r="V832" s="30">
        <x:v>5</x:v>
      </x:c>
      <x:c r="W832" s="14" t="s">
        <x:v>109</x:v>
      </x:c>
      <x:c r="X832" s="14" t="s">
        <x:v>106</x:v>
      </x:c>
      <x:c r="Y832" s="32" t="str">
        <x:v>TRN-0831|20251125</x:v>
      </x:c>
      <x:c r="Z832" s="32" t="str" cm="1">
        <x:f t="array" ref="Z83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Complete</x:v>
      </x:c>
      <x:c r="AA832" s="33" t="n">
        <x:f>--OR(WorkforceData[[#This Row],[Status]]="Active",WorkforceData[[#This Row],[Promoted]]="Yes",WorkforceData[[#This Row],[Total Days Worked]]&gt;=121)</x:f>
        <x:v>1</x:v>
      </x:c>
      <x:c r="AB832" s="33" t="n">
        <x:f>IF(AND(Q832="Terminated",R832="",O832=0),1,0)</x:f>
        <x:v>0</x:v>
      </x:c>
      <x:c r="AC832" s="33" t="n">
        <x:f>--OR(WorkforceData[[#This Row],[Status]]="Resigned",WorkforceData[[#This Row],[Status After Training]]="Withdrew")</x:f>
        <x:v>0</x:v>
      </x:c>
      <x:c r="AD832" s="34" t="n">
        <x:f>EOMONTH(WorkforceData[[#This Row],[Training Date]],0)</x:f>
        <x:v>45991</x:v>
      </x:c>
      <x:c r="AE832" s="32" t="str">
        <x:f>IF(M832&lt;H832,"Existing Employee",IF(U832="","No Assignment",IF(V832=0,"0 Days",IF(V832&lt;=7,"1-7 Days",IF(V832&lt;=14,"8-14 Days",IF(V832&lt;=21,"15-21 Days","21+ Days"))))))</x:f>
        <x:v>Existing Employee</x:v>
      </x:c>
      <x:c r="AF83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32" s="33" t="n">
        <x:f>--(WorkforceData[[#This Row],[Total Days Worked]]&gt;=121)</x:f>
        <x:v>1</x:v>
      </x:c>
    </x:row>
    <x:row r="833">
      <x:c r="A833" s="236" t="str">
        <x:v>TRN-0832</x:v>
      </x:c>
      <x:c r="B833" s="243"/>
      <x:c r="C833" s="243"/>
      <x:c r="D833" s="243"/>
      <x:c r="E833" s="243"/>
      <x:c r="F833" s="14" t="str">
        <x:v>Recruiter G</x:v>
      </x:c>
      <x:c r="G833" s="14" t="str">
        <x:v>Training Center A</x:v>
      </x:c>
      <x:c r="H833" s="28">
        <x:v>45986</x:v>
      </x:c>
      <x:c r="I833" s="14">
        <x:v>2025</x:v>
      </x:c>
      <x:c r="J833" s="14" t="s">
        <x:v>134</x:v>
      </x:c>
      <x:c r="K833" s="14">
        <x:v>22</x:v>
      </x:c>
      <x:c r="L833" s="29" t="s">
        <x:v>101</x:v>
      </x:c>
      <x:c r="M833" s="28">
        <x:v>45985</x:v>
      </x:c>
      <x:c r="N833" s="28">
        <x:v>46251</x:v>
      </x:c>
      <x:c r="O833" s="14">
        <x:v>266</x:v>
      </x:c>
      <x:c r="P833" s="14" t="s">
        <x:v>107</x:v>
      </x:c>
      <x:c r="Q833" s="14" t="s">
        <x:v>103</x:v>
      </x:c>
      <x:c r="R833" s="14" t="s">
        <x:v>123</x:v>
      </x:c>
      <x:c r="S833" s="14" t="s">
        <x:v>108</x:v>
      </x:c>
      <x:c r="T833" s="14" t="str">
        <x:v>Region B</x:v>
      </x:c>
      <x:c r="U833" s="28">
        <x:v>45994</x:v>
      </x:c>
      <x:c r="V833" s="30">
        <x:v>8</x:v>
      </x:c>
      <x:c r="W833" s="14" t="s">
        <x:v>45</x:v>
      </x:c>
      <x:c r="X833" s="14" t="s">
        <x:v>106</x:v>
      </x:c>
      <x:c r="Y833" s="32" t="str">
        <x:v>TRN-0832|20251125</x:v>
      </x:c>
      <x:c r="Z833" s="32" t="str" cm="1">
        <x:f t="array" ref="Z83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833" s="33" t="n">
        <x:f>--OR(WorkforceData[[#This Row],[Status]]="Active",WorkforceData[[#This Row],[Promoted]]="Yes",WorkforceData[[#This Row],[Total Days Worked]]&gt;=121)</x:f>
        <x:v>1</x:v>
      </x:c>
      <x:c r="AB833" s="33" t="n">
        <x:f>IF(AND(Q833="Terminated",R833="",O833=0),1,0)</x:f>
        <x:v>0</x:v>
      </x:c>
      <x:c r="AC833" s="33" t="n">
        <x:f>--OR(WorkforceData[[#This Row],[Status]]="Resigned",WorkforceData[[#This Row],[Status After Training]]="Withdrew")</x:f>
        <x:v>1</x:v>
      </x:c>
      <x:c r="AD833" s="34" t="n">
        <x:f>EOMONTH(WorkforceData[[#This Row],[Training Date]],0)</x:f>
        <x:v>45991</x:v>
      </x:c>
      <x:c r="AE833" s="32" t="str">
        <x:f>IF(M833&lt;H833,"Existing Employee",IF(U833="","No Assignment",IF(V833=0,"0 Days",IF(V833&lt;=7,"1-7 Days",IF(V833&lt;=14,"8-14 Days",IF(V833&lt;=21,"15-21 Days","21+ Days"))))))</x:f>
        <x:v>Existing Employee</x:v>
      </x:c>
      <x:c r="AF83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33" s="33" t="n">
        <x:f>--(WorkforceData[[#This Row],[Total Days Worked]]&gt;=121)</x:f>
        <x:v>1</x:v>
      </x:c>
    </x:row>
    <x:row r="834">
      <x:c r="A834" s="236" t="str">
        <x:v>TRN-0833</x:v>
      </x:c>
      <x:c r="B834" s="243"/>
      <x:c r="C834" s="243"/>
      <x:c r="D834" s="243"/>
      <x:c r="E834" s="243"/>
      <x:c r="F834" s="14" t="str">
        <x:v>Recruiter F</x:v>
      </x:c>
      <x:c r="G834" s="14" t="str">
        <x:v>Training Center A</x:v>
      </x:c>
      <x:c r="H834" s="28">
        <x:v>45986</x:v>
      </x:c>
      <x:c r="I834" s="14">
        <x:v>2025</x:v>
      </x:c>
      <x:c r="J834" s="14" t="s">
        <x:v>134</x:v>
      </x:c>
      <x:c r="K834" s="14">
        <x:v>22</x:v>
      </x:c>
      <x:c r="L834" s="29" t="s">
        <x:v>101</x:v>
      </x:c>
      <x:c r="M834" s="28">
        <x:v>45986</x:v>
      </x:c>
      <x:c r="N834" s="28">
        <x:v>46186</x:v>
      </x:c>
      <x:c r="O834" s="14">
        <x:v>200</x:v>
      </x:c>
      <x:c r="P834" s="14" t="s">
        <x:v>107</x:v>
      </x:c>
      <x:c r="Q834" s="14" t="s">
        <x:v>103</x:v>
      </x:c>
      <x:c r="R834" s="14" t="s">
        <x:v>104</x:v>
      </x:c>
      <x:c r="S834" s="14" t="s">
        <x:v>108</x:v>
      </x:c>
      <x:c r="T834" s="14" t="str">
        <x:v>Region C</x:v>
      </x:c>
      <x:c r="U834" s="28">
        <x:v>46014</x:v>
      </x:c>
      <x:c r="V834" s="30">
        <x:v>28</x:v>
      </x:c>
      <x:c r="W834" s="14" t="s">
        <x:v>112</x:v>
      </x:c>
      <x:c r="X834" s="14" t="s">
        <x:v>106</x:v>
      </x:c>
      <x:c r="Y834" s="32" t="str">
        <x:v>TRN-0833|20251125</x:v>
      </x:c>
      <x:c r="Z834" s="32" t="str" cm="1">
        <x:f t="array" ref="Z83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834" s="33" t="n">
        <x:f>--OR(WorkforceData[[#This Row],[Status]]="Active",WorkforceData[[#This Row],[Promoted]]="Yes",WorkforceData[[#This Row],[Total Days Worked]]&gt;=121)</x:f>
        <x:v>1</x:v>
      </x:c>
      <x:c r="AB834" s="33" t="n">
        <x:f>IF(AND(Q834="Terminated",R834="",O834=0),1,0)</x:f>
        <x:v>0</x:v>
      </x:c>
      <x:c r="AC834" s="33" t="n">
        <x:f>--OR(WorkforceData[[#This Row],[Status]]="Resigned",WorkforceData[[#This Row],[Status After Training]]="Withdrew")</x:f>
        <x:v>1</x:v>
      </x:c>
      <x:c r="AD834" s="34" t="n">
        <x:f>EOMONTH(WorkforceData[[#This Row],[Training Date]],0)</x:f>
        <x:v>45991</x:v>
      </x:c>
      <x:c r="AE834" s="32" t="str">
        <x:f>IF(M834&lt;H834,"Existing Employee",IF(U834="","No Assignment",IF(V834=0,"0 Days",IF(V834&lt;=7,"1-7 Days",IF(V834&lt;=14,"8-14 Days",IF(V834&lt;=21,"15-21 Days","21+ Days"))))))</x:f>
        <x:v>21+ Days</x:v>
      </x:c>
      <x:c r="AF83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34" s="33" t="n">
        <x:f>--(WorkforceData[[#This Row],[Total Days Worked]]&gt;=121)</x:f>
        <x:v>1</x:v>
      </x:c>
    </x:row>
    <x:row r="835">
      <x:c r="A835" s="236" t="str">
        <x:v>TRN-0834</x:v>
      </x:c>
      <x:c r="B835" s="243"/>
      <x:c r="C835" s="243"/>
      <x:c r="D835" s="243"/>
      <x:c r="E835" s="243"/>
      <x:c r="F835" s="14" t="str">
        <x:v>Recruiter G</x:v>
      </x:c>
      <x:c r="G835" s="14" t="str">
        <x:v>Training Center A</x:v>
      </x:c>
      <x:c r="H835" s="28">
        <x:v>45986</x:v>
      </x:c>
      <x:c r="I835" s="14">
        <x:v>2025</x:v>
      </x:c>
      <x:c r="J835" s="14" t="s">
        <x:v>134</x:v>
      </x:c>
      <x:c r="K835" s="14">
        <x:v>22</x:v>
      </x:c>
      <x:c r="L835" s="29" t="s">
        <x:v>101</x:v>
      </x:c>
      <x:c r="M835" s="28">
        <x:v>45984</x:v>
      </x:c>
      <x:c r="N835" s="28">
        <x:v>45987</x:v>
      </x:c>
      <x:c r="O835" s="14">
        <x:v>3</x:v>
      </x:c>
      <x:c r="P835" s="14" t="s">
        <x:v>102</x:v>
      </x:c>
      <x:c r="Q835" s="14" t="s">
        <x:v>103</x:v>
      </x:c>
      <x:c r="R835" s="14" t="s">
        <x:v>104</x:v>
      </x:c>
      <x:c r="S835" s="14" t="s">
        <x:v>105</x:v>
      </x:c>
      <x:c r="T835" s="14" t="str">
        <x:v>Region B</x:v>
      </x:c>
      <x:c r="U835" s="28">
        <x:v>45987</x:v>
      </x:c>
      <x:c r="V835" s="30">
        <x:v>1</x:v>
      </x:c>
      <x:c r="W835" s="14" t="s">
        <x:v>109</x:v>
      </x:c>
      <x:c r="X835" s="14" t="s">
        <x:v>106</x:v>
      </x:c>
      <x:c r="Y835" s="32" t="str">
        <x:v>TRN-0834|20251125</x:v>
      </x:c>
      <x:c r="Z835" s="32" t="str" cm="1">
        <x:f t="array" ref="Z83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835" s="33" t="n">
        <x:f>--OR(WorkforceData[[#This Row],[Status]]="Active",WorkforceData[[#This Row],[Promoted]]="Yes",WorkforceData[[#This Row],[Total Days Worked]]&gt;=121)</x:f>
        <x:v>0</x:v>
      </x:c>
      <x:c r="AB835" s="33" t="n">
        <x:f>IF(AND(Q835="Terminated",R835="",O835=0),1,0)</x:f>
        <x:v>0</x:v>
      </x:c>
      <x:c r="AC835" s="33" t="n">
        <x:f>--OR(WorkforceData[[#This Row],[Status]]="Resigned",WorkforceData[[#This Row],[Status After Training]]="Withdrew")</x:f>
        <x:v>1</x:v>
      </x:c>
      <x:c r="AD835" s="34" t="n">
        <x:f>EOMONTH(WorkforceData[[#This Row],[Training Date]],0)</x:f>
        <x:v>45991</x:v>
      </x:c>
      <x:c r="AE835" s="32" t="str">
        <x:f>IF(M835&lt;H835,"Existing Employee",IF(U835="","No Assignment",IF(V835=0,"0 Days",IF(V835&lt;=7,"1-7 Days",IF(V835&lt;=14,"8-14 Days",IF(V835&lt;=21,"15-21 Days","21+ Days"))))))</x:f>
        <x:v>Existing Employee</x:v>
      </x:c>
      <x:c r="AF83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1-7 Days</x:v>
      </x:c>
      <x:c r="AG835" s="33" t="n">
        <x:f>--(WorkforceData[[#This Row],[Total Days Worked]]&gt;=121)</x:f>
        <x:v>0</x:v>
      </x:c>
    </x:row>
    <x:row r="836">
      <x:c r="A836" s="236" t="str">
        <x:v>TRN-0835</x:v>
      </x:c>
      <x:c r="B836" s="243"/>
      <x:c r="C836" s="243"/>
      <x:c r="D836" s="243"/>
      <x:c r="E836" s="243"/>
      <x:c r="F836" s="14" t="str">
        <x:v>Recruiter G</x:v>
      </x:c>
      <x:c r="G836" s="14" t="str">
        <x:v>Training Center A</x:v>
      </x:c>
      <x:c r="H836" s="28">
        <x:v>45986</x:v>
      </x:c>
      <x:c r="I836" s="14">
        <x:v>2025</x:v>
      </x:c>
      <x:c r="J836" s="14" t="s">
        <x:v>134</x:v>
      </x:c>
      <x:c r="K836" s="14">
        <x:v>22</x:v>
      </x:c>
      <x:c r="L836" s="29" t="s">
        <x:v>101</x:v>
      </x:c>
      <x:c r="M836" s="28">
        <x:v>45985</x:v>
      </x:c>
      <x:c r="N836" s="14"/>
      <x:c r="O836" s="14">
        <x:v>266</x:v>
      </x:c>
      <x:c r="P836" s="14" t="s">
        <x:v>107</x:v>
      </x:c>
      <x:c r="Q836" s="14" t="s">
        <x:v>25</x:v>
      </x:c>
      <x:c r="R836" s="14"/>
      <x:c r="S836" s="14" t="s">
        <x:v>108</x:v>
      </x:c>
      <x:c r="T836" s="14" t="str">
        <x:v>Region B</x:v>
      </x:c>
      <x:c r="U836" s="28">
        <x:v>46012</x:v>
      </x:c>
      <x:c r="V836" s="30">
        <x:v>26</x:v>
      </x:c>
      <x:c r="W836" s="14" t="s">
        <x:v>112</x:v>
      </x:c>
      <x:c r="X836" s="14" t="s">
        <x:v>106</x:v>
      </x:c>
      <x:c r="Y836" s="32" t="str">
        <x:v>TRN-0835|20251125</x:v>
      </x:c>
      <x:c r="Z836" s="32" t="str" cm="1">
        <x:f t="array" ref="Z83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836" s="33" t="n">
        <x:f>--OR(WorkforceData[[#This Row],[Status]]="Active",WorkforceData[[#This Row],[Promoted]]="Yes",WorkforceData[[#This Row],[Total Days Worked]]&gt;=121)</x:f>
        <x:v>1</x:v>
      </x:c>
      <x:c r="AB836" s="33" t="n">
        <x:f>IF(AND(Q836="Terminated",R836="",O836=0),1,0)</x:f>
        <x:v>0</x:v>
      </x:c>
      <x:c r="AC836" s="33" t="n">
        <x:f>--OR(WorkforceData[[#This Row],[Status]]="Resigned",WorkforceData[[#This Row],[Status After Training]]="Withdrew")</x:f>
        <x:v>0</x:v>
      </x:c>
      <x:c r="AD836" s="34" t="n">
        <x:f>EOMONTH(WorkforceData[[#This Row],[Training Date]],0)</x:f>
        <x:v>45991</x:v>
      </x:c>
      <x:c r="AE836" s="32" t="str">
        <x:f>IF(M836&lt;H836,"Existing Employee",IF(U836="","No Assignment",IF(V836=0,"0 Days",IF(V836&lt;=7,"1-7 Days",IF(V836&lt;=14,"8-14 Days",IF(V836&lt;=21,"15-21 Days","21+ Days"))))))</x:f>
        <x:v>Existing Employee</x:v>
      </x:c>
      <x:c r="AF83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36" s="33" t="n">
        <x:f>--(WorkforceData[[#This Row],[Total Days Worked]]&gt;=121)</x:f>
        <x:v>1</x:v>
      </x:c>
    </x:row>
    <x:row r="837">
      <x:c r="A837" s="236" t="str">
        <x:v>TRN-0836</x:v>
      </x:c>
      <x:c r="B837" s="243"/>
      <x:c r="C837" s="243"/>
      <x:c r="D837" s="243"/>
      <x:c r="E837" s="243"/>
      <x:c r="F837" s="14" t="str">
        <x:v>Recruiter E</x:v>
      </x:c>
      <x:c r="G837" s="14" t="str">
        <x:v>Training Center A</x:v>
      </x:c>
      <x:c r="H837" s="28">
        <x:v>45986</x:v>
      </x:c>
      <x:c r="I837" s="14">
        <x:v>2025</x:v>
      </x:c>
      <x:c r="J837" s="14" t="s">
        <x:v>134</x:v>
      </x:c>
      <x:c r="K837" s="14">
        <x:v>22</x:v>
      </x:c>
      <x:c r="L837" s="29" t="s">
        <x:v>101</x:v>
      </x:c>
      <x:c r="M837" s="28">
        <x:v>45986</x:v>
      </x:c>
      <x:c r="N837" s="28">
        <x:v>46116</x:v>
      </x:c>
      <x:c r="O837" s="14">
        <x:v>130</x:v>
      </x:c>
      <x:c r="P837" s="14" t="s">
        <x:v>113</x:v>
      </x:c>
      <x:c r="Q837" s="14" t="s">
        <x:v>33</x:v>
      </x:c>
      <x:c r="R837" s="14" t="s">
        <x:v>121</x:v>
      </x:c>
      <x:c r="S837" s="14" t="s">
        <x:v>105</x:v>
      </x:c>
      <x:c r="T837" s="14" t="str">
        <x:v>Region D</x:v>
      </x:c>
      <x:c r="U837" s="28">
        <x:v>46009</x:v>
      </x:c>
      <x:c r="V837" s="30">
        <x:v>23</x:v>
      </x:c>
      <x:c r="W837" s="14" t="s">
        <x:v>112</x:v>
      </x:c>
      <x:c r="X837" s="14" t="s">
        <x:v>106</x:v>
      </x:c>
      <x:c r="Y837" s="32" t="str">
        <x:v>TRN-0836|20251125</x:v>
      </x:c>
      <x:c r="Z837" s="32" t="str" cm="1">
        <x:f t="array" ref="Z83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Complete</x:v>
      </x:c>
      <x:c r="AA837" s="33" t="n">
        <x:f>--OR(WorkforceData[[#This Row],[Status]]="Active",WorkforceData[[#This Row],[Promoted]]="Yes",WorkforceData[[#This Row],[Total Days Worked]]&gt;=121)</x:f>
        <x:v>1</x:v>
      </x:c>
      <x:c r="AB837" s="33" t="n">
        <x:f>IF(AND(Q837="Terminated",R837="",O837=0),1,0)</x:f>
        <x:v>0</x:v>
      </x:c>
      <x:c r="AC837" s="33" t="n">
        <x:f>--OR(WorkforceData[[#This Row],[Status]]="Resigned",WorkforceData[[#This Row],[Status After Training]]="Withdrew")</x:f>
        <x:v>0</x:v>
      </x:c>
      <x:c r="AD837" s="34" t="n">
        <x:f>EOMONTH(WorkforceData[[#This Row],[Training Date]],0)</x:f>
        <x:v>45991</x:v>
      </x:c>
      <x:c r="AE837" s="32" t="str">
        <x:f>IF(M837&lt;H837,"Existing Employee",IF(U837="","No Assignment",IF(V837=0,"0 Days",IF(V837&lt;=7,"1-7 Days",IF(V837&lt;=14,"8-14 Days",IF(V837&lt;=21,"15-21 Days","21+ Days"))))))</x:f>
        <x:v>21+ Days</x:v>
      </x:c>
      <x:c r="AF83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37" s="33" t="n">
        <x:f>--(WorkforceData[[#This Row],[Total Days Worked]]&gt;=121)</x:f>
        <x:v>1</x:v>
      </x:c>
    </x:row>
    <x:row r="838">
      <x:c r="A838" s="236" t="str">
        <x:v>TRN-0837</x:v>
      </x:c>
      <x:c r="B838" s="243"/>
      <x:c r="C838" s="243"/>
      <x:c r="D838" s="243"/>
      <x:c r="E838" s="243"/>
      <x:c r="F838" s="14" t="str">
        <x:v>Recruiter B</x:v>
      </x:c>
      <x:c r="G838" s="14" t="str">
        <x:v>Training Center A</x:v>
      </x:c>
      <x:c r="H838" s="28">
        <x:v>45986</x:v>
      </x:c>
      <x:c r="I838" s="14">
        <x:v>2025</x:v>
      </x:c>
      <x:c r="J838" s="14" t="s">
        <x:v>134</x:v>
      </x:c>
      <x:c r="K838" s="14">
        <x:v>22</x:v>
      </x:c>
      <x:c r="L838" s="29" t="s">
        <x:v>101</x:v>
      </x:c>
      <x:c r="M838" s="28">
        <x:v>45986</x:v>
      </x:c>
      <x:c r="N838" s="28">
        <x:v>46147</x:v>
      </x:c>
      <x:c r="O838" s="14">
        <x:v>161</x:v>
      </x:c>
      <x:c r="P838" s="14" t="s">
        <x:v>113</x:v>
      </x:c>
      <x:c r="Q838" s="14" t="s">
        <x:v>103</x:v>
      </x:c>
      <x:c r="R838" s="14" t="s">
        <x:v>104</x:v>
      </x:c>
      <x:c r="S838" s="14" t="s">
        <x:v>105</x:v>
      </x:c>
      <x:c r="T838" s="14" t="str">
        <x:v>Region B</x:v>
      </x:c>
      <x:c r="U838" s="28">
        <x:v>46037</x:v>
      </x:c>
      <x:c r="V838" s="30">
        <x:v>51</x:v>
      </x:c>
      <x:c r="W838" s="14" t="s">
        <x:v>63</x:v>
      </x:c>
      <x:c r="X838" s="14" t="s">
        <x:v>117</x:v>
      </x:c>
      <x:c r="Y838" s="32" t="str">
        <x:v>TRN-0837|20251125</x:v>
      </x:c>
      <x:c r="Z838" s="32" t="str" cm="1">
        <x:f t="array" ref="Z83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Complete</x:v>
      </x:c>
      <x:c r="AA838" s="33" t="n">
        <x:f>--OR(WorkforceData[[#This Row],[Status]]="Active",WorkforceData[[#This Row],[Promoted]]="Yes",WorkforceData[[#This Row],[Total Days Worked]]&gt;=121)</x:f>
        <x:v>1</x:v>
      </x:c>
      <x:c r="AB838" s="33" t="n">
        <x:f>IF(AND(Q838="Terminated",R838="",O838=0),1,0)</x:f>
        <x:v>0</x:v>
      </x:c>
      <x:c r="AC838" s="33" t="n">
        <x:f>--OR(WorkforceData[[#This Row],[Status]]="Resigned",WorkforceData[[#This Row],[Status After Training]]="Withdrew")</x:f>
        <x:v>1</x:v>
      </x:c>
      <x:c r="AD838" s="34" t="n">
        <x:f>EOMONTH(WorkforceData[[#This Row],[Training Date]],0)</x:f>
        <x:v>45991</x:v>
      </x:c>
      <x:c r="AE838" s="32" t="str">
        <x:f>IF(M838&lt;H838,"Existing Employee",IF(U838="","No Assignment",IF(V838=0,"0 Days",IF(V838&lt;=7,"1-7 Days",IF(V838&lt;=14,"8-14 Days",IF(V838&lt;=21,"15-21 Days","21+ Days"))))))</x:f>
        <x:v>21+ Days</x:v>
      </x:c>
      <x:c r="AF83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38" s="33" t="n">
        <x:f>--(WorkforceData[[#This Row],[Total Days Worked]]&gt;=121)</x:f>
        <x:v>1</x:v>
      </x:c>
    </x:row>
    <x:row r="839">
      <x:c r="A839" s="236" t="str">
        <x:v>TRN-0838</x:v>
      </x:c>
      <x:c r="B839" s="243"/>
      <x:c r="C839" s="243"/>
      <x:c r="D839" s="243"/>
      <x:c r="E839" s="243"/>
      <x:c r="F839" s="14" t="str">
        <x:v>Recruiter F</x:v>
      </x:c>
      <x:c r="G839" s="14" t="str">
        <x:v>Training Center A</x:v>
      </x:c>
      <x:c r="H839" s="28">
        <x:v>45986</x:v>
      </x:c>
      <x:c r="I839" s="14">
        <x:v>2025</x:v>
      </x:c>
      <x:c r="J839" s="14" t="s">
        <x:v>134</x:v>
      </x:c>
      <x:c r="K839" s="14">
        <x:v>22</x:v>
      </x:c>
      <x:c r="L839" s="29" t="s">
        <x:v>101</x:v>
      </x:c>
      <x:c r="M839" s="28">
        <x:v>45979</x:v>
      </x:c>
      <x:c r="N839" s="28">
        <x:v>46155</x:v>
      </x:c>
      <x:c r="O839" s="14">
        <x:v>176</x:v>
      </x:c>
      <x:c r="P839" s="14" t="s">
        <x:v>113</x:v>
      </x:c>
      <x:c r="Q839" s="14" t="s">
        <x:v>103</x:v>
      </x:c>
      <x:c r="R839" s="14" t="s">
        <x:v>111</x:v>
      </x:c>
      <x:c r="S839" s="14" t="s">
        <x:v>105</x:v>
      </x:c>
      <x:c r="T839" s="14" t="str">
        <x:v>Region D</x:v>
      </x:c>
      <x:c r="U839" s="28">
        <x:v>46000</x:v>
      </x:c>
      <x:c r="V839" s="30">
        <x:v>14</x:v>
      </x:c>
      <x:c r="W839" s="14" t="s">
        <x:v>45</x:v>
      </x:c>
      <x:c r="X839" s="14" t="s">
        <x:v>106</x:v>
      </x:c>
      <x:c r="Y839" s="32" t="str">
        <x:v>TRN-0838|20251125</x:v>
      </x:c>
      <x:c r="Z839" s="32" t="str" cm="1">
        <x:f t="array" ref="Z83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Complete</x:v>
      </x:c>
      <x:c r="AA839" s="33" t="n">
        <x:f>--OR(WorkforceData[[#This Row],[Status]]="Active",WorkforceData[[#This Row],[Promoted]]="Yes",WorkforceData[[#This Row],[Total Days Worked]]&gt;=121)</x:f>
        <x:v>1</x:v>
      </x:c>
      <x:c r="AB839" s="33" t="n">
        <x:f>IF(AND(Q839="Terminated",R839="",O839=0),1,0)</x:f>
        <x:v>0</x:v>
      </x:c>
      <x:c r="AC839" s="33" t="n">
        <x:f>--OR(WorkforceData[[#This Row],[Status]]="Resigned",WorkforceData[[#This Row],[Status After Training]]="Withdrew")</x:f>
        <x:v>1</x:v>
      </x:c>
      <x:c r="AD839" s="34" t="n">
        <x:f>EOMONTH(WorkforceData[[#This Row],[Training Date]],0)</x:f>
        <x:v>45991</x:v>
      </x:c>
      <x:c r="AE839" s="32" t="str">
        <x:f>IF(M839&lt;H839,"Existing Employee",IF(U839="","No Assignment",IF(V839=0,"0 Days",IF(V839&lt;=7,"1-7 Days",IF(V839&lt;=14,"8-14 Days",IF(V839&lt;=21,"15-21 Days","21+ Days"))))))</x:f>
        <x:v>Existing Employee</x:v>
      </x:c>
      <x:c r="AF83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39" s="33" t="n">
        <x:f>--(WorkforceData[[#This Row],[Total Days Worked]]&gt;=121)</x:f>
        <x:v>1</x:v>
      </x:c>
    </x:row>
    <x:row r="840">
      <x:c r="A840" s="236" t="str">
        <x:v>TRN-0839</x:v>
      </x:c>
      <x:c r="B840" s="243"/>
      <x:c r="C840" s="243"/>
      <x:c r="D840" s="243"/>
      <x:c r="E840" s="243"/>
      <x:c r="F840" s="14" t="str">
        <x:v>Recruiter B</x:v>
      </x:c>
      <x:c r="G840" s="14" t="str">
        <x:v>Training Center A</x:v>
      </x:c>
      <x:c r="H840" s="28">
        <x:v>45986</x:v>
      </x:c>
      <x:c r="I840" s="14">
        <x:v>2025</x:v>
      </x:c>
      <x:c r="J840" s="14" t="s">
        <x:v>134</x:v>
      </x:c>
      <x:c r="K840" s="14">
        <x:v>22</x:v>
      </x:c>
      <x:c r="L840" s="29" t="s">
        <x:v>101</x:v>
      </x:c>
      <x:c r="M840" s="28">
        <x:v>45979</x:v>
      </x:c>
      <x:c r="N840" s="14"/>
      <x:c r="O840" s="14">
        <x:v>272</x:v>
      </x:c>
      <x:c r="P840" s="14" t="s">
        <x:v>107</x:v>
      </x:c>
      <x:c r="Q840" s="14" t="s">
        <x:v>25</x:v>
      </x:c>
      <x:c r="R840" s="14"/>
      <x:c r="S840" s="14" t="s">
        <x:v>108</x:v>
      </x:c>
      <x:c r="T840" s="14" t="str">
        <x:v>Region A</x:v>
      </x:c>
      <x:c r="U840" s="28">
        <x:v>46099</x:v>
      </x:c>
      <x:c r="V840" s="30">
        <x:v>113</x:v>
      </x:c>
      <x:c r="W840" s="14" t="s">
        <x:v>114</x:v>
      </x:c>
      <x:c r="X840" s="14" t="s">
        <x:v>117</x:v>
      </x:c>
      <x:c r="Y840" s="32" t="str">
        <x:v>TRN-0839|20251125</x:v>
      </x:c>
      <x:c r="Z840" s="32" t="str" cm="1">
        <x:f t="array" ref="Z84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840" s="33" t="n">
        <x:f>--OR(WorkforceData[[#This Row],[Status]]="Active",WorkforceData[[#This Row],[Promoted]]="Yes",WorkforceData[[#This Row],[Total Days Worked]]&gt;=121)</x:f>
        <x:v>1</x:v>
      </x:c>
      <x:c r="AB840" s="33" t="n">
        <x:f>IF(AND(Q840="Terminated",R840="",O840=0),1,0)</x:f>
        <x:v>0</x:v>
      </x:c>
      <x:c r="AC840" s="33" t="n">
        <x:f>--OR(WorkforceData[[#This Row],[Status]]="Resigned",WorkforceData[[#This Row],[Status After Training]]="Withdrew")</x:f>
        <x:v>0</x:v>
      </x:c>
      <x:c r="AD840" s="34" t="n">
        <x:f>EOMONTH(WorkforceData[[#This Row],[Training Date]],0)</x:f>
        <x:v>45991</x:v>
      </x:c>
      <x:c r="AE840" s="32" t="str">
        <x:f>IF(M840&lt;H840,"Existing Employee",IF(U840="","No Assignment",IF(V840=0,"0 Days",IF(V840&lt;=7,"1-7 Days",IF(V840&lt;=14,"8-14 Days",IF(V840&lt;=21,"15-21 Days","21+ Days"))))))</x:f>
        <x:v>Existing Employee</x:v>
      </x:c>
      <x:c r="AF84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40" s="33" t="n">
        <x:f>--(WorkforceData[[#This Row],[Total Days Worked]]&gt;=121)</x:f>
        <x:v>1</x:v>
      </x:c>
    </x:row>
    <x:row r="841">
      <x:c r="A841" s="236" t="str">
        <x:v>TRN-0840</x:v>
      </x:c>
      <x:c r="B841" s="243"/>
      <x:c r="C841" s="243"/>
      <x:c r="D841" s="243"/>
      <x:c r="E841" s="243"/>
      <x:c r="F841" s="14" t="str">
        <x:v>Recruiter E</x:v>
      </x:c>
      <x:c r="G841" s="14" t="str">
        <x:v>Training Center A</x:v>
      </x:c>
      <x:c r="H841" s="28">
        <x:v>45986</x:v>
      </x:c>
      <x:c r="I841" s="14">
        <x:v>2025</x:v>
      </x:c>
      <x:c r="J841" s="14" t="s">
        <x:v>134</x:v>
      </x:c>
      <x:c r="K841" s="14">
        <x:v>22</x:v>
      </x:c>
      <x:c r="L841" s="29" t="s">
        <x:v>101</x:v>
      </x:c>
      <x:c r="M841" s="28">
        <x:v>45979</x:v>
      </x:c>
      <x:c r="N841" s="14"/>
      <x:c r="O841" s="14">
        <x:v>272</x:v>
      </x:c>
      <x:c r="P841" s="14" t="s">
        <x:v>107</x:v>
      </x:c>
      <x:c r="Q841" s="14" t="s">
        <x:v>25</x:v>
      </x:c>
      <x:c r="R841" s="14"/>
      <x:c r="S841" s="14" t="s">
        <x:v>108</x:v>
      </x:c>
      <x:c r="T841" s="14" t="str">
        <x:v>Region B</x:v>
      </x:c>
      <x:c r="U841" s="28">
        <x:v>45987</x:v>
      </x:c>
      <x:c r="V841" s="30">
        <x:v>1</x:v>
      </x:c>
      <x:c r="W841" s="14" t="s">
        <x:v>109</x:v>
      </x:c>
      <x:c r="X841" s="14" t="s">
        <x:v>106</x:v>
      </x:c>
      <x:c r="Y841" s="32" t="str">
        <x:v>TRN-0840|20251125</x:v>
      </x:c>
      <x:c r="Z841" s="32" t="str" cm="1">
        <x:f t="array" ref="Z84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841" s="33" t="n">
        <x:f>--OR(WorkforceData[[#This Row],[Status]]="Active",WorkforceData[[#This Row],[Promoted]]="Yes",WorkforceData[[#This Row],[Total Days Worked]]&gt;=121)</x:f>
        <x:v>1</x:v>
      </x:c>
      <x:c r="AB841" s="33" t="n">
        <x:f>IF(AND(Q841="Terminated",R841="",O841=0),1,0)</x:f>
        <x:v>0</x:v>
      </x:c>
      <x:c r="AC841" s="33" t="n">
        <x:f>--OR(WorkforceData[[#This Row],[Status]]="Resigned",WorkforceData[[#This Row],[Status After Training]]="Withdrew")</x:f>
        <x:v>0</x:v>
      </x:c>
      <x:c r="AD841" s="34" t="n">
        <x:f>EOMONTH(WorkforceData[[#This Row],[Training Date]],0)</x:f>
        <x:v>45991</x:v>
      </x:c>
      <x:c r="AE841" s="32" t="str">
        <x:f>IF(M841&lt;H841,"Existing Employee",IF(U841="","No Assignment",IF(V841=0,"0 Days",IF(V841&lt;=7,"1-7 Days",IF(V841&lt;=14,"8-14 Days",IF(V841&lt;=21,"15-21 Days","21+ Days"))))))</x:f>
        <x:v>Existing Employee</x:v>
      </x:c>
      <x:c r="AF84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41" s="33" t="n">
        <x:f>--(WorkforceData[[#This Row],[Total Days Worked]]&gt;=121)</x:f>
        <x:v>1</x:v>
      </x:c>
    </x:row>
    <x:row r="842">
      <x:c r="A842" s="236" t="str">
        <x:v>TRN-0841</x:v>
      </x:c>
      <x:c r="B842" s="243"/>
      <x:c r="C842" s="243"/>
      <x:c r="D842" s="243"/>
      <x:c r="E842" s="243"/>
      <x:c r="F842" s="14" t="str">
        <x:v>Recruiter G</x:v>
      </x:c>
      <x:c r="G842" s="14" t="str">
        <x:v>Training Center A</x:v>
      </x:c>
      <x:c r="H842" s="28">
        <x:v>45986</x:v>
      </x:c>
      <x:c r="I842" s="14">
        <x:v>2025</x:v>
      </x:c>
      <x:c r="J842" s="14" t="s">
        <x:v>134</x:v>
      </x:c>
      <x:c r="K842" s="14">
        <x:v>22</x:v>
      </x:c>
      <x:c r="L842" s="29" t="s">
        <x:v>101</x:v>
      </x:c>
      <x:c r="M842" s="28">
        <x:v>45985</x:v>
      </x:c>
      <x:c r="N842" s="14"/>
      <x:c r="O842" s="14">
        <x:v>266</x:v>
      </x:c>
      <x:c r="P842" s="14" t="s">
        <x:v>107</x:v>
      </x:c>
      <x:c r="Q842" s="14" t="s">
        <x:v>25</x:v>
      </x:c>
      <x:c r="R842" s="14"/>
      <x:c r="S842" s="14" t="s">
        <x:v>108</x:v>
      </x:c>
      <x:c r="T842" s="14" t="str">
        <x:v>Region B</x:v>
      </x:c>
      <x:c r="U842" s="28">
        <x:v>45995</x:v>
      </x:c>
      <x:c r="V842" s="30">
        <x:v>9</x:v>
      </x:c>
      <x:c r="W842" s="14" t="s">
        <x:v>45</x:v>
      </x:c>
      <x:c r="X842" s="14" t="s">
        <x:v>106</x:v>
      </x:c>
      <x:c r="Y842" s="32" t="str">
        <x:v>TRN-0841|20251125</x:v>
      </x:c>
      <x:c r="Z842" s="32" t="str" cm="1">
        <x:f t="array" ref="Z84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842" s="33" t="n">
        <x:f>--OR(WorkforceData[[#This Row],[Status]]="Active",WorkforceData[[#This Row],[Promoted]]="Yes",WorkforceData[[#This Row],[Total Days Worked]]&gt;=121)</x:f>
        <x:v>1</x:v>
      </x:c>
      <x:c r="AB842" s="33" t="n">
        <x:f>IF(AND(Q842="Terminated",R842="",O842=0),1,0)</x:f>
        <x:v>0</x:v>
      </x:c>
      <x:c r="AC842" s="33" t="n">
        <x:f>--OR(WorkforceData[[#This Row],[Status]]="Resigned",WorkforceData[[#This Row],[Status After Training]]="Withdrew")</x:f>
        <x:v>0</x:v>
      </x:c>
      <x:c r="AD842" s="34" t="n">
        <x:f>EOMONTH(WorkforceData[[#This Row],[Training Date]],0)</x:f>
        <x:v>45991</x:v>
      </x:c>
      <x:c r="AE842" s="32" t="str">
        <x:f>IF(M842&lt;H842,"Existing Employee",IF(U842="","No Assignment",IF(V842=0,"0 Days",IF(V842&lt;=7,"1-7 Days",IF(V842&lt;=14,"8-14 Days",IF(V842&lt;=21,"15-21 Days","21+ Days"))))))</x:f>
        <x:v>Existing Employee</x:v>
      </x:c>
      <x:c r="AF84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42" s="33" t="n">
        <x:f>--(WorkforceData[[#This Row],[Total Days Worked]]&gt;=121)</x:f>
        <x:v>1</x:v>
      </x:c>
    </x:row>
    <x:row r="843">
      <x:c r="A843" s="236" t="str">
        <x:v>TRN-0842</x:v>
      </x:c>
      <x:c r="B843" s="243"/>
      <x:c r="C843" s="243"/>
      <x:c r="D843" s="243"/>
      <x:c r="E843" s="243"/>
      <x:c r="F843" s="14" t="str">
        <x:v>Recruiter D</x:v>
      </x:c>
      <x:c r="G843" s="14" t="str">
        <x:v>Training Center A</x:v>
      </x:c>
      <x:c r="H843" s="28">
        <x:v>45986</x:v>
      </x:c>
      <x:c r="I843" s="14">
        <x:v>2025</x:v>
      </x:c>
      <x:c r="J843" s="14" t="s">
        <x:v>134</x:v>
      </x:c>
      <x:c r="K843" s="14">
        <x:v>22</x:v>
      </x:c>
      <x:c r="L843" s="29" t="s">
        <x:v>101</x:v>
      </x:c>
      <x:c r="M843" s="28">
        <x:v>45986</x:v>
      </x:c>
      <x:c r="N843" s="28">
        <x:v>46044</x:v>
      </x:c>
      <x:c r="O843" s="14">
        <x:v>58</x:v>
      </x:c>
      <x:c r="P843" s="14" t="s">
        <x:v>110</x:v>
      </x:c>
      <x:c r="Q843" s="14" t="s">
        <x:v>103</x:v>
      </x:c>
      <x:c r="R843" s="14" t="s">
        <x:v>104</x:v>
      </x:c>
      <x:c r="S843" s="14" t="s">
        <x:v>105</x:v>
      </x:c>
      <x:c r="T843" s="14" t="str">
        <x:v>Region C</x:v>
      </x:c>
      <x:c r="U843" s="28">
        <x:v>45988</x:v>
      </x:c>
      <x:c r="V843" s="30">
        <x:v>2</x:v>
      </x:c>
      <x:c r="W843" s="14" t="s">
        <x:v>109</x:v>
      </x:c>
      <x:c r="X843" s="14" t="s">
        <x:v>106</x:v>
      </x:c>
      <x:c r="Y843" s="32" t="str">
        <x:v>TRN-0842|20251125</x:v>
      </x:c>
      <x:c r="Z843" s="32" t="str" cm="1">
        <x:f t="array" ref="Z84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843" s="33" t="n">
        <x:f>--OR(WorkforceData[[#This Row],[Status]]="Active",WorkforceData[[#This Row],[Promoted]]="Yes",WorkforceData[[#This Row],[Total Days Worked]]&gt;=121)</x:f>
        <x:v>0</x:v>
      </x:c>
      <x:c r="AB843" s="33" t="n">
        <x:f>IF(AND(Q843="Terminated",R843="",O843=0),1,0)</x:f>
        <x:v>0</x:v>
      </x:c>
      <x:c r="AC843" s="33" t="n">
        <x:f>--OR(WorkforceData[[#This Row],[Status]]="Resigned",WorkforceData[[#This Row],[Status After Training]]="Withdrew")</x:f>
        <x:v>1</x:v>
      </x:c>
      <x:c r="AD843" s="34" t="n">
        <x:f>EOMONTH(WorkforceData[[#This Row],[Training Date]],0)</x:f>
        <x:v>45991</x:v>
      </x:c>
      <x:c r="AE843" s="32" t="str">
        <x:f>IF(M843&lt;H843,"Existing Employee",IF(U843="","No Assignment",IF(V843=0,"0 Days",IF(V843&lt;=7,"1-7 Days",IF(V843&lt;=14,"8-14 Days",IF(V843&lt;=21,"15-21 Days","21+ Days"))))))</x:f>
        <x:v>1-7 Days</x:v>
      </x:c>
      <x:c r="AF84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843" s="33" t="n">
        <x:f>--(WorkforceData[[#This Row],[Total Days Worked]]&gt;=121)</x:f>
        <x:v>0</x:v>
      </x:c>
    </x:row>
    <x:row r="844">
      <x:c r="A844" s="236" t="str">
        <x:v>TRN-0843</x:v>
      </x:c>
      <x:c r="B844" s="243"/>
      <x:c r="C844" s="243"/>
      <x:c r="D844" s="243"/>
      <x:c r="E844" s="243"/>
      <x:c r="F844" s="14" t="str">
        <x:v>Recruiter C</x:v>
      </x:c>
      <x:c r="G844" s="14" t="str">
        <x:v>Training Center A</x:v>
      </x:c>
      <x:c r="H844" s="28">
        <x:v>45986</x:v>
      </x:c>
      <x:c r="I844" s="14">
        <x:v>2025</x:v>
      </x:c>
      <x:c r="J844" s="14" t="s">
        <x:v>134</x:v>
      </x:c>
      <x:c r="K844" s="14">
        <x:v>22</x:v>
      </x:c>
      <x:c r="L844" s="29" t="s">
        <x:v>101</x:v>
      </x:c>
      <x:c r="M844" s="28">
        <x:v>45981</x:v>
      </x:c>
      <x:c r="N844" s="14"/>
      <x:c r="O844" s="14">
        <x:v>270</x:v>
      </x:c>
      <x:c r="P844" s="14" t="s">
        <x:v>107</x:v>
      </x:c>
      <x:c r="Q844" s="14" t="s">
        <x:v>25</x:v>
      </x:c>
      <x:c r="R844" s="14"/>
      <x:c r="S844" s="14" t="s">
        <x:v>108</x:v>
      </x:c>
      <x:c r="T844" s="14" t="str">
        <x:v>Region B</x:v>
      </x:c>
      <x:c r="U844" s="28">
        <x:v>45991</x:v>
      </x:c>
      <x:c r="V844" s="30">
        <x:v>5</x:v>
      </x:c>
      <x:c r="W844" s="14" t="s">
        <x:v>109</x:v>
      </x:c>
      <x:c r="X844" s="14" t="s">
        <x:v>106</x:v>
      </x:c>
      <x:c r="Y844" s="32" t="str">
        <x:v>TRN-0843|20251125</x:v>
      </x:c>
      <x:c r="Z844" s="32" t="str" cm="1">
        <x:f t="array" ref="Z84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844" s="33" t="n">
        <x:f>--OR(WorkforceData[[#This Row],[Status]]="Active",WorkforceData[[#This Row],[Promoted]]="Yes",WorkforceData[[#This Row],[Total Days Worked]]&gt;=121)</x:f>
        <x:v>1</x:v>
      </x:c>
      <x:c r="AB844" s="33" t="n">
        <x:f>IF(AND(Q844="Terminated",R844="",O844=0),1,0)</x:f>
        <x:v>0</x:v>
      </x:c>
      <x:c r="AC844" s="33" t="n">
        <x:f>--OR(WorkforceData[[#This Row],[Status]]="Resigned",WorkforceData[[#This Row],[Status After Training]]="Withdrew")</x:f>
        <x:v>0</x:v>
      </x:c>
      <x:c r="AD844" s="34" t="n">
        <x:f>EOMONTH(WorkforceData[[#This Row],[Training Date]],0)</x:f>
        <x:v>45991</x:v>
      </x:c>
      <x:c r="AE844" s="32" t="str">
        <x:f>IF(M844&lt;H844,"Existing Employee",IF(U844="","No Assignment",IF(V844=0,"0 Days",IF(V844&lt;=7,"1-7 Days",IF(V844&lt;=14,"8-14 Days",IF(V844&lt;=21,"15-21 Days","21+ Days"))))))</x:f>
        <x:v>Existing Employee</x:v>
      </x:c>
      <x:c r="AF84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44" s="33" t="n">
        <x:f>--(WorkforceData[[#This Row],[Total Days Worked]]&gt;=121)</x:f>
        <x:v>1</x:v>
      </x:c>
    </x:row>
    <x:row r="845">
      <x:c r="A845" s="236" t="str">
        <x:v>TRN-0844</x:v>
      </x:c>
      <x:c r="B845" s="243"/>
      <x:c r="C845" s="243"/>
      <x:c r="D845" s="243"/>
      <x:c r="E845" s="243"/>
      <x:c r="F845" s="14" t="str">
        <x:v>Recruiter D</x:v>
      </x:c>
      <x:c r="G845" s="14" t="str">
        <x:v>Training Center A</x:v>
      </x:c>
      <x:c r="H845" s="28">
        <x:v>45986</x:v>
      </x:c>
      <x:c r="I845" s="14">
        <x:v>2025</x:v>
      </x:c>
      <x:c r="J845" s="14" t="s">
        <x:v>134</x:v>
      </x:c>
      <x:c r="K845" s="14">
        <x:v>22</x:v>
      </x:c>
      <x:c r="L845" s="29" t="s">
        <x:v>101</x:v>
      </x:c>
      <x:c r="M845" s="28">
        <x:v>45984</x:v>
      </x:c>
      <x:c r="N845" s="14"/>
      <x:c r="O845" s="14">
        <x:v>267</x:v>
      </x:c>
      <x:c r="P845" s="14" t="s">
        <x:v>107</x:v>
      </x:c>
      <x:c r="Q845" s="14" t="s">
        <x:v>25</x:v>
      </x:c>
      <x:c r="R845" s="14"/>
      <x:c r="S845" s="14" t="s">
        <x:v>108</x:v>
      </x:c>
      <x:c r="T845" s="14" t="str">
        <x:v>Region A</x:v>
      </x:c>
      <x:c r="U845" s="28">
        <x:v>46009</x:v>
      </x:c>
      <x:c r="V845" s="30">
        <x:v>23</x:v>
      </x:c>
      <x:c r="W845" s="14" t="s">
        <x:v>112</x:v>
      </x:c>
      <x:c r="X845" s="14" t="s">
        <x:v>106</x:v>
      </x:c>
      <x:c r="Y845" s="32" t="str">
        <x:v>TRN-0844|20251125</x:v>
      </x:c>
      <x:c r="Z845" s="32" t="str" cm="1">
        <x:f t="array" ref="Z84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845" s="33" t="n">
        <x:f>--OR(WorkforceData[[#This Row],[Status]]="Active",WorkforceData[[#This Row],[Promoted]]="Yes",WorkforceData[[#This Row],[Total Days Worked]]&gt;=121)</x:f>
        <x:v>1</x:v>
      </x:c>
      <x:c r="AB845" s="33" t="n">
        <x:f>IF(AND(Q845="Terminated",R845="",O845=0),1,0)</x:f>
        <x:v>0</x:v>
      </x:c>
      <x:c r="AC845" s="33" t="n">
        <x:f>--OR(WorkforceData[[#This Row],[Status]]="Resigned",WorkforceData[[#This Row],[Status After Training]]="Withdrew")</x:f>
        <x:v>0</x:v>
      </x:c>
      <x:c r="AD845" s="34" t="n">
        <x:f>EOMONTH(WorkforceData[[#This Row],[Training Date]],0)</x:f>
        <x:v>45991</x:v>
      </x:c>
      <x:c r="AE845" s="32" t="str">
        <x:f>IF(M845&lt;H845,"Existing Employee",IF(U845="","No Assignment",IF(V845=0,"0 Days",IF(V845&lt;=7,"1-7 Days",IF(V845&lt;=14,"8-14 Days",IF(V845&lt;=21,"15-21 Days","21+ Days"))))))</x:f>
        <x:v>Existing Employee</x:v>
      </x:c>
      <x:c r="AF84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45" s="33" t="n">
        <x:f>--(WorkforceData[[#This Row],[Total Days Worked]]&gt;=121)</x:f>
        <x:v>1</x:v>
      </x:c>
    </x:row>
    <x:row r="846">
      <x:c r="A846" s="236" t="str">
        <x:v>TRN-0845</x:v>
      </x:c>
      <x:c r="B846" s="243"/>
      <x:c r="C846" s="243"/>
      <x:c r="D846" s="243"/>
      <x:c r="E846" s="243"/>
      <x:c r="F846" s="14" t="str">
        <x:v>Recruiter B</x:v>
      </x:c>
      <x:c r="G846" s="14" t="str">
        <x:v>Training Center A</x:v>
      </x:c>
      <x:c r="H846" s="28">
        <x:v>45986</x:v>
      </x:c>
      <x:c r="I846" s="14">
        <x:v>2025</x:v>
      </x:c>
      <x:c r="J846" s="14" t="s">
        <x:v>134</x:v>
      </x:c>
      <x:c r="K846" s="14">
        <x:v>22</x:v>
      </x:c>
      <x:c r="L846" s="29" t="s">
        <x:v>101</x:v>
      </x:c>
      <x:c r="M846" s="28">
        <x:v>45985</x:v>
      </x:c>
      <x:c r="N846" s="14"/>
      <x:c r="O846" s="14">
        <x:v>266</x:v>
      </x:c>
      <x:c r="P846" s="14" t="s">
        <x:v>107</x:v>
      </x:c>
      <x:c r="Q846" s="14" t="s">
        <x:v>25</x:v>
      </x:c>
      <x:c r="R846" s="14"/>
      <x:c r="S846" s="14" t="s">
        <x:v>108</x:v>
      </x:c>
      <x:c r="T846" s="14" t="str">
        <x:v>Region B</x:v>
      </x:c>
      <x:c r="U846" s="28">
        <x:v>45986</x:v>
      </x:c>
      <x:c r="V846" s="30">
        <x:v>0</x:v>
      </x:c>
      <x:c r="W846" s="14" t="s">
        <x:v>109</x:v>
      </x:c>
      <x:c r="X846" s="14" t="s">
        <x:v>106</x:v>
      </x:c>
      <x:c r="Y846" s="32" t="str">
        <x:v>TRN-0845|20251125</x:v>
      </x:c>
      <x:c r="Z846" s="32" t="str" cm="1">
        <x:f t="array" ref="Z84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846" s="33" t="n">
        <x:f>--OR(WorkforceData[[#This Row],[Status]]="Active",WorkforceData[[#This Row],[Promoted]]="Yes",WorkforceData[[#This Row],[Total Days Worked]]&gt;=121)</x:f>
        <x:v>1</x:v>
      </x:c>
      <x:c r="AB846" s="33" t="n">
        <x:f>IF(AND(Q846="Terminated",R846="",O846=0),1,0)</x:f>
        <x:v>0</x:v>
      </x:c>
      <x:c r="AC846" s="33" t="n">
        <x:f>--OR(WorkforceData[[#This Row],[Status]]="Resigned",WorkforceData[[#This Row],[Status After Training]]="Withdrew")</x:f>
        <x:v>0</x:v>
      </x:c>
      <x:c r="AD846" s="34" t="n">
        <x:f>EOMONTH(WorkforceData[[#This Row],[Training Date]],0)</x:f>
        <x:v>45991</x:v>
      </x:c>
      <x:c r="AE846" s="32" t="str">
        <x:f>IF(M846&lt;H846,"Existing Employee",IF(U846="","No Assignment",IF(V846=0,"0 Days",IF(V846&lt;=7,"1-7 Days",IF(V846&lt;=14,"8-14 Days",IF(V846&lt;=21,"15-21 Days","21+ Days"))))))</x:f>
        <x:v>Existing Employee</x:v>
      </x:c>
      <x:c r="AF84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46" s="33" t="n">
        <x:f>--(WorkforceData[[#This Row],[Total Days Worked]]&gt;=121)</x:f>
        <x:v>1</x:v>
      </x:c>
    </x:row>
    <x:row r="847">
      <x:c r="A847" s="236" t="str">
        <x:v>TRN-0846</x:v>
      </x:c>
      <x:c r="B847" s="243"/>
      <x:c r="C847" s="243"/>
      <x:c r="D847" s="243"/>
      <x:c r="E847" s="243"/>
      <x:c r="F847" s="14" t="str">
        <x:v>Recruiter G</x:v>
      </x:c>
      <x:c r="G847" s="14" t="str">
        <x:v>Training Center A</x:v>
      </x:c>
      <x:c r="H847" s="28">
        <x:v>45773</x:v>
      </x:c>
      <x:c r="I847" s="14">
        <x:v>2025</x:v>
      </x:c>
      <x:c r="J847" s="14" t="s">
        <x:v>126</x:v>
      </x:c>
      <x:c r="K847" s="14">
        <x:v>14</x:v>
      </x:c>
      <x:c r="L847" s="29" t="s">
        <x:v>119</x:v>
      </x:c>
      <x:c r="M847" s="28">
        <x:v>45768</x:v>
      </x:c>
      <x:c r="N847" s="14"/>
      <x:c r="O847" s="14">
        <x:v>483</x:v>
      </x:c>
      <x:c r="P847" s="14" t="s">
        <x:v>120</x:v>
      </x:c>
      <x:c r="Q847" s="14" t="s">
        <x:v>25</x:v>
      </x:c>
      <x:c r="R847" s="14"/>
      <x:c r="S847" s="14" t="s">
        <x:v>108</x:v>
      </x:c>
      <x:c r="T847" s="14" t="str">
        <x:v>Region B</x:v>
      </x:c>
      <x:c r="U847" s="28">
        <x:v>45777</x:v>
      </x:c>
      <x:c r="V847" s="30">
        <x:v>4</x:v>
      </x:c>
      <x:c r="W847" s="14" t="s">
        <x:v>109</x:v>
      </x:c>
      <x:c r="X847" s="14" t="s">
        <x:v>106</x:v>
      </x:c>
      <x:c r="Y847" s="32" t="str">
        <x:v>TRN-0846|20250426</x:v>
      </x:c>
      <x:c r="Z847" s="32" t="str" cm="1">
        <x:f t="array" ref="Z84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847" s="33" t="n">
        <x:f>--OR(WorkforceData[[#This Row],[Status]]="Active",WorkforceData[[#This Row],[Promoted]]="Yes",WorkforceData[[#This Row],[Total Days Worked]]&gt;=121)</x:f>
        <x:v>1</x:v>
      </x:c>
      <x:c r="AB847" s="33" t="n">
        <x:f>IF(AND(Q847="Terminated",R847="",O847=0),1,0)</x:f>
        <x:v>0</x:v>
      </x:c>
      <x:c r="AC847" s="33" t="n">
        <x:f>--OR(WorkforceData[[#This Row],[Status]]="Resigned",WorkforceData[[#This Row],[Status After Training]]="Withdrew")</x:f>
        <x:v>0</x:v>
      </x:c>
      <x:c r="AD847" s="34" t="n">
        <x:f>EOMONTH(WorkforceData[[#This Row],[Training Date]],0)</x:f>
        <x:v>45777</x:v>
      </x:c>
      <x:c r="AE847" s="32" t="str">
        <x:f>IF(M847&lt;H847,"Existing Employee",IF(U847="","No Assignment",IF(V847=0,"0 Days",IF(V847&lt;=7,"1-7 Days",IF(V847&lt;=14,"8-14 Days",IF(V847&lt;=21,"15-21 Days","21+ Days"))))))</x:f>
        <x:v>Existing Employee</x:v>
      </x:c>
      <x:c r="AF84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47" s="33" t="n">
        <x:f>--(WorkforceData[[#This Row],[Total Days Worked]]&gt;=121)</x:f>
        <x:v>1</x:v>
      </x:c>
    </x:row>
    <x:row r="848">
      <x:c r="A848" s="236" t="str">
        <x:v>TRN-0847</x:v>
      </x:c>
      <x:c r="B848" s="243"/>
      <x:c r="C848" s="243"/>
      <x:c r="D848" s="243"/>
      <x:c r="E848" s="243"/>
      <x:c r="F848" s="14" t="str">
        <x:v>Recruiter A</x:v>
      </x:c>
      <x:c r="G848" s="14" t="str">
        <x:v>Training Center A</x:v>
      </x:c>
      <x:c r="H848" s="28">
        <x:v>45773</x:v>
      </x:c>
      <x:c r="I848" s="14">
        <x:v>2025</x:v>
      </x:c>
      <x:c r="J848" s="14" t="s">
        <x:v>126</x:v>
      </x:c>
      <x:c r="K848" s="14">
        <x:v>14</x:v>
      </x:c>
      <x:c r="L848" s="29" t="s">
        <x:v>119</x:v>
      </x:c>
      <x:c r="M848" s="28">
        <x:v>45773</x:v>
      </x:c>
      <x:c r="N848" s="14"/>
      <x:c r="O848" s="14">
        <x:v>478</x:v>
      </x:c>
      <x:c r="P848" s="14" t="s">
        <x:v>120</x:v>
      </x:c>
      <x:c r="Q848" s="14" t="s">
        <x:v>25</x:v>
      </x:c>
      <x:c r="R848" s="14"/>
      <x:c r="S848" s="14" t="s">
        <x:v>108</x:v>
      </x:c>
      <x:c r="T848" s="14" t="str">
        <x:v>Region D</x:v>
      </x:c>
      <x:c r="U848" s="28">
        <x:v>45780</x:v>
      </x:c>
      <x:c r="V848" s="30">
        <x:v>7</x:v>
      </x:c>
      <x:c r="W848" s="14" t="s">
        <x:v>109</x:v>
      </x:c>
      <x:c r="X848" s="14" t="s">
        <x:v>106</x:v>
      </x:c>
      <x:c r="Y848" s="32" t="str">
        <x:v>TRN-0847|20250426</x:v>
      </x:c>
      <x:c r="Z848" s="32" t="str" cm="1">
        <x:f t="array" ref="Z84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848" s="33" t="n">
        <x:f>--OR(WorkforceData[[#This Row],[Status]]="Active",WorkforceData[[#This Row],[Promoted]]="Yes",WorkforceData[[#This Row],[Total Days Worked]]&gt;=121)</x:f>
        <x:v>1</x:v>
      </x:c>
      <x:c r="AB848" s="33" t="n">
        <x:f>IF(AND(Q848="Terminated",R848="",O848=0),1,0)</x:f>
        <x:v>0</x:v>
      </x:c>
      <x:c r="AC848" s="33" t="n">
        <x:f>--OR(WorkforceData[[#This Row],[Status]]="Resigned",WorkforceData[[#This Row],[Status After Training]]="Withdrew")</x:f>
        <x:v>0</x:v>
      </x:c>
      <x:c r="AD848" s="34" t="n">
        <x:f>EOMONTH(WorkforceData[[#This Row],[Training Date]],0)</x:f>
        <x:v>45777</x:v>
      </x:c>
      <x:c r="AE848" s="32" t="str">
        <x:f>IF(M848&lt;H848,"Existing Employee",IF(U848="","No Assignment",IF(V848=0,"0 Days",IF(V848&lt;=7,"1-7 Days",IF(V848&lt;=14,"8-14 Days",IF(V848&lt;=21,"15-21 Days","21+ Days"))))))</x:f>
        <x:v>1-7 Days</x:v>
      </x:c>
      <x:c r="AF84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48" s="33" t="n">
        <x:f>--(WorkforceData[[#This Row],[Total Days Worked]]&gt;=121)</x:f>
        <x:v>1</x:v>
      </x:c>
    </x:row>
    <x:row r="849">
      <x:c r="A849" s="236" t="str">
        <x:v>TRN-0848</x:v>
      </x:c>
      <x:c r="B849" s="243"/>
      <x:c r="C849" s="243"/>
      <x:c r="D849" s="243"/>
      <x:c r="E849" s="243"/>
      <x:c r="F849" s="14" t="str">
        <x:v>Recruiter C</x:v>
      </x:c>
      <x:c r="G849" s="14" t="str">
        <x:v>Training Center A</x:v>
      </x:c>
      <x:c r="H849" s="28">
        <x:v>45773</x:v>
      </x:c>
      <x:c r="I849" s="14">
        <x:v>2025</x:v>
      </x:c>
      <x:c r="J849" s="14" t="s">
        <x:v>126</x:v>
      </x:c>
      <x:c r="K849" s="14">
        <x:v>14</x:v>
      </x:c>
      <x:c r="L849" s="29" t="s">
        <x:v>119</x:v>
      </x:c>
      <x:c r="M849" s="28">
        <x:v>45770</x:v>
      </x:c>
      <x:c r="N849" s="14"/>
      <x:c r="O849" s="14">
        <x:v>481</x:v>
      </x:c>
      <x:c r="P849" s="14" t="s">
        <x:v>120</x:v>
      </x:c>
      <x:c r="Q849" s="14" t="s">
        <x:v>25</x:v>
      </x:c>
      <x:c r="R849" s="14"/>
      <x:c r="S849" s="14" t="s">
        <x:v>108</x:v>
      </x:c>
      <x:c r="T849" s="14" t="str">
        <x:v>Region C</x:v>
      </x:c>
      <x:c r="U849" s="28">
        <x:v>45775</x:v>
      </x:c>
      <x:c r="V849" s="30">
        <x:v>2</x:v>
      </x:c>
      <x:c r="W849" s="14" t="s">
        <x:v>109</x:v>
      </x:c>
      <x:c r="X849" s="14" t="s">
        <x:v>125</x:v>
      </x:c>
      <x:c r="Y849" s="32" t="str">
        <x:v>TRN-0848|20250426</x:v>
      </x:c>
      <x:c r="Z849" s="32" t="str" cm="1">
        <x:f t="array" ref="Z84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849" s="33" t="n">
        <x:f>--OR(WorkforceData[[#This Row],[Status]]="Active",WorkforceData[[#This Row],[Promoted]]="Yes",WorkforceData[[#This Row],[Total Days Worked]]&gt;=121)</x:f>
        <x:v>1</x:v>
      </x:c>
      <x:c r="AB849" s="33" t="n">
        <x:f>IF(AND(Q849="Terminated",R849="",O849=0),1,0)</x:f>
        <x:v>0</x:v>
      </x:c>
      <x:c r="AC849" s="33" t="n">
        <x:f>--OR(WorkforceData[[#This Row],[Status]]="Resigned",WorkforceData[[#This Row],[Status After Training]]="Withdrew")</x:f>
        <x:v>0</x:v>
      </x:c>
      <x:c r="AD849" s="34" t="n">
        <x:f>EOMONTH(WorkforceData[[#This Row],[Training Date]],0)</x:f>
        <x:v>45777</x:v>
      </x:c>
      <x:c r="AE849" s="32" t="str">
        <x:f>IF(M849&lt;H849,"Existing Employee",IF(U849="","No Assignment",IF(V849=0,"0 Days",IF(V849&lt;=7,"1-7 Days",IF(V849&lt;=14,"8-14 Days",IF(V849&lt;=21,"15-21 Days","21+ Days"))))))</x:f>
        <x:v>Existing Employee</x:v>
      </x:c>
      <x:c r="AF84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49" s="33" t="n">
        <x:f>--(WorkforceData[[#This Row],[Total Days Worked]]&gt;=121)</x:f>
        <x:v>1</x:v>
      </x:c>
    </x:row>
    <x:row r="850">
      <x:c r="A850" s="236" t="str">
        <x:v>TRN-0849</x:v>
      </x:c>
      <x:c r="B850" s="243"/>
      <x:c r="C850" s="243"/>
      <x:c r="D850" s="243"/>
      <x:c r="E850" s="243"/>
      <x:c r="F850" s="14" t="str">
        <x:v>Recruiter A</x:v>
      </x:c>
      <x:c r="G850" s="14" t="str">
        <x:v>Training Center A</x:v>
      </x:c>
      <x:c r="H850" s="28">
        <x:v>45773</x:v>
      </x:c>
      <x:c r="I850" s="14">
        <x:v>2025</x:v>
      </x:c>
      <x:c r="J850" s="14" t="s">
        <x:v>126</x:v>
      </x:c>
      <x:c r="K850" s="14">
        <x:v>14</x:v>
      </x:c>
      <x:c r="L850" s="29" t="s">
        <x:v>119</x:v>
      </x:c>
      <x:c r="M850" s="28">
        <x:v>45770</x:v>
      </x:c>
      <x:c r="N850" s="14"/>
      <x:c r="O850" s="14">
        <x:v>481</x:v>
      </x:c>
      <x:c r="P850" s="14" t="s">
        <x:v>120</x:v>
      </x:c>
      <x:c r="Q850" s="14" t="s">
        <x:v>25</x:v>
      </x:c>
      <x:c r="R850" s="14"/>
      <x:c r="S850" s="14" t="s">
        <x:v>108</x:v>
      </x:c>
      <x:c r="T850" s="14" t="str">
        <x:v>Region A</x:v>
      </x:c>
      <x:c r="U850" s="28">
        <x:v>45784</x:v>
      </x:c>
      <x:c r="V850" s="30">
        <x:v>11</x:v>
      </x:c>
      <x:c r="W850" s="14" t="s">
        <x:v>45</x:v>
      </x:c>
      <x:c r="X850" s="14" t="s">
        <x:v>106</x:v>
      </x:c>
      <x:c r="Y850" s="32" t="str">
        <x:v>TRN-0849|20250426</x:v>
      </x:c>
      <x:c r="Z850" s="32" t="str" cm="1">
        <x:f t="array" ref="Z85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850" s="33" t="n">
        <x:f>--OR(WorkforceData[[#This Row],[Status]]="Active",WorkforceData[[#This Row],[Promoted]]="Yes",WorkforceData[[#This Row],[Total Days Worked]]&gt;=121)</x:f>
        <x:v>1</x:v>
      </x:c>
      <x:c r="AB850" s="33" t="n">
        <x:f>IF(AND(Q850="Terminated",R850="",O850=0),1,0)</x:f>
        <x:v>0</x:v>
      </x:c>
      <x:c r="AC850" s="33" t="n">
        <x:f>--OR(WorkforceData[[#This Row],[Status]]="Resigned",WorkforceData[[#This Row],[Status After Training]]="Withdrew")</x:f>
        <x:v>0</x:v>
      </x:c>
      <x:c r="AD850" s="34" t="n">
        <x:f>EOMONTH(WorkforceData[[#This Row],[Training Date]],0)</x:f>
        <x:v>45777</x:v>
      </x:c>
      <x:c r="AE850" s="32" t="str">
        <x:f>IF(M850&lt;H850,"Existing Employee",IF(U850="","No Assignment",IF(V850=0,"0 Days",IF(V850&lt;=7,"1-7 Days",IF(V850&lt;=14,"8-14 Days",IF(V850&lt;=21,"15-21 Days","21+ Days"))))))</x:f>
        <x:v>Existing Employee</x:v>
      </x:c>
      <x:c r="AF85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50" s="33" t="n">
        <x:f>--(WorkforceData[[#This Row],[Total Days Worked]]&gt;=121)</x:f>
        <x:v>1</x:v>
      </x:c>
    </x:row>
    <x:row r="851">
      <x:c r="A851" s="236" t="str">
        <x:v>TRN-0850</x:v>
      </x:c>
      <x:c r="B851" s="243"/>
      <x:c r="C851" s="243"/>
      <x:c r="D851" s="243"/>
      <x:c r="E851" s="243"/>
      <x:c r="F851" s="14" t="str">
        <x:v>Recruiter D</x:v>
      </x:c>
      <x:c r="G851" s="14" t="str">
        <x:v>Training Center A</x:v>
      </x:c>
      <x:c r="H851" s="28">
        <x:v>45773</x:v>
      </x:c>
      <x:c r="I851" s="14">
        <x:v>2025</x:v>
      </x:c>
      <x:c r="J851" s="14" t="s">
        <x:v>126</x:v>
      </x:c>
      <x:c r="K851" s="14">
        <x:v>14</x:v>
      </x:c>
      <x:c r="L851" s="29" t="s">
        <x:v>119</x:v>
      </x:c>
      <x:c r="M851" s="28">
        <x:v>45763</x:v>
      </x:c>
      <x:c r="N851" s="14"/>
      <x:c r="O851" s="14">
        <x:v>488</x:v>
      </x:c>
      <x:c r="P851" s="14" t="s">
        <x:v>120</x:v>
      </x:c>
      <x:c r="Q851" s="14" t="s">
        <x:v>25</x:v>
      </x:c>
      <x:c r="R851" s="14"/>
      <x:c r="S851" s="14" t="s">
        <x:v>108</x:v>
      </x:c>
      <x:c r="T851" s="14" t="str">
        <x:v>Region A</x:v>
      </x:c>
      <x:c r="U851" s="28">
        <x:v>45787</x:v>
      </x:c>
      <x:c r="V851" s="30">
        <x:v>14</x:v>
      </x:c>
      <x:c r="W851" s="14" t="s">
        <x:v>45</x:v>
      </x:c>
      <x:c r="X851" s="14" t="s">
        <x:v>106</x:v>
      </x:c>
      <x:c r="Y851" s="32" t="str">
        <x:v>TRN-0850|20250426</x:v>
      </x:c>
      <x:c r="Z851" s="32" t="str" cm="1">
        <x:f t="array" ref="Z85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851" s="33" t="n">
        <x:f>--OR(WorkforceData[[#This Row],[Status]]="Active",WorkforceData[[#This Row],[Promoted]]="Yes",WorkforceData[[#This Row],[Total Days Worked]]&gt;=121)</x:f>
        <x:v>1</x:v>
      </x:c>
      <x:c r="AB851" s="33" t="n">
        <x:f>IF(AND(Q851="Terminated",R851="",O851=0),1,0)</x:f>
        <x:v>0</x:v>
      </x:c>
      <x:c r="AC851" s="33" t="n">
        <x:f>--OR(WorkforceData[[#This Row],[Status]]="Resigned",WorkforceData[[#This Row],[Status After Training]]="Withdrew")</x:f>
        <x:v>0</x:v>
      </x:c>
      <x:c r="AD851" s="34" t="n">
        <x:f>EOMONTH(WorkforceData[[#This Row],[Training Date]],0)</x:f>
        <x:v>45777</x:v>
      </x:c>
      <x:c r="AE851" s="32" t="str">
        <x:f>IF(M851&lt;H851,"Existing Employee",IF(U851="","No Assignment",IF(V851=0,"0 Days",IF(V851&lt;=7,"1-7 Days",IF(V851&lt;=14,"8-14 Days",IF(V851&lt;=21,"15-21 Days","21+ Days"))))))</x:f>
        <x:v>Existing Employee</x:v>
      </x:c>
      <x:c r="AF85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51" s="33" t="n">
        <x:f>--(WorkforceData[[#This Row],[Total Days Worked]]&gt;=121)</x:f>
        <x:v>1</x:v>
      </x:c>
    </x:row>
    <x:row r="852">
      <x:c r="A852" s="236" t="str">
        <x:v>TRN-0851</x:v>
      </x:c>
      <x:c r="B852" s="243"/>
      <x:c r="C852" s="243"/>
      <x:c r="D852" s="243"/>
      <x:c r="E852" s="243"/>
      <x:c r="F852" s="14" t="str">
        <x:v>Recruiter E</x:v>
      </x:c>
      <x:c r="G852" s="14" t="str">
        <x:v>Training Center A</x:v>
      </x:c>
      <x:c r="H852" s="28">
        <x:v>45773</x:v>
      </x:c>
      <x:c r="I852" s="14">
        <x:v>2025</x:v>
      </x:c>
      <x:c r="J852" s="14" t="s">
        <x:v>126</x:v>
      </x:c>
      <x:c r="K852" s="14">
        <x:v>14</x:v>
      </x:c>
      <x:c r="L852" s="29" t="s">
        <x:v>119</x:v>
      </x:c>
      <x:c r="M852" s="28">
        <x:v>45766</x:v>
      </x:c>
      <x:c r="N852" s="14"/>
      <x:c r="O852" s="14">
        <x:v>485</x:v>
      </x:c>
      <x:c r="P852" s="14" t="s">
        <x:v>120</x:v>
      </x:c>
      <x:c r="Q852" s="14" t="s">
        <x:v>25</x:v>
      </x:c>
      <x:c r="R852" s="14"/>
      <x:c r="S852" s="14" t="s">
        <x:v>108</x:v>
      </x:c>
      <x:c r="T852" s="14" t="str">
        <x:v>Region B</x:v>
      </x:c>
      <x:c r="U852" s="28">
        <x:v>45799</x:v>
      </x:c>
      <x:c r="V852" s="30">
        <x:v>26</x:v>
      </x:c>
      <x:c r="W852" s="14" t="s">
        <x:v>112</x:v>
      </x:c>
      <x:c r="X852" s="14" t="s">
        <x:v>106</x:v>
      </x:c>
      <x:c r="Y852" s="32" t="str">
        <x:v>TRN-0851|20250426</x:v>
      </x:c>
      <x:c r="Z852" s="32" t="str" cm="1">
        <x:f t="array" ref="Z85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852" s="33" t="n">
        <x:f>--OR(WorkforceData[[#This Row],[Status]]="Active",WorkforceData[[#This Row],[Promoted]]="Yes",WorkforceData[[#This Row],[Total Days Worked]]&gt;=121)</x:f>
        <x:v>1</x:v>
      </x:c>
      <x:c r="AB852" s="33" t="n">
        <x:f>IF(AND(Q852="Terminated",R852="",O852=0),1,0)</x:f>
        <x:v>0</x:v>
      </x:c>
      <x:c r="AC852" s="33" t="n">
        <x:f>--OR(WorkforceData[[#This Row],[Status]]="Resigned",WorkforceData[[#This Row],[Status After Training]]="Withdrew")</x:f>
        <x:v>0</x:v>
      </x:c>
      <x:c r="AD852" s="34" t="n">
        <x:f>EOMONTH(WorkforceData[[#This Row],[Training Date]],0)</x:f>
        <x:v>45777</x:v>
      </x:c>
      <x:c r="AE852" s="32" t="str">
        <x:f>IF(M852&lt;H852,"Existing Employee",IF(U852="","No Assignment",IF(V852=0,"0 Days",IF(V852&lt;=7,"1-7 Days",IF(V852&lt;=14,"8-14 Days",IF(V852&lt;=21,"15-21 Days","21+ Days"))))))</x:f>
        <x:v>Existing Employee</x:v>
      </x:c>
      <x:c r="AF85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52" s="33" t="n">
        <x:f>--(WorkforceData[[#This Row],[Total Days Worked]]&gt;=121)</x:f>
        <x:v>1</x:v>
      </x:c>
    </x:row>
    <x:row r="853">
      <x:c r="A853" s="236" t="str">
        <x:v>TRN-0852</x:v>
      </x:c>
      <x:c r="B853" s="243"/>
      <x:c r="C853" s="243"/>
      <x:c r="D853" s="243"/>
      <x:c r="E853" s="243"/>
      <x:c r="F853" s="14" t="str">
        <x:v>Recruiter B</x:v>
      </x:c>
      <x:c r="G853" s="14" t="str">
        <x:v>Training Center A</x:v>
      </x:c>
      <x:c r="H853" s="28">
        <x:v>45773</x:v>
      </x:c>
      <x:c r="I853" s="14">
        <x:v>2025</x:v>
      </x:c>
      <x:c r="J853" s="14" t="s">
        <x:v>126</x:v>
      </x:c>
      <x:c r="K853" s="14">
        <x:v>14</x:v>
      </x:c>
      <x:c r="L853" s="29" t="s">
        <x:v>119</x:v>
      </x:c>
      <x:c r="M853" s="28">
        <x:v>45771</x:v>
      </x:c>
      <x:c r="N853" s="14"/>
      <x:c r="O853" s="14">
        <x:v>480</x:v>
      </x:c>
      <x:c r="P853" s="14" t="s">
        <x:v>120</x:v>
      </x:c>
      <x:c r="Q853" s="14" t="s">
        <x:v>25</x:v>
      </x:c>
      <x:c r="R853" s="14"/>
      <x:c r="S853" s="14" t="s">
        <x:v>108</x:v>
      </x:c>
      <x:c r="T853" s="14" t="str">
        <x:v>Region D</x:v>
      </x:c>
      <x:c r="U853" s="28">
        <x:v>45801</x:v>
      </x:c>
      <x:c r="V853" s="30">
        <x:v>28</x:v>
      </x:c>
      <x:c r="W853" s="14" t="s">
        <x:v>112</x:v>
      </x:c>
      <x:c r="X853" s="14" t="s">
        <x:v>106</x:v>
      </x:c>
      <x:c r="Y853" s="32" t="str">
        <x:v>TRN-0852|20250426</x:v>
      </x:c>
      <x:c r="Z853" s="32" t="str" cm="1">
        <x:f t="array" ref="Z85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853" s="33" t="n">
        <x:f>--OR(WorkforceData[[#This Row],[Status]]="Active",WorkforceData[[#This Row],[Promoted]]="Yes",WorkforceData[[#This Row],[Total Days Worked]]&gt;=121)</x:f>
        <x:v>1</x:v>
      </x:c>
      <x:c r="AB853" s="33" t="n">
        <x:f>IF(AND(Q853="Terminated",R853="",O853=0),1,0)</x:f>
        <x:v>0</x:v>
      </x:c>
      <x:c r="AC853" s="33" t="n">
        <x:f>--OR(WorkforceData[[#This Row],[Status]]="Resigned",WorkforceData[[#This Row],[Status After Training]]="Withdrew")</x:f>
        <x:v>0</x:v>
      </x:c>
      <x:c r="AD853" s="34" t="n">
        <x:f>EOMONTH(WorkforceData[[#This Row],[Training Date]],0)</x:f>
        <x:v>45777</x:v>
      </x:c>
      <x:c r="AE853" s="32" t="str">
        <x:f>IF(M853&lt;H853,"Existing Employee",IF(U853="","No Assignment",IF(V853=0,"0 Days",IF(V853&lt;=7,"1-7 Days",IF(V853&lt;=14,"8-14 Days",IF(V853&lt;=21,"15-21 Days","21+ Days"))))))</x:f>
        <x:v>Existing Employee</x:v>
      </x:c>
      <x:c r="AF85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53" s="33" t="n">
        <x:f>--(WorkforceData[[#This Row],[Total Days Worked]]&gt;=121)</x:f>
        <x:v>1</x:v>
      </x:c>
    </x:row>
    <x:row r="854">
      <x:c r="A854" s="236" t="str">
        <x:v>TRN-0853</x:v>
      </x:c>
      <x:c r="B854" s="243"/>
      <x:c r="C854" s="243"/>
      <x:c r="D854" s="243"/>
      <x:c r="E854" s="243"/>
      <x:c r="F854" s="14" t="str">
        <x:v>Recruiter G</x:v>
      </x:c>
      <x:c r="G854" s="14" t="str">
        <x:v>Training Center A</x:v>
      </x:c>
      <x:c r="H854" s="28">
        <x:v>45773</x:v>
      </x:c>
      <x:c r="I854" s="14">
        <x:v>2025</x:v>
      </x:c>
      <x:c r="J854" s="14" t="s">
        <x:v>126</x:v>
      </x:c>
      <x:c r="K854" s="14">
        <x:v>14</x:v>
      </x:c>
      <x:c r="L854" s="29" t="s">
        <x:v>119</x:v>
      </x:c>
      <x:c r="M854" s="28">
        <x:v>45770</x:v>
      </x:c>
      <x:c r="N854" s="14"/>
      <x:c r="O854" s="14">
        <x:v>481</x:v>
      </x:c>
      <x:c r="P854" s="14" t="s">
        <x:v>120</x:v>
      </x:c>
      <x:c r="Q854" s="14" t="s">
        <x:v>25</x:v>
      </x:c>
      <x:c r="R854" s="14"/>
      <x:c r="S854" s="14" t="s">
        <x:v>108</x:v>
      </x:c>
      <x:c r="T854" s="14" t="str">
        <x:v>Region C</x:v>
      </x:c>
      <x:c r="U854" s="28">
        <x:v>45774</x:v>
      </x:c>
      <x:c r="V854" s="30">
        <x:v>1</x:v>
      </x:c>
      <x:c r="W854" s="14" t="s">
        <x:v>109</x:v>
      </x:c>
      <x:c r="X854" s="14" t="s">
        <x:v>106</x:v>
      </x:c>
      <x:c r="Y854" s="32" t="str">
        <x:v>TRN-0853|20250426</x:v>
      </x:c>
      <x:c r="Z854" s="32" t="str" cm="1">
        <x:f t="array" ref="Z85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854" s="33" t="n">
        <x:f>--OR(WorkforceData[[#This Row],[Status]]="Active",WorkforceData[[#This Row],[Promoted]]="Yes",WorkforceData[[#This Row],[Total Days Worked]]&gt;=121)</x:f>
        <x:v>1</x:v>
      </x:c>
      <x:c r="AB854" s="33" t="n">
        <x:f>IF(AND(Q854="Terminated",R854="",O854=0),1,0)</x:f>
        <x:v>0</x:v>
      </x:c>
      <x:c r="AC854" s="33" t="n">
        <x:f>--OR(WorkforceData[[#This Row],[Status]]="Resigned",WorkforceData[[#This Row],[Status After Training]]="Withdrew")</x:f>
        <x:v>0</x:v>
      </x:c>
      <x:c r="AD854" s="34" t="n">
        <x:f>EOMONTH(WorkforceData[[#This Row],[Training Date]],0)</x:f>
        <x:v>45777</x:v>
      </x:c>
      <x:c r="AE854" s="32" t="str">
        <x:f>IF(M854&lt;H854,"Existing Employee",IF(U854="","No Assignment",IF(V854=0,"0 Days",IF(V854&lt;=7,"1-7 Days",IF(V854&lt;=14,"8-14 Days",IF(V854&lt;=21,"15-21 Days","21+ Days"))))))</x:f>
        <x:v>Existing Employee</x:v>
      </x:c>
      <x:c r="AF85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54" s="33" t="n">
        <x:f>--(WorkforceData[[#This Row],[Total Days Worked]]&gt;=121)</x:f>
        <x:v>1</x:v>
      </x:c>
    </x:row>
    <x:row r="855">
      <x:c r="A855" s="236" t="str">
        <x:v>TRN-0854</x:v>
      </x:c>
      <x:c r="B855" s="243"/>
      <x:c r="C855" s="243"/>
      <x:c r="D855" s="243"/>
      <x:c r="E855" s="243"/>
      <x:c r="F855" s="14" t="str">
        <x:v>Recruiter C</x:v>
      </x:c>
      <x:c r="G855" s="14" t="str">
        <x:v>Training Center A</x:v>
      </x:c>
      <x:c r="H855" s="28">
        <x:v>45773</x:v>
      </x:c>
      <x:c r="I855" s="14">
        <x:v>2025</x:v>
      </x:c>
      <x:c r="J855" s="14" t="s">
        <x:v>126</x:v>
      </x:c>
      <x:c r="K855" s="14">
        <x:v>14</x:v>
      </x:c>
      <x:c r="L855" s="29" t="s">
        <x:v>119</x:v>
      </x:c>
      <x:c r="M855" s="28">
        <x:v>45771</x:v>
      </x:c>
      <x:c r="N855" s="28">
        <x:v>45784</x:v>
      </x:c>
      <x:c r="O855" s="14">
        <x:v>13</x:v>
      </x:c>
      <x:c r="P855" s="14" t="s">
        <x:v>102</x:v>
      </x:c>
      <x:c r="Q855" s="14" t="s">
        <x:v>103</x:v>
      </x:c>
      <x:c r="R855" s="14" t="s">
        <x:v>111</x:v>
      </x:c>
      <x:c r="S855" s="14" t="s">
        <x:v>105</x:v>
      </x:c>
      <x:c r="T855" s="14" t="str">
        <x:v>Region A</x:v>
      </x:c>
      <x:c r="U855" s="28">
        <x:v>45778</x:v>
      </x:c>
      <x:c r="V855" s="30">
        <x:v>5</x:v>
      </x:c>
      <x:c r="W855" s="14" t="s">
        <x:v>109</x:v>
      </x:c>
      <x:c r="X855" s="14" t="s">
        <x:v>106</x:v>
      </x:c>
      <x:c r="Y855" s="32" t="str">
        <x:v>TRN-0854|20250426</x:v>
      </x:c>
      <x:c r="Z855" s="32" t="str" cm="1">
        <x:f t="array" ref="Z85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855" s="33" t="n">
        <x:f>--OR(WorkforceData[[#This Row],[Status]]="Active",WorkforceData[[#This Row],[Promoted]]="Yes",WorkforceData[[#This Row],[Total Days Worked]]&gt;=121)</x:f>
        <x:v>0</x:v>
      </x:c>
      <x:c r="AB855" s="33" t="n">
        <x:f>IF(AND(Q855="Terminated",R855="",O855=0),1,0)</x:f>
        <x:v>0</x:v>
      </x:c>
      <x:c r="AC855" s="33" t="n">
        <x:f>--OR(WorkforceData[[#This Row],[Status]]="Resigned",WorkforceData[[#This Row],[Status After Training]]="Withdrew")</x:f>
        <x:v>1</x:v>
      </x:c>
      <x:c r="AD855" s="34" t="n">
        <x:f>EOMONTH(WorkforceData[[#This Row],[Training Date]],0)</x:f>
        <x:v>45777</x:v>
      </x:c>
      <x:c r="AE855" s="32" t="str">
        <x:f>IF(M855&lt;H855,"Existing Employee",IF(U855="","No Assignment",IF(V855=0,"0 Days",IF(V855&lt;=7,"1-7 Days",IF(V855&lt;=14,"8-14 Days",IF(V855&lt;=21,"15-21 Days","21+ Days"))))))</x:f>
        <x:v>Existing Employee</x:v>
      </x:c>
      <x:c r="AF85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855" s="33" t="n">
        <x:f>--(WorkforceData[[#This Row],[Total Days Worked]]&gt;=121)</x:f>
        <x:v>0</x:v>
      </x:c>
    </x:row>
    <x:row r="856">
      <x:c r="A856" s="236" t="str">
        <x:v>TRN-0855</x:v>
      </x:c>
      <x:c r="B856" s="243"/>
      <x:c r="C856" s="243"/>
      <x:c r="D856" s="243"/>
      <x:c r="E856" s="243"/>
      <x:c r="F856" s="14" t="str">
        <x:v>Recruiter G</x:v>
      </x:c>
      <x:c r="G856" s="14" t="str">
        <x:v>Training Center A</x:v>
      </x:c>
      <x:c r="H856" s="28">
        <x:v>45773</x:v>
      </x:c>
      <x:c r="I856" s="14">
        <x:v>2025</x:v>
      </x:c>
      <x:c r="J856" s="14" t="s">
        <x:v>126</x:v>
      </x:c>
      <x:c r="K856" s="14">
        <x:v>14</x:v>
      </x:c>
      <x:c r="L856" s="29" t="s">
        <x:v>119</x:v>
      </x:c>
      <x:c r="M856" s="28">
        <x:v>45766</x:v>
      </x:c>
      <x:c r="N856" s="14"/>
      <x:c r="O856" s="14">
        <x:v>485</x:v>
      </x:c>
      <x:c r="P856" s="14" t="s">
        <x:v>120</x:v>
      </x:c>
      <x:c r="Q856" s="14" t="s">
        <x:v>25</x:v>
      </x:c>
      <x:c r="R856" s="14"/>
      <x:c r="S856" s="14" t="s">
        <x:v>108</x:v>
      </x:c>
      <x:c r="T856" s="14" t="str">
        <x:v>Region E</x:v>
      </x:c>
      <x:c r="U856" s="28">
        <x:v>45778</x:v>
      </x:c>
      <x:c r="V856" s="30">
        <x:v>5</x:v>
      </x:c>
      <x:c r="W856" s="14" t="s">
        <x:v>109</x:v>
      </x:c>
      <x:c r="X856" s="14" t="s">
        <x:v>106</x:v>
      </x:c>
      <x:c r="Y856" s="32" t="str">
        <x:v>TRN-0855|20250426</x:v>
      </x:c>
      <x:c r="Z856" s="32" t="str" cm="1">
        <x:f t="array" ref="Z85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856" s="33" t="n">
        <x:f>--OR(WorkforceData[[#This Row],[Status]]="Active",WorkforceData[[#This Row],[Promoted]]="Yes",WorkforceData[[#This Row],[Total Days Worked]]&gt;=121)</x:f>
        <x:v>1</x:v>
      </x:c>
      <x:c r="AB856" s="33" t="n">
        <x:f>IF(AND(Q856="Terminated",R856="",O856=0),1,0)</x:f>
        <x:v>0</x:v>
      </x:c>
      <x:c r="AC856" s="33" t="n">
        <x:f>--OR(WorkforceData[[#This Row],[Status]]="Resigned",WorkforceData[[#This Row],[Status After Training]]="Withdrew")</x:f>
        <x:v>0</x:v>
      </x:c>
      <x:c r="AD856" s="34" t="n">
        <x:f>EOMONTH(WorkforceData[[#This Row],[Training Date]],0)</x:f>
        <x:v>45777</x:v>
      </x:c>
      <x:c r="AE856" s="32" t="str">
        <x:f>IF(M856&lt;H856,"Existing Employee",IF(U856="","No Assignment",IF(V856=0,"0 Days",IF(V856&lt;=7,"1-7 Days",IF(V856&lt;=14,"8-14 Days",IF(V856&lt;=21,"15-21 Days","21+ Days"))))))</x:f>
        <x:v>Existing Employee</x:v>
      </x:c>
      <x:c r="AF85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56" s="33" t="n">
        <x:f>--(WorkforceData[[#This Row],[Total Days Worked]]&gt;=121)</x:f>
        <x:v>1</x:v>
      </x:c>
    </x:row>
    <x:row r="857">
      <x:c r="A857" s="236" t="str">
        <x:v>TRN-0856</x:v>
      </x:c>
      <x:c r="B857" s="243"/>
      <x:c r="C857" s="243"/>
      <x:c r="D857" s="243"/>
      <x:c r="E857" s="243"/>
      <x:c r="F857" s="14" t="str">
        <x:v>Recruiter C</x:v>
      </x:c>
      <x:c r="G857" s="14" t="str">
        <x:v>Training Center A</x:v>
      </x:c>
      <x:c r="H857" s="28">
        <x:v>45773</x:v>
      </x:c>
      <x:c r="I857" s="14">
        <x:v>2025</x:v>
      </x:c>
      <x:c r="J857" s="14" t="s">
        <x:v>126</x:v>
      </x:c>
      <x:c r="K857" s="14">
        <x:v>14</x:v>
      </x:c>
      <x:c r="L857" s="29" t="s">
        <x:v>119</x:v>
      </x:c>
      <x:c r="M857" s="28">
        <x:v>45771</x:v>
      </x:c>
      <x:c r="N857" s="14"/>
      <x:c r="O857" s="14">
        <x:v>480</x:v>
      </x:c>
      <x:c r="P857" s="14" t="s">
        <x:v>120</x:v>
      </x:c>
      <x:c r="Q857" s="14" t="s">
        <x:v>25</x:v>
      </x:c>
      <x:c r="R857" s="14"/>
      <x:c r="S857" s="14" t="s">
        <x:v>108</x:v>
      </x:c>
      <x:c r="T857" s="14" t="str">
        <x:v>Region D</x:v>
      </x:c>
      <x:c r="U857" s="28">
        <x:v>45797</x:v>
      </x:c>
      <x:c r="V857" s="30">
        <x:v>24</x:v>
      </x:c>
      <x:c r="W857" s="14" t="s">
        <x:v>112</x:v>
      </x:c>
      <x:c r="X857" s="14" t="s">
        <x:v>106</x:v>
      </x:c>
      <x:c r="Y857" s="32" t="str">
        <x:v>TRN-0856|20250426</x:v>
      </x:c>
      <x:c r="Z857" s="32" t="str" cm="1">
        <x:f t="array" ref="Z85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857" s="33" t="n">
        <x:f>--OR(WorkforceData[[#This Row],[Status]]="Active",WorkforceData[[#This Row],[Promoted]]="Yes",WorkforceData[[#This Row],[Total Days Worked]]&gt;=121)</x:f>
        <x:v>1</x:v>
      </x:c>
      <x:c r="AB857" s="33" t="n">
        <x:f>IF(AND(Q857="Terminated",R857="",O857=0),1,0)</x:f>
        <x:v>0</x:v>
      </x:c>
      <x:c r="AC857" s="33" t="n">
        <x:f>--OR(WorkforceData[[#This Row],[Status]]="Resigned",WorkforceData[[#This Row],[Status After Training]]="Withdrew")</x:f>
        <x:v>0</x:v>
      </x:c>
      <x:c r="AD857" s="34" t="n">
        <x:f>EOMONTH(WorkforceData[[#This Row],[Training Date]],0)</x:f>
        <x:v>45777</x:v>
      </x:c>
      <x:c r="AE857" s="32" t="str">
        <x:f>IF(M857&lt;H857,"Existing Employee",IF(U857="","No Assignment",IF(V857=0,"0 Days",IF(V857&lt;=7,"1-7 Days",IF(V857&lt;=14,"8-14 Days",IF(V857&lt;=21,"15-21 Days","21+ Days"))))))</x:f>
        <x:v>Existing Employee</x:v>
      </x:c>
      <x:c r="AF85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57" s="33" t="n">
        <x:f>--(WorkforceData[[#This Row],[Total Days Worked]]&gt;=121)</x:f>
        <x:v>1</x:v>
      </x:c>
    </x:row>
    <x:row r="858">
      <x:c r="A858" s="236" t="str">
        <x:v>TRN-0857</x:v>
      </x:c>
      <x:c r="B858" s="243"/>
      <x:c r="C858" s="243"/>
      <x:c r="D858" s="243"/>
      <x:c r="E858" s="243"/>
      <x:c r="F858" s="14" t="str">
        <x:v>Recruiter H</x:v>
      </x:c>
      <x:c r="G858" s="14" t="str">
        <x:v>Training Center A</x:v>
      </x:c>
      <x:c r="H858" s="28">
        <x:v>45773</x:v>
      </x:c>
      <x:c r="I858" s="14">
        <x:v>2025</x:v>
      </x:c>
      <x:c r="J858" s="14" t="s">
        <x:v>126</x:v>
      </x:c>
      <x:c r="K858" s="14">
        <x:v>14</x:v>
      </x:c>
      <x:c r="L858" s="29" t="s">
        <x:v>119</x:v>
      </x:c>
      <x:c r="M858" s="28">
        <x:v>45771</x:v>
      </x:c>
      <x:c r="N858" s="14"/>
      <x:c r="O858" s="14">
        <x:v>480</x:v>
      </x:c>
      <x:c r="P858" s="14" t="s">
        <x:v>120</x:v>
      </x:c>
      <x:c r="Q858" s="14" t="s">
        <x:v>25</x:v>
      </x:c>
      <x:c r="R858" s="14"/>
      <x:c r="S858" s="14" t="s">
        <x:v>105</x:v>
      </x:c>
      <x:c r="T858" s="14"/>
      <x:c r="U858" s="28"/>
      <x:c r="V858" s="30"/>
      <x:c r="W858" s="14"/>
      <x:c r="X858" s="14" t="s">
        <x:v>71</x:v>
      </x:c>
      <x:c r="Y858" s="32" t="str">
        <x:v>TRN-0857|20250426</x:v>
      </x:c>
      <x:c r="Z858" s="32" t="str" cm="1">
        <x:f t="array" ref="Z85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858" s="33" t="n">
        <x:f>--OR(WorkforceData[[#This Row],[Status]]="Active",WorkforceData[[#This Row],[Promoted]]="Yes",WorkforceData[[#This Row],[Total Days Worked]]&gt;=121)</x:f>
        <x:v>1</x:v>
      </x:c>
      <x:c r="AB858" s="33" t="n">
        <x:f>IF(AND(Q858="Terminated",R858="",O858=0),1,0)</x:f>
        <x:v>0</x:v>
      </x:c>
      <x:c r="AC858" s="33" t="n">
        <x:f>--OR(WorkforceData[[#This Row],[Status]]="Resigned",WorkforceData[[#This Row],[Status After Training]]="Withdrew")</x:f>
        <x:v>0</x:v>
      </x:c>
      <x:c r="AD858" s="34" t="n">
        <x:f>EOMONTH(WorkforceData[[#This Row],[Training Date]],0)</x:f>
        <x:v>45777</x:v>
      </x:c>
      <x:c r="AE858" s="32" t="str">
        <x:f>IF(M858&lt;H858,"Existing Employee",IF(U858="","No Assignment",IF(V858=0,"0 Days",IF(V858&lt;=7,"1-7 Days",IF(V858&lt;=14,"8-14 Days",IF(V858&lt;=21,"15-21 Days","21+ Days"))))))</x:f>
        <x:v>Existing Employee</x:v>
      </x:c>
      <x:c r="AF85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58" s="33" t="n">
        <x:f>--(WorkforceData[[#This Row],[Total Days Worked]]&gt;=121)</x:f>
        <x:v>1</x:v>
      </x:c>
    </x:row>
    <x:row r="859">
      <x:c r="A859" s="236" t="str">
        <x:v>TRN-0858</x:v>
      </x:c>
      <x:c r="B859" s="243"/>
      <x:c r="C859" s="243"/>
      <x:c r="D859" s="243"/>
      <x:c r="E859" s="243"/>
      <x:c r="F859" s="14" t="str">
        <x:v>Recruiter E</x:v>
      </x:c>
      <x:c r="G859" s="14" t="str">
        <x:v>Training Center A</x:v>
      </x:c>
      <x:c r="H859" s="28">
        <x:v>45773</x:v>
      </x:c>
      <x:c r="I859" s="14">
        <x:v>2025</x:v>
      </x:c>
      <x:c r="J859" s="14" t="s">
        <x:v>126</x:v>
      </x:c>
      <x:c r="K859" s="14">
        <x:v>14</x:v>
      </x:c>
      <x:c r="L859" s="29" t="s">
        <x:v>119</x:v>
      </x:c>
      <x:c r="M859" s="28">
        <x:v>45773</x:v>
      </x:c>
      <x:c r="N859" s="28">
        <x:v>45863</x:v>
      </x:c>
      <x:c r="O859" s="14">
        <x:v>90</x:v>
      </x:c>
      <x:c r="P859" s="14" t="s">
        <x:v>110</x:v>
      </x:c>
      <x:c r="Q859" s="14" t="s">
        <x:v>103</x:v>
      </x:c>
      <x:c r="R859" s="14" t="s">
        <x:v>104</x:v>
      </x:c>
      <x:c r="S859" s="14" t="s">
        <x:v>105</x:v>
      </x:c>
      <x:c r="T859" s="14" t="str">
        <x:v>Region B</x:v>
      </x:c>
      <x:c r="U859" s="28">
        <x:v>45792</x:v>
      </x:c>
      <x:c r="V859" s="30">
        <x:v>19</x:v>
      </x:c>
      <x:c r="W859" s="14" t="s">
        <x:v>112</x:v>
      </x:c>
      <x:c r="X859" s="14" t="s">
        <x:v>106</x:v>
      </x:c>
      <x:c r="Y859" s="32" t="str">
        <x:v>TRN-0858|20250426</x:v>
      </x:c>
      <x:c r="Z859" s="32" t="str" cm="1">
        <x:f t="array" ref="Z85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859" s="33" t="n">
        <x:f>--OR(WorkforceData[[#This Row],[Status]]="Active",WorkforceData[[#This Row],[Promoted]]="Yes",WorkforceData[[#This Row],[Total Days Worked]]&gt;=121)</x:f>
        <x:v>0</x:v>
      </x:c>
      <x:c r="AB859" s="33" t="n">
        <x:f>IF(AND(Q859="Terminated",R859="",O859=0),1,0)</x:f>
        <x:v>0</x:v>
      </x:c>
      <x:c r="AC859" s="33" t="n">
        <x:f>--OR(WorkforceData[[#This Row],[Status]]="Resigned",WorkforceData[[#This Row],[Status After Training]]="Withdrew")</x:f>
        <x:v>1</x:v>
      </x:c>
      <x:c r="AD859" s="34" t="n">
        <x:f>EOMONTH(WorkforceData[[#This Row],[Training Date]],0)</x:f>
        <x:v>45777</x:v>
      </x:c>
      <x:c r="AE859" s="32" t="str">
        <x:f>IF(M859&lt;H859,"Existing Employee",IF(U859="","No Assignment",IF(V859=0,"0 Days",IF(V859&lt;=7,"1-7 Days",IF(V859&lt;=14,"8-14 Days",IF(V859&lt;=21,"15-21 Days","21+ Days"))))))</x:f>
        <x:v>15-21 Days</x:v>
      </x:c>
      <x:c r="AF85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61-90 Days</x:v>
      </x:c>
      <x:c r="AG859" s="33" t="n">
        <x:f>--(WorkforceData[[#This Row],[Total Days Worked]]&gt;=121)</x:f>
        <x:v>0</x:v>
      </x:c>
    </x:row>
    <x:row r="860">
      <x:c r="A860" s="236" t="str">
        <x:v>TRN-0859</x:v>
      </x:c>
      <x:c r="B860" s="243"/>
      <x:c r="C860" s="243"/>
      <x:c r="D860" s="243"/>
      <x:c r="E860" s="243"/>
      <x:c r="F860" s="14" t="str">
        <x:v>Recruiter A</x:v>
      </x:c>
      <x:c r="G860" s="14" t="str">
        <x:v>Training Center A</x:v>
      </x:c>
      <x:c r="H860" s="28">
        <x:v>45773</x:v>
      </x:c>
      <x:c r="I860" s="14">
        <x:v>2025</x:v>
      </x:c>
      <x:c r="J860" s="14" t="s">
        <x:v>126</x:v>
      </x:c>
      <x:c r="K860" s="14">
        <x:v>14</x:v>
      </x:c>
      <x:c r="L860" s="29" t="s">
        <x:v>119</x:v>
      </x:c>
      <x:c r="M860" s="28">
        <x:v>45766</x:v>
      </x:c>
      <x:c r="N860" s="28">
        <x:v>45942</x:v>
      </x:c>
      <x:c r="O860" s="14">
        <x:v>176</x:v>
      </x:c>
      <x:c r="P860" s="14" t="s">
        <x:v>113</x:v>
      </x:c>
      <x:c r="Q860" s="14" t="s">
        <x:v>33</x:v>
      </x:c>
      <x:c r="R860" s="14" t="s">
        <x:v>116</x:v>
      </x:c>
      <x:c r="S860" s="14" t="s">
        <x:v>105</x:v>
      </x:c>
      <x:c r="T860" s="14" t="str">
        <x:v>Region A</x:v>
      </x:c>
      <x:c r="U860" s="28">
        <x:v>45787</x:v>
      </x:c>
      <x:c r="V860" s="30">
        <x:v>14</x:v>
      </x:c>
      <x:c r="W860" s="14" t="s">
        <x:v>45</x:v>
      </x:c>
      <x:c r="X860" s="14" t="s">
        <x:v>106</x:v>
      </x:c>
      <x:c r="Y860" s="32" t="str">
        <x:v>TRN-0859|20250426</x:v>
      </x:c>
      <x:c r="Z860" s="32" t="str" cm="1">
        <x:f t="array" ref="Z86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Complete</x:v>
      </x:c>
      <x:c r="AA860" s="33" t="n">
        <x:f>--OR(WorkforceData[[#This Row],[Status]]="Active",WorkforceData[[#This Row],[Promoted]]="Yes",WorkforceData[[#This Row],[Total Days Worked]]&gt;=121)</x:f>
        <x:v>1</x:v>
      </x:c>
      <x:c r="AB860" s="33" t="n">
        <x:f>IF(AND(Q860="Terminated",R860="",O860=0),1,0)</x:f>
        <x:v>0</x:v>
      </x:c>
      <x:c r="AC860" s="33" t="n">
        <x:f>--OR(WorkforceData[[#This Row],[Status]]="Resigned",WorkforceData[[#This Row],[Status After Training]]="Withdrew")</x:f>
        <x:v>0</x:v>
      </x:c>
      <x:c r="AD860" s="34" t="n">
        <x:f>EOMONTH(WorkforceData[[#This Row],[Training Date]],0)</x:f>
        <x:v>45777</x:v>
      </x:c>
      <x:c r="AE860" s="32" t="str">
        <x:f>IF(M860&lt;H860,"Existing Employee",IF(U860="","No Assignment",IF(V860=0,"0 Days",IF(V860&lt;=7,"1-7 Days",IF(V860&lt;=14,"8-14 Days",IF(V860&lt;=21,"15-21 Days","21+ Days"))))))</x:f>
        <x:v>Existing Employee</x:v>
      </x:c>
      <x:c r="AF86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60" s="33" t="n">
        <x:f>--(WorkforceData[[#This Row],[Total Days Worked]]&gt;=121)</x:f>
        <x:v>1</x:v>
      </x:c>
    </x:row>
    <x:row r="861">
      <x:c r="A861" s="236" t="str">
        <x:v>TRN-0860</x:v>
      </x:c>
      <x:c r="B861" s="243"/>
      <x:c r="C861" s="243"/>
      <x:c r="D861" s="243"/>
      <x:c r="E861" s="243"/>
      <x:c r="F861" s="14" t="str">
        <x:v>Recruiter F</x:v>
      </x:c>
      <x:c r="G861" s="14" t="str">
        <x:v>Training Center A</x:v>
      </x:c>
      <x:c r="H861" s="28">
        <x:v>45746</x:v>
      </x:c>
      <x:c r="I861" s="14">
        <x:v>2025</x:v>
      </x:c>
      <x:c r="J861" s="14" t="s">
        <x:v>130</x:v>
      </x:c>
      <x:c r="K861" s="14">
        <x:v>19</x:v>
      </x:c>
      <x:c r="L861" s="29" t="s">
        <x:v>119</x:v>
      </x:c>
      <x:c r="M861" s="28">
        <x:v>45746</x:v>
      </x:c>
      <x:c r="N861" s="28">
        <x:v>45837</x:v>
      </x:c>
      <x:c r="O861" s="14">
        <x:v>91</x:v>
      </x:c>
      <x:c r="P861" s="14" t="s">
        <x:v>113</x:v>
      </x:c>
      <x:c r="Q861" s="14" t="s">
        <x:v>103</x:v>
      </x:c>
      <x:c r="R861" s="14" t="s">
        <x:v>104</x:v>
      </x:c>
      <x:c r="S861" s="14" t="s">
        <x:v>105</x:v>
      </x:c>
      <x:c r="T861" s="14" t="str">
        <x:v>Region D</x:v>
      </x:c>
      <x:c r="U861" s="28">
        <x:v>45756</x:v>
      </x:c>
      <x:c r="V861" s="30">
        <x:v>10</x:v>
      </x:c>
      <x:c r="W861" s="14" t="s">
        <x:v>45</x:v>
      </x:c>
      <x:c r="X861" s="14" t="s">
        <x:v>106</x:v>
      </x:c>
      <x:c r="Y861" s="32" t="str">
        <x:v>TRN-0860|20250330</x:v>
      </x:c>
      <x:c r="Z861" s="32" t="str" cm="1">
        <x:f t="array" ref="Z86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861" s="33" t="n">
        <x:f>--OR(WorkforceData[[#This Row],[Status]]="Active",WorkforceData[[#This Row],[Promoted]]="Yes",WorkforceData[[#This Row],[Total Days Worked]]&gt;=121)</x:f>
        <x:v>0</x:v>
      </x:c>
      <x:c r="AB861" s="33" t="n">
        <x:f>IF(AND(Q861="Terminated",R861="",O861=0),1,0)</x:f>
        <x:v>0</x:v>
      </x:c>
      <x:c r="AC861" s="33" t="n">
        <x:f>--OR(WorkforceData[[#This Row],[Status]]="Resigned",WorkforceData[[#This Row],[Status After Training]]="Withdrew")</x:f>
        <x:v>1</x:v>
      </x:c>
      <x:c r="AD861" s="34" t="n">
        <x:f>EOMONTH(WorkforceData[[#This Row],[Training Date]],0)</x:f>
        <x:v>45747</x:v>
      </x:c>
      <x:c r="AE861" s="32" t="str">
        <x:f>IF(M861&lt;H861,"Existing Employee",IF(U861="","No Assignment",IF(V861=0,"0 Days",IF(V861&lt;=7,"1-7 Days",IF(V861&lt;=14,"8-14 Days",IF(V861&lt;=21,"15-21 Days","21+ Days"))))))</x:f>
        <x:v>8-14 Days</x:v>
      </x:c>
      <x:c r="AF86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91-120 Days</x:v>
      </x:c>
      <x:c r="AG861" s="33" t="n">
        <x:f>--(WorkforceData[[#This Row],[Total Days Worked]]&gt;=121)</x:f>
        <x:v>0</x:v>
      </x:c>
    </x:row>
    <x:row r="862">
      <x:c r="A862" s="236" t="str">
        <x:v>TRN-0861</x:v>
      </x:c>
      <x:c r="B862" s="243"/>
      <x:c r="C862" s="243"/>
      <x:c r="D862" s="243"/>
      <x:c r="E862" s="243"/>
      <x:c r="F862" s="14" t="str">
        <x:v>Recruiter G</x:v>
      </x:c>
      <x:c r="G862" s="14" t="str">
        <x:v>Training Center A</x:v>
      </x:c>
      <x:c r="H862" s="28">
        <x:v>45746</x:v>
      </x:c>
      <x:c r="I862" s="14">
        <x:v>2025</x:v>
      </x:c>
      <x:c r="J862" s="14" t="s">
        <x:v>130</x:v>
      </x:c>
      <x:c r="K862" s="14">
        <x:v>19</x:v>
      </x:c>
      <x:c r="L862" s="29" t="s">
        <x:v>119</x:v>
      </x:c>
      <x:c r="M862" s="28">
        <x:v>45741</x:v>
      </x:c>
      <x:c r="N862" s="28">
        <x:v>45840</x:v>
      </x:c>
      <x:c r="O862" s="14">
        <x:v>99</x:v>
      </x:c>
      <x:c r="P862" s="14" t="s">
        <x:v>113</x:v>
      </x:c>
      <x:c r="Q862" s="14" t="s">
        <x:v>103</x:v>
      </x:c>
      <x:c r="R862" s="14" t="s">
        <x:v>123</x:v>
      </x:c>
      <x:c r="S862" s="14" t="s">
        <x:v>105</x:v>
      </x:c>
      <x:c r="T862" s="14" t="str">
        <x:v>Region C</x:v>
      </x:c>
      <x:c r="U862" s="28">
        <x:v>45753</x:v>
      </x:c>
      <x:c r="V862" s="30">
        <x:v>7</x:v>
      </x:c>
      <x:c r="W862" s="14" t="s">
        <x:v>109</x:v>
      </x:c>
      <x:c r="X862" s="14" t="s">
        <x:v>106</x:v>
      </x:c>
      <x:c r="Y862" s="32" t="str">
        <x:v>TRN-0861|20250330</x:v>
      </x:c>
      <x:c r="Z862" s="32" t="str" cm="1">
        <x:f t="array" ref="Z86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862" s="33" t="n">
        <x:f>--OR(WorkforceData[[#This Row],[Status]]="Active",WorkforceData[[#This Row],[Promoted]]="Yes",WorkforceData[[#This Row],[Total Days Worked]]&gt;=121)</x:f>
        <x:v>0</x:v>
      </x:c>
      <x:c r="AB862" s="33" t="n">
        <x:f>IF(AND(Q862="Terminated",R862="",O862=0),1,0)</x:f>
        <x:v>0</x:v>
      </x:c>
      <x:c r="AC862" s="33" t="n">
        <x:f>--OR(WorkforceData[[#This Row],[Status]]="Resigned",WorkforceData[[#This Row],[Status After Training]]="Withdrew")</x:f>
        <x:v>1</x:v>
      </x:c>
      <x:c r="AD862" s="34" t="n">
        <x:f>EOMONTH(WorkforceData[[#This Row],[Training Date]],0)</x:f>
        <x:v>45747</x:v>
      </x:c>
      <x:c r="AE862" s="32" t="str">
        <x:f>IF(M862&lt;H862,"Existing Employee",IF(U862="","No Assignment",IF(V862=0,"0 Days",IF(V862&lt;=7,"1-7 Days",IF(V862&lt;=14,"8-14 Days",IF(V862&lt;=21,"15-21 Days","21+ Days"))))))</x:f>
        <x:v>Existing Employee</x:v>
      </x:c>
      <x:c r="AF86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91-120 Days</x:v>
      </x:c>
      <x:c r="AG862" s="33" t="n">
        <x:f>--(WorkforceData[[#This Row],[Total Days Worked]]&gt;=121)</x:f>
        <x:v>0</x:v>
      </x:c>
    </x:row>
    <x:row r="863">
      <x:c r="A863" s="236" t="str">
        <x:v>TRN-0862</x:v>
      </x:c>
      <x:c r="B863" s="243"/>
      <x:c r="C863" s="243"/>
      <x:c r="D863" s="243"/>
      <x:c r="E863" s="243"/>
      <x:c r="F863" s="14" t="str">
        <x:v>Recruiter A</x:v>
      </x:c>
      <x:c r="G863" s="14" t="str">
        <x:v>Training Center A</x:v>
      </x:c>
      <x:c r="H863" s="28">
        <x:v>45746</x:v>
      </x:c>
      <x:c r="I863" s="14">
        <x:v>2025</x:v>
      </x:c>
      <x:c r="J863" s="14" t="s">
        <x:v>130</x:v>
      </x:c>
      <x:c r="K863" s="14">
        <x:v>19</x:v>
      </x:c>
      <x:c r="L863" s="29" t="s">
        <x:v>119</x:v>
      </x:c>
      <x:c r="M863" s="28">
        <x:v>45736</x:v>
      </x:c>
      <x:c r="N863" s="28">
        <x:v>45768</x:v>
      </x:c>
      <x:c r="O863" s="14">
        <x:v>32</x:v>
      </x:c>
      <x:c r="P863" s="14" t="s">
        <x:v>110</x:v>
      </x:c>
      <x:c r="Q863" s="14" t="s">
        <x:v>103</x:v>
      </x:c>
      <x:c r="R863" s="14" t="s">
        <x:v>104</x:v>
      </x:c>
      <x:c r="S863" s="14" t="s">
        <x:v>105</x:v>
      </x:c>
      <x:c r="T863" s="14"/>
      <x:c r="U863" s="28"/>
      <x:c r="V863" s="30"/>
      <x:c r="W863" s="14"/>
      <x:c r="X863" s="14" t="s">
        <x:v>71</x:v>
      </x:c>
      <x:c r="Y863" s="32" t="str">
        <x:v>TRN-0862|20250330</x:v>
      </x:c>
      <x:c r="Z863" s="32" t="str" cm="1">
        <x:f t="array" ref="Z86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863" s="33" t="n">
        <x:f>--OR(WorkforceData[[#This Row],[Status]]="Active",WorkforceData[[#This Row],[Promoted]]="Yes",WorkforceData[[#This Row],[Total Days Worked]]&gt;=121)</x:f>
        <x:v>0</x:v>
      </x:c>
      <x:c r="AB863" s="33" t="n">
        <x:f>IF(AND(Q863="Terminated",R863="",O863=0),1,0)</x:f>
        <x:v>0</x:v>
      </x:c>
      <x:c r="AC863" s="33" t="n">
        <x:f>--OR(WorkforceData[[#This Row],[Status]]="Resigned",WorkforceData[[#This Row],[Status After Training]]="Withdrew")</x:f>
        <x:v>1</x:v>
      </x:c>
      <x:c r="AD863" s="34" t="n">
        <x:f>EOMONTH(WorkforceData[[#This Row],[Training Date]],0)</x:f>
        <x:v>45747</x:v>
      </x:c>
      <x:c r="AE863" s="32" t="str">
        <x:f>IF(M863&lt;H863,"Existing Employee",IF(U863="","No Assignment",IF(V863=0,"0 Days",IF(V863&lt;=7,"1-7 Days",IF(V863&lt;=14,"8-14 Days",IF(V863&lt;=21,"15-21 Days","21+ Days"))))))</x:f>
        <x:v>Existing Employee</x:v>
      </x:c>
      <x:c r="AF86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863" s="33" t="n">
        <x:f>--(WorkforceData[[#This Row],[Total Days Worked]]&gt;=121)</x:f>
        <x:v>0</x:v>
      </x:c>
    </x:row>
    <x:row r="864">
      <x:c r="A864" s="236" t="str">
        <x:v>TRN-0863</x:v>
      </x:c>
      <x:c r="B864" s="243"/>
      <x:c r="C864" s="243"/>
      <x:c r="D864" s="243"/>
      <x:c r="E864" s="243"/>
      <x:c r="F864" s="14" t="str">
        <x:v>Recruiter F</x:v>
      </x:c>
      <x:c r="G864" s="14" t="str">
        <x:v>Training Center A</x:v>
      </x:c>
      <x:c r="H864" s="28">
        <x:v>45746</x:v>
      </x:c>
      <x:c r="I864" s="14">
        <x:v>2025</x:v>
      </x:c>
      <x:c r="J864" s="14" t="s">
        <x:v>130</x:v>
      </x:c>
      <x:c r="K864" s="14">
        <x:v>19</x:v>
      </x:c>
      <x:c r="L864" s="29" t="s">
        <x:v>119</x:v>
      </x:c>
      <x:c r="M864" s="28">
        <x:v>45746</x:v>
      </x:c>
      <x:c r="N864" s="14"/>
      <x:c r="O864" s="14">
        <x:v>505</x:v>
      </x:c>
      <x:c r="P864" s="14" t="s">
        <x:v>120</x:v>
      </x:c>
      <x:c r="Q864" s="14" t="s">
        <x:v>25</x:v>
      </x:c>
      <x:c r="R864" s="14"/>
      <x:c r="S864" s="14" t="s">
        <x:v>108</x:v>
      </x:c>
      <x:c r="T864" s="14" t="str">
        <x:v>Region C</x:v>
      </x:c>
      <x:c r="U864" s="28">
        <x:v>45750</x:v>
      </x:c>
      <x:c r="V864" s="30">
        <x:v>4</x:v>
      </x:c>
      <x:c r="W864" s="14" t="s">
        <x:v>109</x:v>
      </x:c>
      <x:c r="X864" s="14" t="s">
        <x:v>106</x:v>
      </x:c>
      <x:c r="Y864" s="32" t="str">
        <x:v>TRN-0863|20250330</x:v>
      </x:c>
      <x:c r="Z864" s="32" t="str" cm="1">
        <x:f t="array" ref="Z86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864" s="33" t="n">
        <x:f>--OR(WorkforceData[[#This Row],[Status]]="Active",WorkforceData[[#This Row],[Promoted]]="Yes",WorkforceData[[#This Row],[Total Days Worked]]&gt;=121)</x:f>
        <x:v>1</x:v>
      </x:c>
      <x:c r="AB864" s="33" t="n">
        <x:f>IF(AND(Q864="Terminated",R864="",O864=0),1,0)</x:f>
        <x:v>0</x:v>
      </x:c>
      <x:c r="AC864" s="33" t="n">
        <x:f>--OR(WorkforceData[[#This Row],[Status]]="Resigned",WorkforceData[[#This Row],[Status After Training]]="Withdrew")</x:f>
        <x:v>0</x:v>
      </x:c>
      <x:c r="AD864" s="34" t="n">
        <x:f>EOMONTH(WorkforceData[[#This Row],[Training Date]],0)</x:f>
        <x:v>45747</x:v>
      </x:c>
      <x:c r="AE864" s="32" t="str">
        <x:f>IF(M864&lt;H864,"Existing Employee",IF(U864="","No Assignment",IF(V864=0,"0 Days",IF(V864&lt;=7,"1-7 Days",IF(V864&lt;=14,"8-14 Days",IF(V864&lt;=21,"15-21 Days","21+ Days"))))))</x:f>
        <x:v>1-7 Days</x:v>
      </x:c>
      <x:c r="AF86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64" s="33" t="n">
        <x:f>--(WorkforceData[[#This Row],[Total Days Worked]]&gt;=121)</x:f>
        <x:v>1</x:v>
      </x:c>
    </x:row>
    <x:row r="865">
      <x:c r="A865" s="236" t="str">
        <x:v>TRN-0864</x:v>
      </x:c>
      <x:c r="B865" s="243"/>
      <x:c r="C865" s="243"/>
      <x:c r="D865" s="243"/>
      <x:c r="E865" s="243"/>
      <x:c r="F865" s="14" t="str">
        <x:v>Recruiter A</x:v>
      </x:c>
      <x:c r="G865" s="14" t="str">
        <x:v>Training Center A</x:v>
      </x:c>
      <x:c r="H865" s="28">
        <x:v>45746</x:v>
      </x:c>
      <x:c r="I865" s="14">
        <x:v>2025</x:v>
      </x:c>
      <x:c r="J865" s="14" t="s">
        <x:v>130</x:v>
      </x:c>
      <x:c r="K865" s="14">
        <x:v>19</x:v>
      </x:c>
      <x:c r="L865" s="29" t="s">
        <x:v>119</x:v>
      </x:c>
      <x:c r="M865" s="28">
        <x:v>45746</x:v>
      </x:c>
      <x:c r="N865" s="14"/>
      <x:c r="O865" s="14">
        <x:v>505</x:v>
      </x:c>
      <x:c r="P865" s="14" t="s">
        <x:v>120</x:v>
      </x:c>
      <x:c r="Q865" s="14" t="s">
        <x:v>25</x:v>
      </x:c>
      <x:c r="R865" s="14"/>
      <x:c r="S865" s="14" t="s">
        <x:v>105</x:v>
      </x:c>
      <x:c r="T865" s="14"/>
      <x:c r="U865" s="28"/>
      <x:c r="V865" s="30"/>
      <x:c r="W865" s="14"/>
      <x:c r="X865" s="14" t="s">
        <x:v>71</x:v>
      </x:c>
      <x:c r="Y865" s="32" t="str">
        <x:v>TRN-0864|20250330</x:v>
      </x:c>
      <x:c r="Z865" s="32" t="str" cm="1">
        <x:f t="array" ref="Z86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865" s="33" t="n">
        <x:f>--OR(WorkforceData[[#This Row],[Status]]="Active",WorkforceData[[#This Row],[Promoted]]="Yes",WorkforceData[[#This Row],[Total Days Worked]]&gt;=121)</x:f>
        <x:v>1</x:v>
      </x:c>
      <x:c r="AB865" s="33" t="n">
        <x:f>IF(AND(Q865="Terminated",R865="",O865=0),1,0)</x:f>
        <x:v>0</x:v>
      </x:c>
      <x:c r="AC865" s="33" t="n">
        <x:f>--OR(WorkforceData[[#This Row],[Status]]="Resigned",WorkforceData[[#This Row],[Status After Training]]="Withdrew")</x:f>
        <x:v>0</x:v>
      </x:c>
      <x:c r="AD865" s="34" t="n">
        <x:f>EOMONTH(WorkforceData[[#This Row],[Training Date]],0)</x:f>
        <x:v>45747</x:v>
      </x:c>
      <x:c r="AE865" s="32" t="str">
        <x:f>IF(M865&lt;H865,"Existing Employee",IF(U865="","No Assignment",IF(V865=0,"0 Days",IF(V865&lt;=7,"1-7 Days",IF(V865&lt;=14,"8-14 Days",IF(V865&lt;=21,"15-21 Days","21+ Days"))))))</x:f>
        <x:v>No Assignment</x:v>
      </x:c>
      <x:c r="AF86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65" s="33" t="n">
        <x:f>--(WorkforceData[[#This Row],[Total Days Worked]]&gt;=121)</x:f>
        <x:v>1</x:v>
      </x:c>
    </x:row>
    <x:row r="866">
      <x:c r="A866" s="236" t="str">
        <x:v>TRN-0865</x:v>
      </x:c>
      <x:c r="B866" s="243"/>
      <x:c r="C866" s="243"/>
      <x:c r="D866" s="243"/>
      <x:c r="E866" s="243"/>
      <x:c r="F866" s="14" t="str">
        <x:v>Recruiter B</x:v>
      </x:c>
      <x:c r="G866" s="14" t="str">
        <x:v>Training Center A</x:v>
      </x:c>
      <x:c r="H866" s="28">
        <x:v>45746</x:v>
      </x:c>
      <x:c r="I866" s="14">
        <x:v>2025</x:v>
      </x:c>
      <x:c r="J866" s="14" t="s">
        <x:v>130</x:v>
      </x:c>
      <x:c r="K866" s="14">
        <x:v>19</x:v>
      </x:c>
      <x:c r="L866" s="29" t="s">
        <x:v>119</x:v>
      </x:c>
      <x:c r="M866" s="28">
        <x:v>45744</x:v>
      </x:c>
      <x:c r="N866" s="14"/>
      <x:c r="O866" s="14">
        <x:v>507</x:v>
      </x:c>
      <x:c r="P866" s="14" t="s">
        <x:v>120</x:v>
      </x:c>
      <x:c r="Q866" s="14" t="s">
        <x:v>25</x:v>
      </x:c>
      <x:c r="R866" s="14"/>
      <x:c r="S866" s="14" t="s">
        <x:v>108</x:v>
      </x:c>
      <x:c r="T866" s="14" t="str">
        <x:v>Region D</x:v>
      </x:c>
      <x:c r="U866" s="28">
        <x:v>45780</x:v>
      </x:c>
      <x:c r="V866" s="30">
        <x:v>34</x:v>
      </x:c>
      <x:c r="W866" s="14" t="s">
        <x:v>63</x:v>
      </x:c>
      <x:c r="X866" s="14" t="s">
        <x:v>117</x:v>
      </x:c>
      <x:c r="Y866" s="32" t="str">
        <x:v>TRN-0865|20250330</x:v>
      </x:c>
      <x:c r="Z866" s="32" t="str" cm="1">
        <x:f t="array" ref="Z86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866" s="33" t="n">
        <x:f>--OR(WorkforceData[[#This Row],[Status]]="Active",WorkforceData[[#This Row],[Promoted]]="Yes",WorkforceData[[#This Row],[Total Days Worked]]&gt;=121)</x:f>
        <x:v>1</x:v>
      </x:c>
      <x:c r="AB866" s="33" t="n">
        <x:f>IF(AND(Q866="Terminated",R866="",O866=0),1,0)</x:f>
        <x:v>0</x:v>
      </x:c>
      <x:c r="AC866" s="33" t="n">
        <x:f>--OR(WorkforceData[[#This Row],[Status]]="Resigned",WorkforceData[[#This Row],[Status After Training]]="Withdrew")</x:f>
        <x:v>0</x:v>
      </x:c>
      <x:c r="AD866" s="34" t="n">
        <x:f>EOMONTH(WorkforceData[[#This Row],[Training Date]],0)</x:f>
        <x:v>45747</x:v>
      </x:c>
      <x:c r="AE866" s="32" t="str">
        <x:f>IF(M866&lt;H866,"Existing Employee",IF(U866="","No Assignment",IF(V866=0,"0 Days",IF(V866&lt;=7,"1-7 Days",IF(V866&lt;=14,"8-14 Days",IF(V866&lt;=21,"15-21 Days","21+ Days"))))))</x:f>
        <x:v>Existing Employee</x:v>
      </x:c>
      <x:c r="AF86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66" s="33" t="n">
        <x:f>--(WorkforceData[[#This Row],[Total Days Worked]]&gt;=121)</x:f>
        <x:v>1</x:v>
      </x:c>
    </x:row>
    <x:row r="867">
      <x:c r="A867" s="236" t="str">
        <x:v>TRN-0866</x:v>
      </x:c>
      <x:c r="B867" s="243"/>
      <x:c r="C867" s="243"/>
      <x:c r="D867" s="243"/>
      <x:c r="E867" s="243"/>
      <x:c r="F867" s="14" t="str">
        <x:v>Recruiter C</x:v>
      </x:c>
      <x:c r="G867" s="14" t="str">
        <x:v>Training Center A</x:v>
      </x:c>
      <x:c r="H867" s="28">
        <x:v>45746</x:v>
      </x:c>
      <x:c r="I867" s="14">
        <x:v>2025</x:v>
      </x:c>
      <x:c r="J867" s="14" t="s">
        <x:v>130</x:v>
      </x:c>
      <x:c r="K867" s="14">
        <x:v>19</x:v>
      </x:c>
      <x:c r="L867" s="29" t="s">
        <x:v>119</x:v>
      </x:c>
      <x:c r="M867" s="28">
        <x:v>45736</x:v>
      </x:c>
      <x:c r="N867" s="14"/>
      <x:c r="O867" s="14">
        <x:v>515</x:v>
      </x:c>
      <x:c r="P867" s="14" t="s">
        <x:v>120</x:v>
      </x:c>
      <x:c r="Q867" s="14" t="s">
        <x:v>25</x:v>
      </x:c>
      <x:c r="R867" s="14"/>
      <x:c r="S867" s="14" t="s">
        <x:v>108</x:v>
      </x:c>
      <x:c r="T867" s="14" t="str">
        <x:v>Region D</x:v>
      </x:c>
      <x:c r="U867" s="28">
        <x:v>45755</x:v>
      </x:c>
      <x:c r="V867" s="30">
        <x:v>9</x:v>
      </x:c>
      <x:c r="W867" s="14" t="s">
        <x:v>45</x:v>
      </x:c>
      <x:c r="X867" s="14" t="s">
        <x:v>106</x:v>
      </x:c>
      <x:c r="Y867" s="32" t="str">
        <x:v>TRN-0866|20250330</x:v>
      </x:c>
      <x:c r="Z867" s="32" t="str" cm="1">
        <x:f t="array" ref="Z86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867" s="33" t="n">
        <x:f>--OR(WorkforceData[[#This Row],[Status]]="Active",WorkforceData[[#This Row],[Promoted]]="Yes",WorkforceData[[#This Row],[Total Days Worked]]&gt;=121)</x:f>
        <x:v>1</x:v>
      </x:c>
      <x:c r="AB867" s="33" t="n">
        <x:f>IF(AND(Q867="Terminated",R867="",O867=0),1,0)</x:f>
        <x:v>0</x:v>
      </x:c>
      <x:c r="AC867" s="33" t="n">
        <x:f>--OR(WorkforceData[[#This Row],[Status]]="Resigned",WorkforceData[[#This Row],[Status After Training]]="Withdrew")</x:f>
        <x:v>0</x:v>
      </x:c>
      <x:c r="AD867" s="34" t="n">
        <x:f>EOMONTH(WorkforceData[[#This Row],[Training Date]],0)</x:f>
        <x:v>45747</x:v>
      </x:c>
      <x:c r="AE867" s="32" t="str">
        <x:f>IF(M867&lt;H867,"Existing Employee",IF(U867="","No Assignment",IF(V867=0,"0 Days",IF(V867&lt;=7,"1-7 Days",IF(V867&lt;=14,"8-14 Days",IF(V867&lt;=21,"15-21 Days","21+ Days"))))))</x:f>
        <x:v>Existing Employee</x:v>
      </x:c>
      <x:c r="AF86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67" s="33" t="n">
        <x:f>--(WorkforceData[[#This Row],[Total Days Worked]]&gt;=121)</x:f>
        <x:v>1</x:v>
      </x:c>
    </x:row>
    <x:row r="868">
      <x:c r="A868" s="236" t="str">
        <x:v>TRN-0867</x:v>
      </x:c>
      <x:c r="B868" s="243"/>
      <x:c r="C868" s="243"/>
      <x:c r="D868" s="243"/>
      <x:c r="E868" s="243"/>
      <x:c r="F868" s="14" t="str">
        <x:v>Recruiter H</x:v>
      </x:c>
      <x:c r="G868" s="14" t="str">
        <x:v>Training Center A</x:v>
      </x:c>
      <x:c r="H868" s="28">
        <x:v>45746</x:v>
      </x:c>
      <x:c r="I868" s="14">
        <x:v>2025</x:v>
      </x:c>
      <x:c r="J868" s="14" t="s">
        <x:v>130</x:v>
      </x:c>
      <x:c r="K868" s="14">
        <x:v>19</x:v>
      </x:c>
      <x:c r="L868" s="29" t="s">
        <x:v>119</x:v>
      </x:c>
      <x:c r="M868" s="28">
        <x:v>45745</x:v>
      </x:c>
      <x:c r="N868" s="28">
        <x:v>45757</x:v>
      </x:c>
      <x:c r="O868" s="14">
        <x:v>12</x:v>
      </x:c>
      <x:c r="P868" s="14" t="s">
        <x:v>102</x:v>
      </x:c>
      <x:c r="Q868" s="14" t="s">
        <x:v>103</x:v>
      </x:c>
      <x:c r="R868" s="14" t="s">
        <x:v>104</x:v>
      </x:c>
      <x:c r="S868" s="14" t="s">
        <x:v>105</x:v>
      </x:c>
      <x:c r="T868" s="14" t="str">
        <x:v>Region C</x:v>
      </x:c>
      <x:c r="U868" s="28">
        <x:v>45746</x:v>
      </x:c>
      <x:c r="V868" s="30">
        <x:v>0</x:v>
      </x:c>
      <x:c r="W868" s="14" t="s">
        <x:v>109</x:v>
      </x:c>
      <x:c r="X868" s="14" t="s">
        <x:v>106</x:v>
      </x:c>
      <x:c r="Y868" s="32" t="str">
        <x:v>TRN-0867|20250330</x:v>
      </x:c>
      <x:c r="Z868" s="32" t="str" cm="1">
        <x:f t="array" ref="Z86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868" s="33" t="n">
        <x:f>--OR(WorkforceData[[#This Row],[Status]]="Active",WorkforceData[[#This Row],[Promoted]]="Yes",WorkforceData[[#This Row],[Total Days Worked]]&gt;=121)</x:f>
        <x:v>0</x:v>
      </x:c>
      <x:c r="AB868" s="33" t="n">
        <x:f>IF(AND(Q868="Terminated",R868="",O868=0),1,0)</x:f>
        <x:v>0</x:v>
      </x:c>
      <x:c r="AC868" s="33" t="n">
        <x:f>--OR(WorkforceData[[#This Row],[Status]]="Resigned",WorkforceData[[#This Row],[Status After Training]]="Withdrew")</x:f>
        <x:v>1</x:v>
      </x:c>
      <x:c r="AD868" s="34" t="n">
        <x:f>EOMONTH(WorkforceData[[#This Row],[Training Date]],0)</x:f>
        <x:v>45747</x:v>
      </x:c>
      <x:c r="AE868" s="32" t="str">
        <x:f>IF(M868&lt;H868,"Existing Employee",IF(U868="","No Assignment",IF(V868=0,"0 Days",IF(V868&lt;=7,"1-7 Days",IF(V868&lt;=14,"8-14 Days",IF(V868&lt;=21,"15-21 Days","21+ Days"))))))</x:f>
        <x:v>Existing Employee</x:v>
      </x:c>
      <x:c r="AF86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868" s="33" t="n">
        <x:f>--(WorkforceData[[#This Row],[Total Days Worked]]&gt;=121)</x:f>
        <x:v>0</x:v>
      </x:c>
    </x:row>
    <x:row r="869">
      <x:c r="A869" s="236" t="str">
        <x:v>TRN-0868</x:v>
      </x:c>
      <x:c r="B869" s="243"/>
      <x:c r="C869" s="243"/>
      <x:c r="D869" s="243"/>
      <x:c r="E869" s="243"/>
      <x:c r="F869" s="14" t="str">
        <x:v>Recruiter E</x:v>
      </x:c>
      <x:c r="G869" s="14" t="str">
        <x:v>Training Center A</x:v>
      </x:c>
      <x:c r="H869" s="28">
        <x:v>45746</x:v>
      </x:c>
      <x:c r="I869" s="14">
        <x:v>2025</x:v>
      </x:c>
      <x:c r="J869" s="14" t="s">
        <x:v>130</x:v>
      </x:c>
      <x:c r="K869" s="14">
        <x:v>19</x:v>
      </x:c>
      <x:c r="L869" s="29" t="s">
        <x:v>119</x:v>
      </x:c>
      <x:c r="M869" s="28">
        <x:v>45741</x:v>
      </x:c>
      <x:c r="N869" s="14"/>
      <x:c r="O869" s="14">
        <x:v>510</x:v>
      </x:c>
      <x:c r="P869" s="14" t="s">
        <x:v>120</x:v>
      </x:c>
      <x:c r="Q869" s="14" t="s">
        <x:v>25</x:v>
      </x:c>
      <x:c r="R869" s="14"/>
      <x:c r="S869" s="14" t="s">
        <x:v>108</x:v>
      </x:c>
      <x:c r="T869" s="14" t="str">
        <x:v>Region E</x:v>
      </x:c>
      <x:c r="U869" s="28">
        <x:v>45748</x:v>
      </x:c>
      <x:c r="V869" s="30">
        <x:v>2</x:v>
      </x:c>
      <x:c r="W869" s="14" t="s">
        <x:v>109</x:v>
      </x:c>
      <x:c r="X869" s="14" t="s">
        <x:v>106</x:v>
      </x:c>
      <x:c r="Y869" s="32" t="str">
        <x:v>TRN-0868|20250330</x:v>
      </x:c>
      <x:c r="Z869" s="32" t="str" cm="1">
        <x:f t="array" ref="Z86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869" s="33" t="n">
        <x:f>--OR(WorkforceData[[#This Row],[Status]]="Active",WorkforceData[[#This Row],[Promoted]]="Yes",WorkforceData[[#This Row],[Total Days Worked]]&gt;=121)</x:f>
        <x:v>1</x:v>
      </x:c>
      <x:c r="AB869" s="33" t="n">
        <x:f>IF(AND(Q869="Terminated",R869="",O869=0),1,0)</x:f>
        <x:v>0</x:v>
      </x:c>
      <x:c r="AC869" s="33" t="n">
        <x:f>--OR(WorkforceData[[#This Row],[Status]]="Resigned",WorkforceData[[#This Row],[Status After Training]]="Withdrew")</x:f>
        <x:v>0</x:v>
      </x:c>
      <x:c r="AD869" s="34" t="n">
        <x:f>EOMONTH(WorkforceData[[#This Row],[Training Date]],0)</x:f>
        <x:v>45747</x:v>
      </x:c>
      <x:c r="AE869" s="32" t="str">
        <x:f>IF(M869&lt;H869,"Existing Employee",IF(U869="","No Assignment",IF(V869=0,"0 Days",IF(V869&lt;=7,"1-7 Days",IF(V869&lt;=14,"8-14 Days",IF(V869&lt;=21,"15-21 Days","21+ Days"))))))</x:f>
        <x:v>Existing Employee</x:v>
      </x:c>
      <x:c r="AF86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69" s="33" t="n">
        <x:f>--(WorkforceData[[#This Row],[Total Days Worked]]&gt;=121)</x:f>
        <x:v>1</x:v>
      </x:c>
    </x:row>
    <x:row r="870">
      <x:c r="A870" s="236" t="str">
        <x:v>TRN-0869</x:v>
      </x:c>
      <x:c r="B870" s="243"/>
      <x:c r="C870" s="243"/>
      <x:c r="D870" s="243"/>
      <x:c r="E870" s="243"/>
      <x:c r="F870" s="14" t="str">
        <x:v>Recruiter G</x:v>
      </x:c>
      <x:c r="G870" s="14" t="str">
        <x:v>Training Center A</x:v>
      </x:c>
      <x:c r="H870" s="28">
        <x:v>45746</x:v>
      </x:c>
      <x:c r="I870" s="14">
        <x:v>2025</x:v>
      </x:c>
      <x:c r="J870" s="14" t="s">
        <x:v>130</x:v>
      </x:c>
      <x:c r="K870" s="14">
        <x:v>19</x:v>
      </x:c>
      <x:c r="L870" s="29" t="s">
        <x:v>119</x:v>
      </x:c>
      <x:c r="M870" s="28">
        <x:v>45746</x:v>
      </x:c>
      <x:c r="N870" s="28">
        <x:v>46239</x:v>
      </x:c>
      <x:c r="O870" s="14">
        <x:v>493</x:v>
      </x:c>
      <x:c r="P870" s="14" t="s">
        <x:v>120</x:v>
      </x:c>
      <x:c r="Q870" s="14" t="s">
        <x:v>103</x:v>
      </x:c>
      <x:c r="R870" s="14" t="s">
        <x:v>111</x:v>
      </x:c>
      <x:c r="S870" s="14" t="s">
        <x:v>108</x:v>
      </x:c>
      <x:c r="T870" s="14" t="str">
        <x:v>Region B</x:v>
      </x:c>
      <x:c r="U870" s="28">
        <x:v>45768</x:v>
      </x:c>
      <x:c r="V870" s="30">
        <x:v>22</x:v>
      </x:c>
      <x:c r="W870" s="14" t="s">
        <x:v>112</x:v>
      </x:c>
      <x:c r="X870" s="14" t="s">
        <x:v>106</x:v>
      </x:c>
      <x:c r="Y870" s="32" t="str">
        <x:v>TRN-0869|20250330</x:v>
      </x:c>
      <x:c r="Z870" s="32" t="str" cm="1">
        <x:f t="array" ref="Z87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870" s="33" t="n">
        <x:f>--OR(WorkforceData[[#This Row],[Status]]="Active",WorkforceData[[#This Row],[Promoted]]="Yes",WorkforceData[[#This Row],[Total Days Worked]]&gt;=121)</x:f>
        <x:v>1</x:v>
      </x:c>
      <x:c r="AB870" s="33" t="n">
        <x:f>IF(AND(Q870="Terminated",R870="",O870=0),1,0)</x:f>
        <x:v>0</x:v>
      </x:c>
      <x:c r="AC870" s="33" t="n">
        <x:f>--OR(WorkforceData[[#This Row],[Status]]="Resigned",WorkforceData[[#This Row],[Status After Training]]="Withdrew")</x:f>
        <x:v>1</x:v>
      </x:c>
      <x:c r="AD870" s="34" t="n">
        <x:f>EOMONTH(WorkforceData[[#This Row],[Training Date]],0)</x:f>
        <x:v>45747</x:v>
      </x:c>
      <x:c r="AE870" s="32" t="str">
        <x:f>IF(M870&lt;H870,"Existing Employee",IF(U870="","No Assignment",IF(V870=0,"0 Days",IF(V870&lt;=7,"1-7 Days",IF(V870&lt;=14,"8-14 Days",IF(V870&lt;=21,"15-21 Days","21+ Days"))))))</x:f>
        <x:v>21+ Days</x:v>
      </x:c>
      <x:c r="AF87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70" s="33" t="n">
        <x:f>--(WorkforceData[[#This Row],[Total Days Worked]]&gt;=121)</x:f>
        <x:v>1</x:v>
      </x:c>
    </x:row>
    <x:row r="871">
      <x:c r="A871" s="236" t="str">
        <x:v>TRN-0870</x:v>
      </x:c>
      <x:c r="B871" s="243"/>
      <x:c r="C871" s="243"/>
      <x:c r="D871" s="243"/>
      <x:c r="E871" s="243"/>
      <x:c r="F871" s="14" t="str">
        <x:v>Recruiter F</x:v>
      </x:c>
      <x:c r="G871" s="14" t="str">
        <x:v>Training Center A</x:v>
      </x:c>
      <x:c r="H871" s="28">
        <x:v>45746</x:v>
      </x:c>
      <x:c r="I871" s="14">
        <x:v>2025</x:v>
      </x:c>
      <x:c r="J871" s="14" t="s">
        <x:v>130</x:v>
      </x:c>
      <x:c r="K871" s="14">
        <x:v>19</x:v>
      </x:c>
      <x:c r="L871" s="29" t="s">
        <x:v>119</x:v>
      </x:c>
      <x:c r="M871" s="28">
        <x:v>45744</x:v>
      </x:c>
      <x:c r="N871" s="28">
        <x:v>45763</x:v>
      </x:c>
      <x:c r="O871" s="14">
        <x:v>19</x:v>
      </x:c>
      <x:c r="P871" s="14" t="s">
        <x:v>102</x:v>
      </x:c>
      <x:c r="Q871" s="14" t="s">
        <x:v>33</x:v>
      </x:c>
      <x:c r="R871" s="14" t="s">
        <x:v>124</x:v>
      </x:c>
      <x:c r="S871" s="14" t="s">
        <x:v>105</x:v>
      </x:c>
      <x:c r="T871" s="14" t="str">
        <x:v>Region B</x:v>
      </x:c>
      <x:c r="U871" s="28">
        <x:v>45757</x:v>
      </x:c>
      <x:c r="V871" s="30">
        <x:v>11</x:v>
      </x:c>
      <x:c r="W871" s="14" t="s">
        <x:v>45</x:v>
      </x:c>
      <x:c r="X871" s="14" t="s">
        <x:v>106</x:v>
      </x:c>
      <x:c r="Y871" s="32" t="str">
        <x:v>TRN-0870|20250330</x:v>
      </x:c>
      <x:c r="Z871" s="32" t="str" cm="1">
        <x:f t="array" ref="Z87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871" s="33" t="n">
        <x:f>--OR(WorkforceData[[#This Row],[Status]]="Active",WorkforceData[[#This Row],[Promoted]]="Yes",WorkforceData[[#This Row],[Total Days Worked]]&gt;=121)</x:f>
        <x:v>0</x:v>
      </x:c>
      <x:c r="AB871" s="33" t="n">
        <x:f>IF(AND(Q871="Terminated",R871="",O871=0),1,0)</x:f>
        <x:v>0</x:v>
      </x:c>
      <x:c r="AC871" s="33" t="n">
        <x:f>--OR(WorkforceData[[#This Row],[Status]]="Resigned",WorkforceData[[#This Row],[Status After Training]]="Withdrew")</x:f>
        <x:v>0</x:v>
      </x:c>
      <x:c r="AD871" s="34" t="n">
        <x:f>EOMONTH(WorkforceData[[#This Row],[Training Date]],0)</x:f>
        <x:v>45747</x:v>
      </x:c>
      <x:c r="AE871" s="32" t="str">
        <x:f>IF(M871&lt;H871,"Existing Employee",IF(U871="","No Assignment",IF(V871=0,"0 Days",IF(V871&lt;=7,"1-7 Days",IF(V871&lt;=14,"8-14 Days",IF(V871&lt;=21,"15-21 Days","21+ Days"))))))</x:f>
        <x:v>Existing Employee</x:v>
      </x:c>
      <x:c r="AF87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871" s="33" t="n">
        <x:f>--(WorkforceData[[#This Row],[Total Days Worked]]&gt;=121)</x:f>
        <x:v>0</x:v>
      </x:c>
    </x:row>
    <x:row r="872">
      <x:c r="A872" s="236" t="str">
        <x:v>TRN-0871</x:v>
      </x:c>
      <x:c r="B872" s="243"/>
      <x:c r="C872" s="243"/>
      <x:c r="D872" s="243"/>
      <x:c r="E872" s="243"/>
      <x:c r="F872" s="14" t="str">
        <x:v>Recruiter H</x:v>
      </x:c>
      <x:c r="G872" s="14" t="str">
        <x:v>Training Center A</x:v>
      </x:c>
      <x:c r="H872" s="28">
        <x:v>45746</x:v>
      </x:c>
      <x:c r="I872" s="14">
        <x:v>2025</x:v>
      </x:c>
      <x:c r="J872" s="14" t="s">
        <x:v>130</x:v>
      </x:c>
      <x:c r="K872" s="14">
        <x:v>19</x:v>
      </x:c>
      <x:c r="L872" s="29" t="s">
        <x:v>119</x:v>
      </x:c>
      <x:c r="M872" s="28">
        <x:v>45746</x:v>
      </x:c>
      <x:c r="N872" s="28">
        <x:v>45805</x:v>
      </x:c>
      <x:c r="O872" s="14">
        <x:v>59</x:v>
      </x:c>
      <x:c r="P872" s="14" t="s">
        <x:v>110</x:v>
      </x:c>
      <x:c r="Q872" s="14" t="s">
        <x:v>103</x:v>
      </x:c>
      <x:c r="R872" s="14" t="s">
        <x:v>111</x:v>
      </x:c>
      <x:c r="S872" s="14" t="s">
        <x:v>105</x:v>
      </x:c>
      <x:c r="T872" s="14" t="str">
        <x:v>Region B</x:v>
      </x:c>
      <x:c r="U872" s="28">
        <x:v>45751</x:v>
      </x:c>
      <x:c r="V872" s="30">
        <x:v>5</x:v>
      </x:c>
      <x:c r="W872" s="14" t="s">
        <x:v>109</x:v>
      </x:c>
      <x:c r="X872" s="14" t="s">
        <x:v>106</x:v>
      </x:c>
      <x:c r="Y872" s="32" t="str">
        <x:v>TRN-0871|20250330</x:v>
      </x:c>
      <x:c r="Z872" s="32" t="str" cm="1">
        <x:f t="array" ref="Z87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872" s="33" t="n">
        <x:f>--OR(WorkforceData[[#This Row],[Status]]="Active",WorkforceData[[#This Row],[Promoted]]="Yes",WorkforceData[[#This Row],[Total Days Worked]]&gt;=121)</x:f>
        <x:v>0</x:v>
      </x:c>
      <x:c r="AB872" s="33" t="n">
        <x:f>IF(AND(Q872="Terminated",R872="",O872=0),1,0)</x:f>
        <x:v>0</x:v>
      </x:c>
      <x:c r="AC872" s="33" t="n">
        <x:f>--OR(WorkforceData[[#This Row],[Status]]="Resigned",WorkforceData[[#This Row],[Status After Training]]="Withdrew")</x:f>
        <x:v>1</x:v>
      </x:c>
      <x:c r="AD872" s="34" t="n">
        <x:f>EOMONTH(WorkforceData[[#This Row],[Training Date]],0)</x:f>
        <x:v>45747</x:v>
      </x:c>
      <x:c r="AE872" s="32" t="str">
        <x:f>IF(M872&lt;H872,"Existing Employee",IF(U872="","No Assignment",IF(V872=0,"0 Days",IF(V872&lt;=7,"1-7 Days",IF(V872&lt;=14,"8-14 Days",IF(V872&lt;=21,"15-21 Days","21+ Days"))))))</x:f>
        <x:v>1-7 Days</x:v>
      </x:c>
      <x:c r="AF87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872" s="33" t="n">
        <x:f>--(WorkforceData[[#This Row],[Total Days Worked]]&gt;=121)</x:f>
        <x:v>0</x:v>
      </x:c>
    </x:row>
    <x:row r="873">
      <x:c r="A873" s="236" t="str">
        <x:v>TRN-0872</x:v>
      </x:c>
      <x:c r="B873" s="243"/>
      <x:c r="C873" s="243"/>
      <x:c r="D873" s="243"/>
      <x:c r="E873" s="243"/>
      <x:c r="F873" s="14" t="str">
        <x:v>Recruiter F</x:v>
      </x:c>
      <x:c r="G873" s="14" t="str">
        <x:v>Training Center A</x:v>
      </x:c>
      <x:c r="H873" s="28">
        <x:v>45746</x:v>
      </x:c>
      <x:c r="I873" s="14">
        <x:v>2025</x:v>
      </x:c>
      <x:c r="J873" s="14" t="s">
        <x:v>130</x:v>
      </x:c>
      <x:c r="K873" s="14">
        <x:v>19</x:v>
      </x:c>
      <x:c r="L873" s="29" t="s">
        <x:v>119</x:v>
      </x:c>
      <x:c r="M873" s="28">
        <x:v>45736</x:v>
      </x:c>
      <x:c r="N873" s="14"/>
      <x:c r="O873" s="14">
        <x:v>515</x:v>
      </x:c>
      <x:c r="P873" s="14" t="s">
        <x:v>120</x:v>
      </x:c>
      <x:c r="Q873" s="14" t="s">
        <x:v>25</x:v>
      </x:c>
      <x:c r="R873" s="14"/>
      <x:c r="S873" s="14" t="s">
        <x:v>108</x:v>
      </x:c>
      <x:c r="T873" s="14" t="str">
        <x:v>Region D</x:v>
      </x:c>
      <x:c r="U873" s="28">
        <x:v>45755</x:v>
      </x:c>
      <x:c r="V873" s="30">
        <x:v>9</x:v>
      </x:c>
      <x:c r="W873" s="14" t="s">
        <x:v>45</x:v>
      </x:c>
      <x:c r="X873" s="14" t="s">
        <x:v>106</x:v>
      </x:c>
      <x:c r="Y873" s="32" t="str">
        <x:v>TRN-0872|20250330</x:v>
      </x:c>
      <x:c r="Z873" s="32" t="str" cm="1">
        <x:f t="array" ref="Z87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873" s="33" t="n">
        <x:f>--OR(WorkforceData[[#This Row],[Status]]="Active",WorkforceData[[#This Row],[Promoted]]="Yes",WorkforceData[[#This Row],[Total Days Worked]]&gt;=121)</x:f>
        <x:v>1</x:v>
      </x:c>
      <x:c r="AB873" s="33" t="n">
        <x:f>IF(AND(Q873="Terminated",R873="",O873=0),1,0)</x:f>
        <x:v>0</x:v>
      </x:c>
      <x:c r="AC873" s="33" t="n">
        <x:f>--OR(WorkforceData[[#This Row],[Status]]="Resigned",WorkforceData[[#This Row],[Status After Training]]="Withdrew")</x:f>
        <x:v>0</x:v>
      </x:c>
      <x:c r="AD873" s="34" t="n">
        <x:f>EOMONTH(WorkforceData[[#This Row],[Training Date]],0)</x:f>
        <x:v>45747</x:v>
      </x:c>
      <x:c r="AE873" s="32" t="str">
        <x:f>IF(M873&lt;H873,"Existing Employee",IF(U873="","No Assignment",IF(V873=0,"0 Days",IF(V873&lt;=7,"1-7 Days",IF(V873&lt;=14,"8-14 Days",IF(V873&lt;=21,"15-21 Days","21+ Days"))))))</x:f>
        <x:v>Existing Employee</x:v>
      </x:c>
      <x:c r="AF87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73" s="33" t="n">
        <x:f>--(WorkforceData[[#This Row],[Total Days Worked]]&gt;=121)</x:f>
        <x:v>1</x:v>
      </x:c>
    </x:row>
    <x:row r="874">
      <x:c r="A874" s="236" t="str">
        <x:v>TRN-0873</x:v>
      </x:c>
      <x:c r="B874" s="243"/>
      <x:c r="C874" s="243"/>
      <x:c r="D874" s="243"/>
      <x:c r="E874" s="243"/>
      <x:c r="F874" s="14" t="str">
        <x:v>Recruiter E</x:v>
      </x:c>
      <x:c r="G874" s="14" t="str">
        <x:v>Training Center A</x:v>
      </x:c>
      <x:c r="H874" s="28">
        <x:v>45746</x:v>
      </x:c>
      <x:c r="I874" s="14">
        <x:v>2025</x:v>
      </x:c>
      <x:c r="J874" s="14" t="s">
        <x:v>130</x:v>
      </x:c>
      <x:c r="K874" s="14">
        <x:v>19</x:v>
      </x:c>
      <x:c r="L874" s="29" t="s">
        <x:v>119</x:v>
      </x:c>
      <x:c r="M874" s="28">
        <x:v>45744</x:v>
      </x:c>
      <x:c r="N874" s="14"/>
      <x:c r="O874" s="14">
        <x:v>507</x:v>
      </x:c>
      <x:c r="P874" s="14" t="s">
        <x:v>120</x:v>
      </x:c>
      <x:c r="Q874" s="14" t="s">
        <x:v>25</x:v>
      </x:c>
      <x:c r="R874" s="14"/>
      <x:c r="S874" s="14" t="s">
        <x:v>108</x:v>
      </x:c>
      <x:c r="T874" s="14" t="str">
        <x:v>Region C</x:v>
      </x:c>
      <x:c r="U874" s="28">
        <x:v>45747</x:v>
      </x:c>
      <x:c r="V874" s="30">
        <x:v>1</x:v>
      </x:c>
      <x:c r="W874" s="14" t="s">
        <x:v>109</x:v>
      </x:c>
      <x:c r="X874" s="14" t="s">
        <x:v>106</x:v>
      </x:c>
      <x:c r="Y874" s="32" t="str">
        <x:v>TRN-0873|20250330</x:v>
      </x:c>
      <x:c r="Z874" s="32" t="str" cm="1">
        <x:f t="array" ref="Z87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874" s="33" t="n">
        <x:f>--OR(WorkforceData[[#This Row],[Status]]="Active",WorkforceData[[#This Row],[Promoted]]="Yes",WorkforceData[[#This Row],[Total Days Worked]]&gt;=121)</x:f>
        <x:v>1</x:v>
      </x:c>
      <x:c r="AB874" s="33" t="n">
        <x:f>IF(AND(Q874="Terminated",R874="",O874=0),1,0)</x:f>
        <x:v>0</x:v>
      </x:c>
      <x:c r="AC874" s="33" t="n">
        <x:f>--OR(WorkforceData[[#This Row],[Status]]="Resigned",WorkforceData[[#This Row],[Status After Training]]="Withdrew")</x:f>
        <x:v>0</x:v>
      </x:c>
      <x:c r="AD874" s="34" t="n">
        <x:f>EOMONTH(WorkforceData[[#This Row],[Training Date]],0)</x:f>
        <x:v>45747</x:v>
      </x:c>
      <x:c r="AE874" s="32" t="str">
        <x:f>IF(M874&lt;H874,"Existing Employee",IF(U874="","No Assignment",IF(V874=0,"0 Days",IF(V874&lt;=7,"1-7 Days",IF(V874&lt;=14,"8-14 Days",IF(V874&lt;=21,"15-21 Days","21+ Days"))))))</x:f>
        <x:v>Existing Employee</x:v>
      </x:c>
      <x:c r="AF87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74" s="33" t="n">
        <x:f>--(WorkforceData[[#This Row],[Total Days Worked]]&gt;=121)</x:f>
        <x:v>1</x:v>
      </x:c>
    </x:row>
    <x:row r="875">
      <x:c r="A875" s="236" t="str">
        <x:v>TRN-0874</x:v>
      </x:c>
      <x:c r="B875" s="243"/>
      <x:c r="C875" s="243"/>
      <x:c r="D875" s="243"/>
      <x:c r="E875" s="243"/>
      <x:c r="F875" s="14" t="str">
        <x:v>Recruiter C</x:v>
      </x:c>
      <x:c r="G875" s="14" t="str">
        <x:v>Training Center A</x:v>
      </x:c>
      <x:c r="H875" s="28">
        <x:v>45746</x:v>
      </x:c>
      <x:c r="I875" s="14">
        <x:v>2025</x:v>
      </x:c>
      <x:c r="J875" s="14" t="s">
        <x:v>130</x:v>
      </x:c>
      <x:c r="K875" s="14">
        <x:v>19</x:v>
      </x:c>
      <x:c r="L875" s="29" t="s">
        <x:v>119</x:v>
      </x:c>
      <x:c r="M875" s="28">
        <x:v>45743</x:v>
      </x:c>
      <x:c r="N875" s="28">
        <x:v>45760</x:v>
      </x:c>
      <x:c r="O875" s="14">
        <x:v>17</x:v>
      </x:c>
      <x:c r="P875" s="14" t="s">
        <x:v>102</x:v>
      </x:c>
      <x:c r="Q875" s="14" t="s">
        <x:v>103</x:v>
      </x:c>
      <x:c r="R875" s="14" t="s">
        <x:v>104</x:v>
      </x:c>
      <x:c r="S875" s="14" t="s">
        <x:v>105</x:v>
      </x:c>
      <x:c r="T875" s="14" t="str">
        <x:v>Region D</x:v>
      </x:c>
      <x:c r="U875" s="28">
        <x:v>45751</x:v>
      </x:c>
      <x:c r="V875" s="30">
        <x:v>5</x:v>
      </x:c>
      <x:c r="W875" s="14" t="s">
        <x:v>109</x:v>
      </x:c>
      <x:c r="X875" s="14" t="s">
        <x:v>125</x:v>
      </x:c>
      <x:c r="Y875" s="32" t="str">
        <x:v>TRN-0874|20250330</x:v>
      </x:c>
      <x:c r="Z875" s="32" t="str" cm="1">
        <x:f t="array" ref="Z87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875" s="33" t="n">
        <x:f>--OR(WorkforceData[[#This Row],[Status]]="Active",WorkforceData[[#This Row],[Promoted]]="Yes",WorkforceData[[#This Row],[Total Days Worked]]&gt;=121)</x:f>
        <x:v>0</x:v>
      </x:c>
      <x:c r="AB875" s="33" t="n">
        <x:f>IF(AND(Q875="Terminated",R875="",O875=0),1,0)</x:f>
        <x:v>0</x:v>
      </x:c>
      <x:c r="AC875" s="33" t="n">
        <x:f>--OR(WorkforceData[[#This Row],[Status]]="Resigned",WorkforceData[[#This Row],[Status After Training]]="Withdrew")</x:f>
        <x:v>1</x:v>
      </x:c>
      <x:c r="AD875" s="34" t="n">
        <x:f>EOMONTH(WorkforceData[[#This Row],[Training Date]],0)</x:f>
        <x:v>45747</x:v>
      </x:c>
      <x:c r="AE875" s="32" t="str">
        <x:f>IF(M875&lt;H875,"Existing Employee",IF(U875="","No Assignment",IF(V875=0,"0 Days",IF(V875&lt;=7,"1-7 Days",IF(V875&lt;=14,"8-14 Days",IF(V875&lt;=21,"15-21 Days","21+ Days"))))))</x:f>
        <x:v>Existing Employee</x:v>
      </x:c>
      <x:c r="AF87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875" s="33" t="n">
        <x:f>--(WorkforceData[[#This Row],[Total Days Worked]]&gt;=121)</x:f>
        <x:v>0</x:v>
      </x:c>
    </x:row>
    <x:row r="876">
      <x:c r="A876" s="236" t="str">
        <x:v>TRN-0875</x:v>
      </x:c>
      <x:c r="B876" s="243"/>
      <x:c r="C876" s="243"/>
      <x:c r="D876" s="243"/>
      <x:c r="E876" s="243"/>
      <x:c r="F876" s="14" t="str">
        <x:v>Recruiter F</x:v>
      </x:c>
      <x:c r="G876" s="14" t="str">
        <x:v>Training Center A</x:v>
      </x:c>
      <x:c r="H876" s="28">
        <x:v>45746</x:v>
      </x:c>
      <x:c r="I876" s="14">
        <x:v>2025</x:v>
      </x:c>
      <x:c r="J876" s="14" t="s">
        <x:v>130</x:v>
      </x:c>
      <x:c r="K876" s="14">
        <x:v>19</x:v>
      </x:c>
      <x:c r="L876" s="29" t="s">
        <x:v>119</x:v>
      </x:c>
      <x:c r="M876" s="28">
        <x:v>45745</x:v>
      </x:c>
      <x:c r="N876" s="14"/>
      <x:c r="O876" s="14">
        <x:v>506</x:v>
      </x:c>
      <x:c r="P876" s="14" t="s">
        <x:v>120</x:v>
      </x:c>
      <x:c r="Q876" s="14" t="s">
        <x:v>38</x:v>
      </x:c>
      <x:c r="R876" s="14"/>
      <x:c r="S876" s="14" t="s">
        <x:v>108</x:v>
      </x:c>
      <x:c r="T876" s="14" t="str">
        <x:v>Region C</x:v>
      </x:c>
      <x:c r="U876" s="28">
        <x:v>45754</x:v>
      </x:c>
      <x:c r="V876" s="30">
        <x:v>8</x:v>
      </x:c>
      <x:c r="W876" s="14" t="s">
        <x:v>45</x:v>
      </x:c>
      <x:c r="X876" s="14" t="s">
        <x:v>106</x:v>
      </x:c>
      <x:c r="Y876" s="32" t="str">
        <x:v>TRN-0875|20250330</x:v>
      </x:c>
      <x:c r="Z876" s="32" t="str" cm="1">
        <x:f t="array" ref="Z87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876" s="33" t="n">
        <x:f>--OR(WorkforceData[[#This Row],[Status]]="Active",WorkforceData[[#This Row],[Promoted]]="Yes",WorkforceData[[#This Row],[Total Days Worked]]&gt;=121)</x:f>
        <x:v>1</x:v>
      </x:c>
      <x:c r="AB876" s="33" t="n">
        <x:f>IF(AND(Q876="Terminated",R876="",O876=0),1,0)</x:f>
        <x:v>0</x:v>
      </x:c>
      <x:c r="AC876" s="33" t="n">
        <x:f>--OR(WorkforceData[[#This Row],[Status]]="Resigned",WorkforceData[[#This Row],[Status After Training]]="Withdrew")</x:f>
        <x:v>0</x:v>
      </x:c>
      <x:c r="AD876" s="34" t="n">
        <x:f>EOMONTH(WorkforceData[[#This Row],[Training Date]],0)</x:f>
        <x:v>45747</x:v>
      </x:c>
      <x:c r="AE876" s="32" t="str">
        <x:f>IF(M876&lt;H876,"Existing Employee",IF(U876="","No Assignment",IF(V876=0,"0 Days",IF(V876&lt;=7,"1-7 Days",IF(V876&lt;=14,"8-14 Days",IF(V876&lt;=21,"15-21 Days","21+ Days"))))))</x:f>
        <x:v>Existing Employee</x:v>
      </x:c>
      <x:c r="AF87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76" s="33" t="n">
        <x:f>--(WorkforceData[[#This Row],[Total Days Worked]]&gt;=121)</x:f>
        <x:v>1</x:v>
      </x:c>
    </x:row>
    <x:row r="877">
      <x:c r="A877" s="236" t="str">
        <x:v>TRN-0876</x:v>
      </x:c>
      <x:c r="B877" s="243"/>
      <x:c r="C877" s="243"/>
      <x:c r="D877" s="243"/>
      <x:c r="E877" s="243"/>
      <x:c r="F877" s="14" t="str">
        <x:v>Recruiter E</x:v>
      </x:c>
      <x:c r="G877" s="14" t="str">
        <x:v>Training Center A</x:v>
      </x:c>
      <x:c r="H877" s="28">
        <x:v>45746</x:v>
      </x:c>
      <x:c r="I877" s="14">
        <x:v>2025</x:v>
      </x:c>
      <x:c r="J877" s="14" t="s">
        <x:v>130</x:v>
      </x:c>
      <x:c r="K877" s="14">
        <x:v>19</x:v>
      </x:c>
      <x:c r="L877" s="29" t="s">
        <x:v>119</x:v>
      </x:c>
      <x:c r="M877" s="28">
        <x:v>45746</x:v>
      </x:c>
      <x:c r="N877" s="28">
        <x:v>46181</x:v>
      </x:c>
      <x:c r="O877" s="14">
        <x:v>435</x:v>
      </x:c>
      <x:c r="P877" s="14" t="s">
        <x:v>120</x:v>
      </x:c>
      <x:c r="Q877" s="14" t="s">
        <x:v>33</x:v>
      </x:c>
      <x:c r="R877" s="14" t="s">
        <x:v>124</x:v>
      </x:c>
      <x:c r="S877" s="14" t="s">
        <x:v>105</x:v>
      </x:c>
      <x:c r="T877" s="14"/>
      <x:c r="U877" s="28"/>
      <x:c r="V877" s="30"/>
      <x:c r="W877" s="14"/>
      <x:c r="X877" s="14" t="s">
        <x:v>71</x:v>
      </x:c>
      <x:c r="Y877" s="32" t="str">
        <x:v>TRN-0876|20250330</x:v>
      </x:c>
      <x:c r="Z877" s="32" t="str" cm="1">
        <x:f t="array" ref="Z87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Complete</x:v>
      </x:c>
      <x:c r="AA877" s="33" t="n">
        <x:f>--OR(WorkforceData[[#This Row],[Status]]="Active",WorkforceData[[#This Row],[Promoted]]="Yes",WorkforceData[[#This Row],[Total Days Worked]]&gt;=121)</x:f>
        <x:v>1</x:v>
      </x:c>
      <x:c r="AB877" s="33" t="n">
        <x:f>IF(AND(Q877="Terminated",R877="",O877=0),1,0)</x:f>
        <x:v>0</x:v>
      </x:c>
      <x:c r="AC877" s="33" t="n">
        <x:f>--OR(WorkforceData[[#This Row],[Status]]="Resigned",WorkforceData[[#This Row],[Status After Training]]="Withdrew")</x:f>
        <x:v>0</x:v>
      </x:c>
      <x:c r="AD877" s="34" t="n">
        <x:f>EOMONTH(WorkforceData[[#This Row],[Training Date]],0)</x:f>
        <x:v>45747</x:v>
      </x:c>
      <x:c r="AE877" s="32" t="str">
        <x:f>IF(M877&lt;H877,"Existing Employee",IF(U877="","No Assignment",IF(V877=0,"0 Days",IF(V877&lt;=7,"1-7 Days",IF(V877&lt;=14,"8-14 Days",IF(V877&lt;=21,"15-21 Days","21+ Days"))))))</x:f>
        <x:v>No Assignment</x:v>
      </x:c>
      <x:c r="AF87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77" s="33" t="n">
        <x:f>--(WorkforceData[[#This Row],[Total Days Worked]]&gt;=121)</x:f>
        <x:v>1</x:v>
      </x:c>
    </x:row>
    <x:row r="878">
      <x:c r="A878" s="236" t="str">
        <x:v>TRN-0877</x:v>
      </x:c>
      <x:c r="B878" s="243"/>
      <x:c r="C878" s="243"/>
      <x:c r="D878" s="243"/>
      <x:c r="E878" s="243"/>
      <x:c r="F878" s="14" t="str">
        <x:v>Recruiter C</x:v>
      </x:c>
      <x:c r="G878" s="14" t="str">
        <x:v>Training Center A</x:v>
      </x:c>
      <x:c r="H878" s="28">
        <x:v>45746</x:v>
      </x:c>
      <x:c r="I878" s="14">
        <x:v>2025</x:v>
      </x:c>
      <x:c r="J878" s="14" t="s">
        <x:v>130</x:v>
      </x:c>
      <x:c r="K878" s="14">
        <x:v>19</x:v>
      </x:c>
      <x:c r="L878" s="29" t="s">
        <x:v>119</x:v>
      </x:c>
      <x:c r="M878" s="28">
        <x:v>45743</x:v>
      </x:c>
      <x:c r="N878" s="14"/>
      <x:c r="O878" s="14">
        <x:v>508</x:v>
      </x:c>
      <x:c r="P878" s="14" t="s">
        <x:v>120</x:v>
      </x:c>
      <x:c r="Q878" s="14" t="s">
        <x:v>25</x:v>
      </x:c>
      <x:c r="R878" s="14"/>
      <x:c r="S878" s="14" t="s">
        <x:v>108</x:v>
      </x:c>
      <x:c r="T878" s="14" t="str">
        <x:v>Region B</x:v>
      </x:c>
      <x:c r="U878" s="28">
        <x:v>45765</x:v>
      </x:c>
      <x:c r="V878" s="30">
        <x:v>19</x:v>
      </x:c>
      <x:c r="W878" s="14" t="s">
        <x:v>112</x:v>
      </x:c>
      <x:c r="X878" s="14" t="s">
        <x:v>106</x:v>
      </x:c>
      <x:c r="Y878" s="32" t="str">
        <x:v>TRN-0877|20250330</x:v>
      </x:c>
      <x:c r="Z878" s="32" t="str" cm="1">
        <x:f t="array" ref="Z87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878" s="33" t="n">
        <x:f>--OR(WorkforceData[[#This Row],[Status]]="Active",WorkforceData[[#This Row],[Promoted]]="Yes",WorkforceData[[#This Row],[Total Days Worked]]&gt;=121)</x:f>
        <x:v>1</x:v>
      </x:c>
      <x:c r="AB878" s="33" t="n">
        <x:f>IF(AND(Q878="Terminated",R878="",O878=0),1,0)</x:f>
        <x:v>0</x:v>
      </x:c>
      <x:c r="AC878" s="33" t="n">
        <x:f>--OR(WorkforceData[[#This Row],[Status]]="Resigned",WorkforceData[[#This Row],[Status After Training]]="Withdrew")</x:f>
        <x:v>0</x:v>
      </x:c>
      <x:c r="AD878" s="34" t="n">
        <x:f>EOMONTH(WorkforceData[[#This Row],[Training Date]],0)</x:f>
        <x:v>45747</x:v>
      </x:c>
      <x:c r="AE878" s="32" t="str">
        <x:f>IF(M878&lt;H878,"Existing Employee",IF(U878="","No Assignment",IF(V878=0,"0 Days",IF(V878&lt;=7,"1-7 Days",IF(V878&lt;=14,"8-14 Days",IF(V878&lt;=21,"15-21 Days","21+ Days"))))))</x:f>
        <x:v>Existing Employee</x:v>
      </x:c>
      <x:c r="AF87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78" s="33" t="n">
        <x:f>--(WorkforceData[[#This Row],[Total Days Worked]]&gt;=121)</x:f>
        <x:v>1</x:v>
      </x:c>
    </x:row>
    <x:row r="879">
      <x:c r="A879" s="236" t="str">
        <x:v>TRN-0878</x:v>
      </x:c>
      <x:c r="B879" s="243"/>
      <x:c r="C879" s="243"/>
      <x:c r="D879" s="243"/>
      <x:c r="E879" s="243"/>
      <x:c r="F879" s="14" t="str">
        <x:v>Recruiter D</x:v>
      </x:c>
      <x:c r="G879" s="14" t="str">
        <x:v>Training Center A</x:v>
      </x:c>
      <x:c r="H879" s="28">
        <x:v>45746</x:v>
      </x:c>
      <x:c r="I879" s="14">
        <x:v>2025</x:v>
      </x:c>
      <x:c r="J879" s="14" t="s">
        <x:v>130</x:v>
      </x:c>
      <x:c r="K879" s="14">
        <x:v>19</x:v>
      </x:c>
      <x:c r="L879" s="29" t="s">
        <x:v>119</x:v>
      </x:c>
      <x:c r="M879" s="28">
        <x:v>45745</x:v>
      </x:c>
      <x:c r="N879" s="28">
        <x:v>45780</x:v>
      </x:c>
      <x:c r="O879" s="14">
        <x:v>35</x:v>
      </x:c>
      <x:c r="P879" s="14" t="s">
        <x:v>110</x:v>
      </x:c>
      <x:c r="Q879" s="14" t="s">
        <x:v>33</x:v>
      </x:c>
      <x:c r="R879" s="14" t="s">
        <x:v>121</x:v>
      </x:c>
      <x:c r="S879" s="14" t="s">
        <x:v>105</x:v>
      </x:c>
      <x:c r="T879" s="14" t="str">
        <x:v>Region B</x:v>
      </x:c>
      <x:c r="U879" s="28">
        <x:v>45767</x:v>
      </x:c>
      <x:c r="V879" s="30">
        <x:v>21</x:v>
      </x:c>
      <x:c r="W879" s="14" t="s">
        <x:v>112</x:v>
      </x:c>
      <x:c r="X879" s="14" t="s">
        <x:v>125</x:v>
      </x:c>
      <x:c r="Y879" s="32" t="str">
        <x:v>TRN-0878|20250330</x:v>
      </x:c>
      <x:c r="Z879" s="32" t="str" cm="1">
        <x:f t="array" ref="Z87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879" s="33" t="n">
        <x:f>--OR(WorkforceData[[#This Row],[Status]]="Active",WorkforceData[[#This Row],[Promoted]]="Yes",WorkforceData[[#This Row],[Total Days Worked]]&gt;=121)</x:f>
        <x:v>0</x:v>
      </x:c>
      <x:c r="AB879" s="33" t="n">
        <x:f>IF(AND(Q879="Terminated",R879="",O879=0),1,0)</x:f>
        <x:v>0</x:v>
      </x:c>
      <x:c r="AC879" s="33" t="n">
        <x:f>--OR(WorkforceData[[#This Row],[Status]]="Resigned",WorkforceData[[#This Row],[Status After Training]]="Withdrew")</x:f>
        <x:v>0</x:v>
      </x:c>
      <x:c r="AD879" s="34" t="n">
        <x:f>EOMONTH(WorkforceData[[#This Row],[Training Date]],0)</x:f>
        <x:v>45747</x:v>
      </x:c>
      <x:c r="AE879" s="32" t="str">
        <x:f>IF(M879&lt;H879,"Existing Employee",IF(U879="","No Assignment",IF(V879=0,"0 Days",IF(V879&lt;=7,"1-7 Days",IF(V879&lt;=14,"8-14 Days",IF(V879&lt;=21,"15-21 Days","21+ Days"))))))</x:f>
        <x:v>Existing Employee</x:v>
      </x:c>
      <x:c r="AF87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879" s="33" t="n">
        <x:f>--(WorkforceData[[#This Row],[Total Days Worked]]&gt;=121)</x:f>
        <x:v>0</x:v>
      </x:c>
    </x:row>
    <x:row r="880">
      <x:c r="A880" s="236" t="str">
        <x:v>TRN-0879</x:v>
      </x:c>
      <x:c r="B880" s="243"/>
      <x:c r="C880" s="243"/>
      <x:c r="D880" s="243"/>
      <x:c r="E880" s="243"/>
      <x:c r="F880" s="14" t="str">
        <x:v>Recruiter F</x:v>
      </x:c>
      <x:c r="G880" s="14" t="str">
        <x:v>Training Center A</x:v>
      </x:c>
      <x:c r="H880" s="28">
        <x:v>45620</x:v>
      </x:c>
      <x:c r="I880" s="14">
        <x:v>2024</x:v>
      </x:c>
      <x:c r="J880" s="14" t="s">
        <x:v>134</x:v>
      </x:c>
      <x:c r="K880" s="14">
        <x:v>32</x:v>
      </x:c>
      <x:c r="L880" s="29" t="s">
        <x:v>128</x:v>
      </x:c>
      <x:c r="M880" s="28">
        <x:v>45615</x:v>
      </x:c>
      <x:c r="N880" s="14"/>
      <x:c r="O880" s="14">
        <x:v>636</x:v>
      </x:c>
      <x:c r="P880" s="14" t="s">
        <x:v>120</x:v>
      </x:c>
      <x:c r="Q880" s="14" t="s">
        <x:v>25</x:v>
      </x:c>
      <x:c r="R880" s="14"/>
      <x:c r="S880" s="14" t="s">
        <x:v>108</x:v>
      </x:c>
      <x:c r="T880" s="14" t="str">
        <x:v>Region B</x:v>
      </x:c>
      <x:c r="U880" s="28">
        <x:v>45672</x:v>
      </x:c>
      <x:c r="V880" s="30">
        <x:v>52</x:v>
      </x:c>
      <x:c r="W880" s="14" t="s">
        <x:v>63</x:v>
      </x:c>
      <x:c r="X880" s="14" t="s">
        <x:v>117</x:v>
      </x:c>
      <x:c r="Y880" s="32" t="str">
        <x:v>TRN-0879|20241124</x:v>
      </x:c>
      <x:c r="Z880" s="32" t="str" cm="1">
        <x:f t="array" ref="Z88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880" s="33" t="n">
        <x:f>--OR(WorkforceData[[#This Row],[Status]]="Active",WorkforceData[[#This Row],[Promoted]]="Yes",WorkforceData[[#This Row],[Total Days Worked]]&gt;=121)</x:f>
        <x:v>1</x:v>
      </x:c>
      <x:c r="AB880" s="33" t="n">
        <x:f>IF(AND(Q880="Terminated",R880="",O880=0),1,0)</x:f>
        <x:v>0</x:v>
      </x:c>
      <x:c r="AC880" s="33" t="n">
        <x:f>--OR(WorkforceData[[#This Row],[Status]]="Resigned",WorkforceData[[#This Row],[Status After Training]]="Withdrew")</x:f>
        <x:v>0</x:v>
      </x:c>
      <x:c r="AD880" s="34" t="n">
        <x:f>EOMONTH(WorkforceData[[#This Row],[Training Date]],0)</x:f>
        <x:v>45626</x:v>
      </x:c>
      <x:c r="AE880" s="32" t="str">
        <x:f>IF(M880&lt;H880,"Existing Employee",IF(U880="","No Assignment",IF(V880=0,"0 Days",IF(V880&lt;=7,"1-7 Days",IF(V880&lt;=14,"8-14 Days",IF(V880&lt;=21,"15-21 Days","21+ Days"))))))</x:f>
        <x:v>Existing Employee</x:v>
      </x:c>
      <x:c r="AF88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80" s="33" t="n">
        <x:f>--(WorkforceData[[#This Row],[Total Days Worked]]&gt;=121)</x:f>
        <x:v>1</x:v>
      </x:c>
    </x:row>
    <x:row r="881">
      <x:c r="A881" s="236" t="str">
        <x:v>TRN-0880</x:v>
      </x:c>
      <x:c r="B881" s="243"/>
      <x:c r="C881" s="243"/>
      <x:c r="D881" s="243"/>
      <x:c r="E881" s="243"/>
      <x:c r="F881" s="14" t="str">
        <x:v>Recruiter D</x:v>
      </x:c>
      <x:c r="G881" s="14" t="str">
        <x:v>Training Center A</x:v>
      </x:c>
      <x:c r="H881" s="28">
        <x:v>45620</x:v>
      </x:c>
      <x:c r="I881" s="14">
        <x:v>2024</x:v>
      </x:c>
      <x:c r="J881" s="14" t="s">
        <x:v>134</x:v>
      </x:c>
      <x:c r="K881" s="14">
        <x:v>32</x:v>
      </x:c>
      <x:c r="L881" s="29" t="s">
        <x:v>128</x:v>
      </x:c>
      <x:c r="M881" s="28">
        <x:v>45613</x:v>
      </x:c>
      <x:c r="N881" s="14"/>
      <x:c r="O881" s="14">
        <x:v>638</x:v>
      </x:c>
      <x:c r="P881" s="14" t="s">
        <x:v>120</x:v>
      </x:c>
      <x:c r="Q881" s="14" t="s">
        <x:v>25</x:v>
      </x:c>
      <x:c r="R881" s="14"/>
      <x:c r="S881" s="14" t="s">
        <x:v>108</x:v>
      </x:c>
      <x:c r="T881" s="14" t="str">
        <x:v>Region A</x:v>
      </x:c>
      <x:c r="U881" s="28">
        <x:v>45625</x:v>
      </x:c>
      <x:c r="V881" s="30">
        <x:v>5</x:v>
      </x:c>
      <x:c r="W881" s="14" t="s">
        <x:v>109</x:v>
      </x:c>
      <x:c r="X881" s="14" t="s">
        <x:v>106</x:v>
      </x:c>
      <x:c r="Y881" s="32" t="str">
        <x:v>TRN-0880|20241124</x:v>
      </x:c>
      <x:c r="Z881" s="32" t="str" cm="1">
        <x:f t="array" ref="Z88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881" s="33" t="n">
        <x:f>--OR(WorkforceData[[#This Row],[Status]]="Active",WorkforceData[[#This Row],[Promoted]]="Yes",WorkforceData[[#This Row],[Total Days Worked]]&gt;=121)</x:f>
        <x:v>1</x:v>
      </x:c>
      <x:c r="AB881" s="33" t="n">
        <x:f>IF(AND(Q881="Terminated",R881="",O881=0),1,0)</x:f>
        <x:v>0</x:v>
      </x:c>
      <x:c r="AC881" s="33" t="n">
        <x:f>--OR(WorkforceData[[#This Row],[Status]]="Resigned",WorkforceData[[#This Row],[Status After Training]]="Withdrew")</x:f>
        <x:v>0</x:v>
      </x:c>
      <x:c r="AD881" s="34" t="n">
        <x:f>EOMONTH(WorkforceData[[#This Row],[Training Date]],0)</x:f>
        <x:v>45626</x:v>
      </x:c>
      <x:c r="AE881" s="32" t="str">
        <x:f>IF(M881&lt;H881,"Existing Employee",IF(U881="","No Assignment",IF(V881=0,"0 Days",IF(V881&lt;=7,"1-7 Days",IF(V881&lt;=14,"8-14 Days",IF(V881&lt;=21,"15-21 Days","21+ Days"))))))</x:f>
        <x:v>Existing Employee</x:v>
      </x:c>
      <x:c r="AF88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81" s="33" t="n">
        <x:f>--(WorkforceData[[#This Row],[Total Days Worked]]&gt;=121)</x:f>
        <x:v>1</x:v>
      </x:c>
    </x:row>
    <x:row r="882">
      <x:c r="A882" s="236" t="str">
        <x:v>TRN-0881</x:v>
      </x:c>
      <x:c r="B882" s="243"/>
      <x:c r="C882" s="243"/>
      <x:c r="D882" s="243"/>
      <x:c r="E882" s="243"/>
      <x:c r="F882" s="14" t="str">
        <x:v>Recruiter C</x:v>
      </x:c>
      <x:c r="G882" s="14" t="str">
        <x:v>Training Center A</x:v>
      </x:c>
      <x:c r="H882" s="28">
        <x:v>45620</x:v>
      </x:c>
      <x:c r="I882" s="14">
        <x:v>2024</x:v>
      </x:c>
      <x:c r="J882" s="14" t="s">
        <x:v>134</x:v>
      </x:c>
      <x:c r="K882" s="14">
        <x:v>32</x:v>
      </x:c>
      <x:c r="L882" s="29" t="s">
        <x:v>128</x:v>
      </x:c>
      <x:c r="M882" s="28">
        <x:v>45610</x:v>
      </x:c>
      <x:c r="N882" s="14"/>
      <x:c r="O882" s="14">
        <x:v>641</x:v>
      </x:c>
      <x:c r="P882" s="14" t="s">
        <x:v>120</x:v>
      </x:c>
      <x:c r="Q882" s="14" t="s">
        <x:v>25</x:v>
      </x:c>
      <x:c r="R882" s="14"/>
      <x:c r="S882" s="14" t="s">
        <x:v>108</x:v>
      </x:c>
      <x:c r="T882" s="14" t="str">
        <x:v>Region D</x:v>
      </x:c>
      <x:c r="U882" s="28">
        <x:v>45642</x:v>
      </x:c>
      <x:c r="V882" s="30">
        <x:v>22</x:v>
      </x:c>
      <x:c r="W882" s="14" t="s">
        <x:v>112</x:v>
      </x:c>
      <x:c r="X882" s="14" t="s">
        <x:v>106</x:v>
      </x:c>
      <x:c r="Y882" s="32" t="str">
        <x:v>TRN-0881|20241124</x:v>
      </x:c>
      <x:c r="Z882" s="32" t="str" cm="1">
        <x:f t="array" ref="Z88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882" s="33" t="n">
        <x:f>--OR(WorkforceData[[#This Row],[Status]]="Active",WorkforceData[[#This Row],[Promoted]]="Yes",WorkforceData[[#This Row],[Total Days Worked]]&gt;=121)</x:f>
        <x:v>1</x:v>
      </x:c>
      <x:c r="AB882" s="33" t="n">
        <x:f>IF(AND(Q882="Terminated",R882="",O882=0),1,0)</x:f>
        <x:v>0</x:v>
      </x:c>
      <x:c r="AC882" s="33" t="n">
        <x:f>--OR(WorkforceData[[#This Row],[Status]]="Resigned",WorkforceData[[#This Row],[Status After Training]]="Withdrew")</x:f>
        <x:v>0</x:v>
      </x:c>
      <x:c r="AD882" s="34" t="n">
        <x:f>EOMONTH(WorkforceData[[#This Row],[Training Date]],0)</x:f>
        <x:v>45626</x:v>
      </x:c>
      <x:c r="AE882" s="32" t="str">
        <x:f>IF(M882&lt;H882,"Existing Employee",IF(U882="","No Assignment",IF(V882=0,"0 Days",IF(V882&lt;=7,"1-7 Days",IF(V882&lt;=14,"8-14 Days",IF(V882&lt;=21,"15-21 Days","21+ Days"))))))</x:f>
        <x:v>Existing Employee</x:v>
      </x:c>
      <x:c r="AF88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82" s="33" t="n">
        <x:f>--(WorkforceData[[#This Row],[Total Days Worked]]&gt;=121)</x:f>
        <x:v>1</x:v>
      </x:c>
    </x:row>
    <x:row r="883">
      <x:c r="A883" s="236" t="str">
        <x:v>TRN-0882</x:v>
      </x:c>
      <x:c r="B883" s="243"/>
      <x:c r="C883" s="243"/>
      <x:c r="D883" s="243"/>
      <x:c r="E883" s="243"/>
      <x:c r="F883" s="14" t="str">
        <x:v>Recruiter E</x:v>
      </x:c>
      <x:c r="G883" s="14" t="str">
        <x:v>Training Center A</x:v>
      </x:c>
      <x:c r="H883" s="28">
        <x:v>45620</x:v>
      </x:c>
      <x:c r="I883" s="14">
        <x:v>2024</x:v>
      </x:c>
      <x:c r="J883" s="14" t="s">
        <x:v>134</x:v>
      </x:c>
      <x:c r="K883" s="14">
        <x:v>32</x:v>
      </x:c>
      <x:c r="L883" s="29" t="s">
        <x:v>128</x:v>
      </x:c>
      <x:c r="M883" s="28">
        <x:v>45615</x:v>
      </x:c>
      <x:c r="N883" s="14"/>
      <x:c r="O883" s="14">
        <x:v>636</x:v>
      </x:c>
      <x:c r="P883" s="14" t="s">
        <x:v>120</x:v>
      </x:c>
      <x:c r="Q883" s="14" t="s">
        <x:v>25</x:v>
      </x:c>
      <x:c r="R883" s="14"/>
      <x:c r="S883" s="14" t="s">
        <x:v>108</x:v>
      </x:c>
      <x:c r="T883" s="14" t="str">
        <x:v>Region A</x:v>
      </x:c>
      <x:c r="U883" s="28">
        <x:v>45621</x:v>
      </x:c>
      <x:c r="V883" s="30">
        <x:v>1</x:v>
      </x:c>
      <x:c r="W883" s="14" t="s">
        <x:v>109</x:v>
      </x:c>
      <x:c r="X883" s="14" t="s">
        <x:v>106</x:v>
      </x:c>
      <x:c r="Y883" s="32" t="str">
        <x:v>TRN-0882|20241124</x:v>
      </x:c>
      <x:c r="Z883" s="32" t="str" cm="1">
        <x:f t="array" ref="Z88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883" s="33" t="n">
        <x:f>--OR(WorkforceData[[#This Row],[Status]]="Active",WorkforceData[[#This Row],[Promoted]]="Yes",WorkforceData[[#This Row],[Total Days Worked]]&gt;=121)</x:f>
        <x:v>1</x:v>
      </x:c>
      <x:c r="AB883" s="33" t="n">
        <x:f>IF(AND(Q883="Terminated",R883="",O883=0),1,0)</x:f>
        <x:v>0</x:v>
      </x:c>
      <x:c r="AC883" s="33" t="n">
        <x:f>--OR(WorkforceData[[#This Row],[Status]]="Resigned",WorkforceData[[#This Row],[Status After Training]]="Withdrew")</x:f>
        <x:v>0</x:v>
      </x:c>
      <x:c r="AD883" s="34" t="n">
        <x:f>EOMONTH(WorkforceData[[#This Row],[Training Date]],0)</x:f>
        <x:v>45626</x:v>
      </x:c>
      <x:c r="AE883" s="32" t="str">
        <x:f>IF(M883&lt;H883,"Existing Employee",IF(U883="","No Assignment",IF(V883=0,"0 Days",IF(V883&lt;=7,"1-7 Days",IF(V883&lt;=14,"8-14 Days",IF(V883&lt;=21,"15-21 Days","21+ Days"))))))</x:f>
        <x:v>Existing Employee</x:v>
      </x:c>
      <x:c r="AF88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83" s="33" t="n">
        <x:f>--(WorkforceData[[#This Row],[Total Days Worked]]&gt;=121)</x:f>
        <x:v>1</x:v>
      </x:c>
    </x:row>
    <x:row r="884">
      <x:c r="A884" s="236" t="str">
        <x:v>TRN-0883</x:v>
      </x:c>
      <x:c r="B884" s="243"/>
      <x:c r="C884" s="243"/>
      <x:c r="D884" s="243"/>
      <x:c r="E884" s="243"/>
      <x:c r="F884" s="14" t="str">
        <x:v>Recruiter G</x:v>
      </x:c>
      <x:c r="G884" s="14" t="str">
        <x:v>Training Center A</x:v>
      </x:c>
      <x:c r="H884" s="28">
        <x:v>45620</x:v>
      </x:c>
      <x:c r="I884" s="14">
        <x:v>2024</x:v>
      </x:c>
      <x:c r="J884" s="14" t="s">
        <x:v>134</x:v>
      </x:c>
      <x:c r="K884" s="14">
        <x:v>32</x:v>
      </x:c>
      <x:c r="L884" s="29" t="s">
        <x:v>128</x:v>
      </x:c>
      <x:c r="M884" s="28">
        <x:v>45620</x:v>
      </x:c>
      <x:c r="N884" s="28">
        <x:v>45996</x:v>
      </x:c>
      <x:c r="O884" s="14">
        <x:v>376</x:v>
      </x:c>
      <x:c r="P884" s="14" t="s">
        <x:v>120</x:v>
      </x:c>
      <x:c r="Q884" s="14" t="s">
        <x:v>103</x:v>
      </x:c>
      <x:c r="R884" s="14" t="s">
        <x:v>104</x:v>
      </x:c>
      <x:c r="S884" s="14" t="s">
        <x:v>105</x:v>
      </x:c>
      <x:c r="T884" s="14" t="str">
        <x:v>Region B</x:v>
      </x:c>
      <x:c r="U884" s="28">
        <x:v>45739</x:v>
      </x:c>
      <x:c r="V884" s="30">
        <x:v>119</x:v>
      </x:c>
      <x:c r="W884" s="14" t="s">
        <x:v>114</x:v>
      </x:c>
      <x:c r="X884" s="14" t="s">
        <x:v>115</x:v>
      </x:c>
      <x:c r="Y884" s="32" t="str">
        <x:v>TRN-0883|20241124</x:v>
      </x:c>
      <x:c r="Z884" s="32" t="str" cm="1">
        <x:f t="array" ref="Z88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Complete</x:v>
      </x:c>
      <x:c r="AA884" s="33" t="n">
        <x:f>--OR(WorkforceData[[#This Row],[Status]]="Active",WorkforceData[[#This Row],[Promoted]]="Yes",WorkforceData[[#This Row],[Total Days Worked]]&gt;=121)</x:f>
        <x:v>1</x:v>
      </x:c>
      <x:c r="AB884" s="33" t="n">
        <x:f>IF(AND(Q884="Terminated",R884="",O884=0),1,0)</x:f>
        <x:v>0</x:v>
      </x:c>
      <x:c r="AC884" s="33" t="n">
        <x:f>--OR(WorkforceData[[#This Row],[Status]]="Resigned",WorkforceData[[#This Row],[Status After Training]]="Withdrew")</x:f>
        <x:v>1</x:v>
      </x:c>
      <x:c r="AD884" s="34" t="n">
        <x:f>EOMONTH(WorkforceData[[#This Row],[Training Date]],0)</x:f>
        <x:v>45626</x:v>
      </x:c>
      <x:c r="AE884" s="32" t="str">
        <x:f>IF(M884&lt;H884,"Existing Employee",IF(U884="","No Assignment",IF(V884=0,"0 Days",IF(V884&lt;=7,"1-7 Days",IF(V884&lt;=14,"8-14 Days",IF(V884&lt;=21,"15-21 Days","21+ Days"))))))</x:f>
        <x:v>21+ Days</x:v>
      </x:c>
      <x:c r="AF88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84" s="33" t="n">
        <x:f>--(WorkforceData[[#This Row],[Total Days Worked]]&gt;=121)</x:f>
        <x:v>1</x:v>
      </x:c>
    </x:row>
    <x:row r="885">
      <x:c r="A885" s="236" t="str">
        <x:v>TRN-0884</x:v>
      </x:c>
      <x:c r="B885" s="243"/>
      <x:c r="C885" s="243"/>
      <x:c r="D885" s="243"/>
      <x:c r="E885" s="243"/>
      <x:c r="F885" s="14" t="str">
        <x:v>Recruiter C</x:v>
      </x:c>
      <x:c r="G885" s="14" t="str">
        <x:v>Training Center A</x:v>
      </x:c>
      <x:c r="H885" s="28">
        <x:v>45620</x:v>
      </x:c>
      <x:c r="I885" s="14">
        <x:v>2024</x:v>
      </x:c>
      <x:c r="J885" s="14" t="s">
        <x:v>134</x:v>
      </x:c>
      <x:c r="K885" s="14">
        <x:v>32</x:v>
      </x:c>
      <x:c r="L885" s="29" t="s">
        <x:v>128</x:v>
      </x:c>
      <x:c r="M885" s="28">
        <x:v>45619</x:v>
      </x:c>
      <x:c r="N885" s="14"/>
      <x:c r="O885" s="14">
        <x:v>632</x:v>
      </x:c>
      <x:c r="P885" s="14" t="s">
        <x:v>120</x:v>
      </x:c>
      <x:c r="Q885" s="14" t="s">
        <x:v>38</x:v>
      </x:c>
      <x:c r="R885" s="14"/>
      <x:c r="S885" s="14" t="s">
        <x:v>108</x:v>
      </x:c>
      <x:c r="T885" s="14" t="str">
        <x:v>Region A</x:v>
      </x:c>
      <x:c r="U885" s="28">
        <x:v>45636</x:v>
      </x:c>
      <x:c r="V885" s="30">
        <x:v>16</x:v>
      </x:c>
      <x:c r="W885" s="14" t="s">
        <x:v>112</x:v>
      </x:c>
      <x:c r="X885" s="14" t="s">
        <x:v>106</x:v>
      </x:c>
      <x:c r="Y885" s="32" t="str">
        <x:v>TRN-0884|20241124</x:v>
      </x:c>
      <x:c r="Z885" s="32" t="str" cm="1">
        <x:f t="array" ref="Z88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885" s="33" t="n">
        <x:f>--OR(WorkforceData[[#This Row],[Status]]="Active",WorkforceData[[#This Row],[Promoted]]="Yes",WorkforceData[[#This Row],[Total Days Worked]]&gt;=121)</x:f>
        <x:v>1</x:v>
      </x:c>
      <x:c r="AB885" s="33" t="n">
        <x:f>IF(AND(Q885="Terminated",R885="",O885=0),1,0)</x:f>
        <x:v>0</x:v>
      </x:c>
      <x:c r="AC885" s="33" t="n">
        <x:f>--OR(WorkforceData[[#This Row],[Status]]="Resigned",WorkforceData[[#This Row],[Status After Training]]="Withdrew")</x:f>
        <x:v>0</x:v>
      </x:c>
      <x:c r="AD885" s="34" t="n">
        <x:f>EOMONTH(WorkforceData[[#This Row],[Training Date]],0)</x:f>
        <x:v>45626</x:v>
      </x:c>
      <x:c r="AE885" s="32" t="str">
        <x:f>IF(M885&lt;H885,"Existing Employee",IF(U885="","No Assignment",IF(V885=0,"0 Days",IF(V885&lt;=7,"1-7 Days",IF(V885&lt;=14,"8-14 Days",IF(V885&lt;=21,"15-21 Days","21+ Days"))))))</x:f>
        <x:v>Existing Employee</x:v>
      </x:c>
      <x:c r="AF88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85" s="33" t="n">
        <x:f>--(WorkforceData[[#This Row],[Total Days Worked]]&gt;=121)</x:f>
        <x:v>1</x:v>
      </x:c>
    </x:row>
    <x:row r="886">
      <x:c r="A886" s="236" t="str">
        <x:v>TRN-0885</x:v>
      </x:c>
      <x:c r="B886" s="243"/>
      <x:c r="C886" s="243"/>
      <x:c r="D886" s="243"/>
      <x:c r="E886" s="243"/>
      <x:c r="F886" s="14" t="str">
        <x:v>Recruiter F</x:v>
      </x:c>
      <x:c r="G886" s="14" t="str">
        <x:v>Training Center A</x:v>
      </x:c>
      <x:c r="H886" s="28">
        <x:v>45620</x:v>
      </x:c>
      <x:c r="I886" s="14">
        <x:v>2024</x:v>
      </x:c>
      <x:c r="J886" s="14" t="s">
        <x:v>134</x:v>
      </x:c>
      <x:c r="K886" s="14">
        <x:v>32</x:v>
      </x:c>
      <x:c r="L886" s="29" t="s">
        <x:v>128</x:v>
      </x:c>
      <x:c r="M886" s="28">
        <x:v>45620</x:v>
      </x:c>
      <x:c r="N886" s="14"/>
      <x:c r="O886" s="14">
        <x:v>631</x:v>
      </x:c>
      <x:c r="P886" s="14" t="s">
        <x:v>120</x:v>
      </x:c>
      <x:c r="Q886" s="14" t="s">
        <x:v>25</x:v>
      </x:c>
      <x:c r="R886" s="14"/>
      <x:c r="S886" s="14" t="s">
        <x:v>108</x:v>
      </x:c>
      <x:c r="T886" s="14" t="str">
        <x:v>Region D</x:v>
      </x:c>
      <x:c r="U886" s="28">
        <x:v>45621</x:v>
      </x:c>
      <x:c r="V886" s="30">
        <x:v>1</x:v>
      </x:c>
      <x:c r="W886" s="14" t="s">
        <x:v>109</x:v>
      </x:c>
      <x:c r="X886" s="14" t="s">
        <x:v>106</x:v>
      </x:c>
      <x:c r="Y886" s="32" t="str">
        <x:v>TRN-0885|20241124</x:v>
      </x:c>
      <x:c r="Z886" s="32" t="str" cm="1">
        <x:f t="array" ref="Z88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886" s="33" t="n">
        <x:f>--OR(WorkforceData[[#This Row],[Status]]="Active",WorkforceData[[#This Row],[Promoted]]="Yes",WorkforceData[[#This Row],[Total Days Worked]]&gt;=121)</x:f>
        <x:v>1</x:v>
      </x:c>
      <x:c r="AB886" s="33" t="n">
        <x:f>IF(AND(Q886="Terminated",R886="",O886=0),1,0)</x:f>
        <x:v>0</x:v>
      </x:c>
      <x:c r="AC886" s="33" t="n">
        <x:f>--OR(WorkforceData[[#This Row],[Status]]="Resigned",WorkforceData[[#This Row],[Status After Training]]="Withdrew")</x:f>
        <x:v>0</x:v>
      </x:c>
      <x:c r="AD886" s="34" t="n">
        <x:f>EOMONTH(WorkforceData[[#This Row],[Training Date]],0)</x:f>
        <x:v>45626</x:v>
      </x:c>
      <x:c r="AE886" s="32" t="str">
        <x:f>IF(M886&lt;H886,"Existing Employee",IF(U886="","No Assignment",IF(V886=0,"0 Days",IF(V886&lt;=7,"1-7 Days",IF(V886&lt;=14,"8-14 Days",IF(V886&lt;=21,"15-21 Days","21+ Days"))))))</x:f>
        <x:v>1-7 Days</x:v>
      </x:c>
      <x:c r="AF88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86" s="33" t="n">
        <x:f>--(WorkforceData[[#This Row],[Total Days Worked]]&gt;=121)</x:f>
        <x:v>1</x:v>
      </x:c>
    </x:row>
    <x:row r="887">
      <x:c r="A887" s="236" t="str">
        <x:v>TRN-0886</x:v>
      </x:c>
      <x:c r="B887" s="243"/>
      <x:c r="C887" s="243"/>
      <x:c r="D887" s="243"/>
      <x:c r="E887" s="243"/>
      <x:c r="F887" s="14" t="str">
        <x:v>Recruiter F</x:v>
      </x:c>
      <x:c r="G887" s="14" t="str">
        <x:v>Training Center A</x:v>
      </x:c>
      <x:c r="H887" s="28">
        <x:v>45620</x:v>
      </x:c>
      <x:c r="I887" s="14">
        <x:v>2024</x:v>
      </x:c>
      <x:c r="J887" s="14" t="s">
        <x:v>134</x:v>
      </x:c>
      <x:c r="K887" s="14">
        <x:v>32</x:v>
      </x:c>
      <x:c r="L887" s="29" t="s">
        <x:v>128</x:v>
      </x:c>
      <x:c r="M887" s="28">
        <x:v>45615</x:v>
      </x:c>
      <x:c r="N887" s="14"/>
      <x:c r="O887" s="14">
        <x:v>636</x:v>
      </x:c>
      <x:c r="P887" s="14" t="s">
        <x:v>120</x:v>
      </x:c>
      <x:c r="Q887" s="14" t="s">
        <x:v>25</x:v>
      </x:c>
      <x:c r="R887" s="14"/>
      <x:c r="S887" s="14" t="s">
        <x:v>108</x:v>
      </x:c>
      <x:c r="T887" s="14" t="str">
        <x:v>Region D</x:v>
      </x:c>
      <x:c r="U887" s="28">
        <x:v>45623</x:v>
      </x:c>
      <x:c r="V887" s="30">
        <x:v>3</x:v>
      </x:c>
      <x:c r="W887" s="14" t="s">
        <x:v>109</x:v>
      </x:c>
      <x:c r="X887" s="14" t="s">
        <x:v>106</x:v>
      </x:c>
      <x:c r="Y887" s="32" t="str">
        <x:v>TRN-0886|20241124</x:v>
      </x:c>
      <x:c r="Z887" s="32" t="str" cm="1">
        <x:f t="array" ref="Z88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887" s="33" t="n">
        <x:f>--OR(WorkforceData[[#This Row],[Status]]="Active",WorkforceData[[#This Row],[Promoted]]="Yes",WorkforceData[[#This Row],[Total Days Worked]]&gt;=121)</x:f>
        <x:v>1</x:v>
      </x:c>
      <x:c r="AB887" s="33" t="n">
        <x:f>IF(AND(Q887="Terminated",R887="",O887=0),1,0)</x:f>
        <x:v>0</x:v>
      </x:c>
      <x:c r="AC887" s="33" t="n">
        <x:f>--OR(WorkforceData[[#This Row],[Status]]="Resigned",WorkforceData[[#This Row],[Status After Training]]="Withdrew")</x:f>
        <x:v>0</x:v>
      </x:c>
      <x:c r="AD887" s="34" t="n">
        <x:f>EOMONTH(WorkforceData[[#This Row],[Training Date]],0)</x:f>
        <x:v>45626</x:v>
      </x:c>
      <x:c r="AE887" s="32" t="str">
        <x:f>IF(M887&lt;H887,"Existing Employee",IF(U887="","No Assignment",IF(V887=0,"0 Days",IF(V887&lt;=7,"1-7 Days",IF(V887&lt;=14,"8-14 Days",IF(V887&lt;=21,"15-21 Days","21+ Days"))))))</x:f>
        <x:v>Existing Employee</x:v>
      </x:c>
      <x:c r="AF88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87" s="33" t="n">
        <x:f>--(WorkforceData[[#This Row],[Total Days Worked]]&gt;=121)</x:f>
        <x:v>1</x:v>
      </x:c>
    </x:row>
    <x:row r="888">
      <x:c r="A888" s="236" t="str">
        <x:v>TRN-0887</x:v>
      </x:c>
      <x:c r="B888" s="243"/>
      <x:c r="C888" s="243"/>
      <x:c r="D888" s="243"/>
      <x:c r="E888" s="243"/>
      <x:c r="F888" s="14" t="str">
        <x:v>Recruiter A</x:v>
      </x:c>
      <x:c r="G888" s="14" t="str">
        <x:v>Training Center A</x:v>
      </x:c>
      <x:c r="H888" s="28">
        <x:v>45620</x:v>
      </x:c>
      <x:c r="I888" s="14">
        <x:v>2024</x:v>
      </x:c>
      <x:c r="J888" s="14" t="s">
        <x:v>134</x:v>
      </x:c>
      <x:c r="K888" s="14">
        <x:v>32</x:v>
      </x:c>
      <x:c r="L888" s="29" t="s">
        <x:v>128</x:v>
      </x:c>
      <x:c r="M888" s="28">
        <x:v>45610</x:v>
      </x:c>
      <x:c r="N888" s="28">
        <x:v>45650</x:v>
      </x:c>
      <x:c r="O888" s="14">
        <x:v>40</x:v>
      </x:c>
      <x:c r="P888" s="14" t="s">
        <x:v>110</x:v>
      </x:c>
      <x:c r="Q888" s="14" t="s">
        <x:v>103</x:v>
      </x:c>
      <x:c r="R888" s="14" t="s">
        <x:v>111</x:v>
      </x:c>
      <x:c r="S888" s="14" t="s">
        <x:v>105</x:v>
      </x:c>
      <x:c r="T888" s="14" t="str">
        <x:v>Region E</x:v>
      </x:c>
      <x:c r="U888" s="28">
        <x:v>45626</x:v>
      </x:c>
      <x:c r="V888" s="30">
        <x:v>6</x:v>
      </x:c>
      <x:c r="W888" s="14" t="s">
        <x:v>109</x:v>
      </x:c>
      <x:c r="X888" s="14" t="s">
        <x:v>106</x:v>
      </x:c>
      <x:c r="Y888" s="32" t="str">
        <x:v>TRN-0887|20241124</x:v>
      </x:c>
      <x:c r="Z888" s="32" t="str" cm="1">
        <x:f t="array" ref="Z88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888" s="33" t="n">
        <x:f>--OR(WorkforceData[[#This Row],[Status]]="Active",WorkforceData[[#This Row],[Promoted]]="Yes",WorkforceData[[#This Row],[Total Days Worked]]&gt;=121)</x:f>
        <x:v>0</x:v>
      </x:c>
      <x:c r="AB888" s="33" t="n">
        <x:f>IF(AND(Q888="Terminated",R888="",O888=0),1,0)</x:f>
        <x:v>0</x:v>
      </x:c>
      <x:c r="AC888" s="33" t="n">
        <x:f>--OR(WorkforceData[[#This Row],[Status]]="Resigned",WorkforceData[[#This Row],[Status After Training]]="Withdrew")</x:f>
        <x:v>1</x:v>
      </x:c>
      <x:c r="AD888" s="34" t="n">
        <x:f>EOMONTH(WorkforceData[[#This Row],[Training Date]],0)</x:f>
        <x:v>45626</x:v>
      </x:c>
      <x:c r="AE888" s="32" t="str">
        <x:f>IF(M888&lt;H888,"Existing Employee",IF(U888="","No Assignment",IF(V888=0,"0 Days",IF(V888&lt;=7,"1-7 Days",IF(V888&lt;=14,"8-14 Days",IF(V888&lt;=21,"15-21 Days","21+ Days"))))))</x:f>
        <x:v>Existing Employee</x:v>
      </x:c>
      <x:c r="AF88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888" s="33" t="n">
        <x:f>--(WorkforceData[[#This Row],[Total Days Worked]]&gt;=121)</x:f>
        <x:v>0</x:v>
      </x:c>
    </x:row>
    <x:row r="889">
      <x:c r="A889" s="236" t="str">
        <x:v>TRN-0888</x:v>
      </x:c>
      <x:c r="B889" s="243"/>
      <x:c r="C889" s="243"/>
      <x:c r="D889" s="243"/>
      <x:c r="E889" s="243"/>
      <x:c r="F889" s="14" t="str">
        <x:v>Recruiter F</x:v>
      </x:c>
      <x:c r="G889" s="14" t="str">
        <x:v>Training Center A</x:v>
      </x:c>
      <x:c r="H889" s="28">
        <x:v>45620</x:v>
      </x:c>
      <x:c r="I889" s="14">
        <x:v>2024</x:v>
      </x:c>
      <x:c r="J889" s="14" t="s">
        <x:v>134</x:v>
      </x:c>
      <x:c r="K889" s="14">
        <x:v>32</x:v>
      </x:c>
      <x:c r="L889" s="29" t="s">
        <x:v>128</x:v>
      </x:c>
      <x:c r="M889" s="28">
        <x:v>45619</x:v>
      </x:c>
      <x:c r="N889" s="14"/>
      <x:c r="O889" s="14">
        <x:v>632</x:v>
      </x:c>
      <x:c r="P889" s="14" t="s">
        <x:v>120</x:v>
      </x:c>
      <x:c r="Q889" s="14" t="s">
        <x:v>25</x:v>
      </x:c>
      <x:c r="R889" s="14"/>
      <x:c r="S889" s="14" t="s">
        <x:v>108</x:v>
      </x:c>
      <x:c r="T889" s="14" t="str">
        <x:v>Region B</x:v>
      </x:c>
      <x:c r="U889" s="28">
        <x:v>45642</x:v>
      </x:c>
      <x:c r="V889" s="30">
        <x:v>22</x:v>
      </x:c>
      <x:c r="W889" s="14" t="s">
        <x:v>112</x:v>
      </x:c>
      <x:c r="X889" s="14" t="s">
        <x:v>125</x:v>
      </x:c>
      <x:c r="Y889" s="32" t="str">
        <x:v>TRN-0888|20241124</x:v>
      </x:c>
      <x:c r="Z889" s="32" t="str" cm="1">
        <x:f t="array" ref="Z88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889" s="33" t="n">
        <x:f>--OR(WorkforceData[[#This Row],[Status]]="Active",WorkforceData[[#This Row],[Promoted]]="Yes",WorkforceData[[#This Row],[Total Days Worked]]&gt;=121)</x:f>
        <x:v>1</x:v>
      </x:c>
      <x:c r="AB889" s="33" t="n">
        <x:f>IF(AND(Q889="Terminated",R889="",O889=0),1,0)</x:f>
        <x:v>0</x:v>
      </x:c>
      <x:c r="AC889" s="33" t="n">
        <x:f>--OR(WorkforceData[[#This Row],[Status]]="Resigned",WorkforceData[[#This Row],[Status After Training]]="Withdrew")</x:f>
        <x:v>0</x:v>
      </x:c>
      <x:c r="AD889" s="34" t="n">
        <x:f>EOMONTH(WorkforceData[[#This Row],[Training Date]],0)</x:f>
        <x:v>45626</x:v>
      </x:c>
      <x:c r="AE889" s="32" t="str">
        <x:f>IF(M889&lt;H889,"Existing Employee",IF(U889="","No Assignment",IF(V889=0,"0 Days",IF(V889&lt;=7,"1-7 Days",IF(V889&lt;=14,"8-14 Days",IF(V889&lt;=21,"15-21 Days","21+ Days"))))))</x:f>
        <x:v>Existing Employee</x:v>
      </x:c>
      <x:c r="AF88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89" s="33" t="n">
        <x:f>--(WorkforceData[[#This Row],[Total Days Worked]]&gt;=121)</x:f>
        <x:v>1</x:v>
      </x:c>
    </x:row>
    <x:row r="890">
      <x:c r="A890" s="236" t="str">
        <x:v>TRN-0889</x:v>
      </x:c>
      <x:c r="B890" s="243"/>
      <x:c r="C890" s="243"/>
      <x:c r="D890" s="243"/>
      <x:c r="E890" s="243"/>
      <x:c r="F890" s="14" t="str">
        <x:v>Recruiter A</x:v>
      </x:c>
      <x:c r="G890" s="14" t="str">
        <x:v>Training Center A</x:v>
      </x:c>
      <x:c r="H890" s="28">
        <x:v>45620</x:v>
      </x:c>
      <x:c r="I890" s="14">
        <x:v>2024</x:v>
      </x:c>
      <x:c r="J890" s="14" t="s">
        <x:v>134</x:v>
      </x:c>
      <x:c r="K890" s="14">
        <x:v>32</x:v>
      </x:c>
      <x:c r="L890" s="29" t="s">
        <x:v>128</x:v>
      </x:c>
      <x:c r="M890" s="28">
        <x:v>45619</x:v>
      </x:c>
      <x:c r="N890" s="14"/>
      <x:c r="O890" s="14">
        <x:v>632</x:v>
      </x:c>
      <x:c r="P890" s="14" t="s">
        <x:v>120</x:v>
      </x:c>
      <x:c r="Q890" s="14" t="s">
        <x:v>25</x:v>
      </x:c>
      <x:c r="R890" s="14"/>
      <x:c r="S890" s="14" t="s">
        <x:v>108</x:v>
      </x:c>
      <x:c r="T890" s="14" t="str">
        <x:v>Region E</x:v>
      </x:c>
      <x:c r="U890" s="28">
        <x:v>45665</x:v>
      </x:c>
      <x:c r="V890" s="30">
        <x:v>45</x:v>
      </x:c>
      <x:c r="W890" s="14" t="s">
        <x:v>63</x:v>
      </x:c>
      <x:c r="X890" s="14" t="s">
        <x:v>117</x:v>
      </x:c>
      <x:c r="Y890" s="32" t="str">
        <x:v>TRN-0889|20241124</x:v>
      </x:c>
      <x:c r="Z890" s="32" t="str" cm="1">
        <x:f t="array" ref="Z89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890" s="33" t="n">
        <x:f>--OR(WorkforceData[[#This Row],[Status]]="Active",WorkforceData[[#This Row],[Promoted]]="Yes",WorkforceData[[#This Row],[Total Days Worked]]&gt;=121)</x:f>
        <x:v>1</x:v>
      </x:c>
      <x:c r="AB890" s="33" t="n">
        <x:f>IF(AND(Q890="Terminated",R890="",O890=0),1,0)</x:f>
        <x:v>0</x:v>
      </x:c>
      <x:c r="AC890" s="33" t="n">
        <x:f>--OR(WorkforceData[[#This Row],[Status]]="Resigned",WorkforceData[[#This Row],[Status After Training]]="Withdrew")</x:f>
        <x:v>0</x:v>
      </x:c>
      <x:c r="AD890" s="34" t="n">
        <x:f>EOMONTH(WorkforceData[[#This Row],[Training Date]],0)</x:f>
        <x:v>45626</x:v>
      </x:c>
      <x:c r="AE890" s="32" t="str">
        <x:f>IF(M890&lt;H890,"Existing Employee",IF(U890="","No Assignment",IF(V890=0,"0 Days",IF(V890&lt;=7,"1-7 Days",IF(V890&lt;=14,"8-14 Days",IF(V890&lt;=21,"15-21 Days","21+ Days"))))))</x:f>
        <x:v>Existing Employee</x:v>
      </x:c>
      <x:c r="AF89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90" s="33" t="n">
        <x:f>--(WorkforceData[[#This Row],[Total Days Worked]]&gt;=121)</x:f>
        <x:v>1</x:v>
      </x:c>
    </x:row>
    <x:row r="891">
      <x:c r="A891" s="236" t="str">
        <x:v>TRN-0890</x:v>
      </x:c>
      <x:c r="B891" s="243"/>
      <x:c r="C891" s="243"/>
      <x:c r="D891" s="243"/>
      <x:c r="E891" s="243"/>
      <x:c r="F891" s="14" t="str">
        <x:v>Recruiter E</x:v>
      </x:c>
      <x:c r="G891" s="14" t="str">
        <x:v>Training Center A</x:v>
      </x:c>
      <x:c r="H891" s="28">
        <x:v>45620</x:v>
      </x:c>
      <x:c r="I891" s="14">
        <x:v>2024</x:v>
      </x:c>
      <x:c r="J891" s="14" t="s">
        <x:v>134</x:v>
      </x:c>
      <x:c r="K891" s="14">
        <x:v>32</x:v>
      </x:c>
      <x:c r="L891" s="29" t="s">
        <x:v>128</x:v>
      </x:c>
      <x:c r="M891" s="28">
        <x:v>45620</x:v>
      </x:c>
      <x:c r="N891" s="28">
        <x:v>45690</x:v>
      </x:c>
      <x:c r="O891" s="14">
        <x:v>70</x:v>
      </x:c>
      <x:c r="P891" s="14" t="s">
        <x:v>110</x:v>
      </x:c>
      <x:c r="Q891" s="14" t="s">
        <x:v>103</x:v>
      </x:c>
      <x:c r="R891" s="14" t="s">
        <x:v>111</x:v>
      </x:c>
      <x:c r="S891" s="14" t="s">
        <x:v>105</x:v>
      </x:c>
      <x:c r="T891" s="14" t="str">
        <x:v>Region B</x:v>
      </x:c>
      <x:c r="U891" s="28">
        <x:v>45638</x:v>
      </x:c>
      <x:c r="V891" s="30">
        <x:v>18</x:v>
      </x:c>
      <x:c r="W891" s="14" t="s">
        <x:v>112</x:v>
      </x:c>
      <x:c r="X891" s="14" t="s">
        <x:v>106</x:v>
      </x:c>
      <x:c r="Y891" s="32" t="str">
        <x:v>TRN-0890|20241124</x:v>
      </x:c>
      <x:c r="Z891" s="32" t="str" cm="1">
        <x:f t="array" ref="Z89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891" s="33" t="n">
        <x:f>--OR(WorkforceData[[#This Row],[Status]]="Active",WorkforceData[[#This Row],[Promoted]]="Yes",WorkforceData[[#This Row],[Total Days Worked]]&gt;=121)</x:f>
        <x:v>0</x:v>
      </x:c>
      <x:c r="AB891" s="33" t="n">
        <x:f>IF(AND(Q891="Terminated",R891="",O891=0),1,0)</x:f>
        <x:v>0</x:v>
      </x:c>
      <x:c r="AC891" s="33" t="n">
        <x:f>--OR(WorkforceData[[#This Row],[Status]]="Resigned",WorkforceData[[#This Row],[Status After Training]]="Withdrew")</x:f>
        <x:v>1</x:v>
      </x:c>
      <x:c r="AD891" s="34" t="n">
        <x:f>EOMONTH(WorkforceData[[#This Row],[Training Date]],0)</x:f>
        <x:v>45626</x:v>
      </x:c>
      <x:c r="AE891" s="32" t="str">
        <x:f>IF(M891&lt;H891,"Existing Employee",IF(U891="","No Assignment",IF(V891=0,"0 Days",IF(V891&lt;=7,"1-7 Days",IF(V891&lt;=14,"8-14 Days",IF(V891&lt;=21,"15-21 Days","21+ Days"))))))</x:f>
        <x:v>15-21 Days</x:v>
      </x:c>
      <x:c r="AF89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61-90 Days</x:v>
      </x:c>
      <x:c r="AG891" s="33" t="n">
        <x:f>--(WorkforceData[[#This Row],[Total Days Worked]]&gt;=121)</x:f>
        <x:v>0</x:v>
      </x:c>
    </x:row>
    <x:row r="892">
      <x:c r="A892" s="236" t="str">
        <x:v>TRN-0891</x:v>
      </x:c>
      <x:c r="B892" s="243"/>
      <x:c r="C892" s="243"/>
      <x:c r="D892" s="243"/>
      <x:c r="E892" s="243"/>
      <x:c r="F892" s="14" t="str">
        <x:v>Recruiter H</x:v>
      </x:c>
      <x:c r="G892" s="14" t="str">
        <x:v>Training Center A</x:v>
      </x:c>
      <x:c r="H892" s="28">
        <x:v>45620</x:v>
      </x:c>
      <x:c r="I892" s="14">
        <x:v>2024</x:v>
      </x:c>
      <x:c r="J892" s="14" t="s">
        <x:v>134</x:v>
      </x:c>
      <x:c r="K892" s="14">
        <x:v>32</x:v>
      </x:c>
      <x:c r="L892" s="29" t="s">
        <x:v>128</x:v>
      </x:c>
      <x:c r="M892" s="28">
        <x:v>45618</x:v>
      </x:c>
      <x:c r="N892" s="28">
        <x:v>45683</x:v>
      </x:c>
      <x:c r="O892" s="14">
        <x:v>65</x:v>
      </x:c>
      <x:c r="P892" s="14" t="s">
        <x:v>110</x:v>
      </x:c>
      <x:c r="Q892" s="14" t="s">
        <x:v>103</x:v>
      </x:c>
      <x:c r="R892" s="14" t="s">
        <x:v>111</x:v>
      </x:c>
      <x:c r="S892" s="14" t="s">
        <x:v>105</x:v>
      </x:c>
      <x:c r="T892" s="14" t="str">
        <x:v>Region A</x:v>
      </x:c>
      <x:c r="U892" s="28">
        <x:v>45683</x:v>
      </x:c>
      <x:c r="V892" s="30">
        <x:v>63</x:v>
      </x:c>
      <x:c r="W892" s="14" t="s">
        <x:v>114</x:v>
      </x:c>
      <x:c r="X892" s="14" t="s">
        <x:v>117</x:v>
      </x:c>
      <x:c r="Y892" s="32" t="str">
        <x:v>TRN-0891|20241124</x:v>
      </x:c>
      <x:c r="Z892" s="32" t="str" cm="1">
        <x:f t="array" ref="Z89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892" s="33" t="n">
        <x:f>--OR(WorkforceData[[#This Row],[Status]]="Active",WorkforceData[[#This Row],[Promoted]]="Yes",WorkforceData[[#This Row],[Total Days Worked]]&gt;=121)</x:f>
        <x:v>0</x:v>
      </x:c>
      <x:c r="AB892" s="33" t="n">
        <x:f>IF(AND(Q892="Terminated",R892="",O892=0),1,0)</x:f>
        <x:v>0</x:v>
      </x:c>
      <x:c r="AC892" s="33" t="n">
        <x:f>--OR(WorkforceData[[#This Row],[Status]]="Resigned",WorkforceData[[#This Row],[Status After Training]]="Withdrew")</x:f>
        <x:v>1</x:v>
      </x:c>
      <x:c r="AD892" s="34" t="n">
        <x:f>EOMONTH(WorkforceData[[#This Row],[Training Date]],0)</x:f>
        <x:v>45626</x:v>
      </x:c>
      <x:c r="AE892" s="32" t="str">
        <x:f>IF(M892&lt;H892,"Existing Employee",IF(U892="","No Assignment",IF(V892=0,"0 Days",IF(V892&lt;=7,"1-7 Days",IF(V892&lt;=14,"8-14 Days",IF(V892&lt;=21,"15-21 Days","21+ Days"))))))</x:f>
        <x:v>Existing Employee</x:v>
      </x:c>
      <x:c r="AF89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61-90 Days</x:v>
      </x:c>
      <x:c r="AG892" s="33" t="n">
        <x:f>--(WorkforceData[[#This Row],[Total Days Worked]]&gt;=121)</x:f>
        <x:v>0</x:v>
      </x:c>
    </x:row>
    <x:row r="893">
      <x:c r="A893" s="236" t="str">
        <x:v>TRN-0892</x:v>
      </x:c>
      <x:c r="B893" s="243"/>
      <x:c r="C893" s="243"/>
      <x:c r="D893" s="243"/>
      <x:c r="E893" s="243"/>
      <x:c r="F893" s="14" t="str">
        <x:v>Recruiter E</x:v>
      </x:c>
      <x:c r="G893" s="14" t="str">
        <x:v>Training Center A</x:v>
      </x:c>
      <x:c r="H893" s="28">
        <x:v>45620</x:v>
      </x:c>
      <x:c r="I893" s="14">
        <x:v>2024</x:v>
      </x:c>
      <x:c r="J893" s="14" t="s">
        <x:v>134</x:v>
      </x:c>
      <x:c r="K893" s="14">
        <x:v>32</x:v>
      </x:c>
      <x:c r="L893" s="29" t="s">
        <x:v>128</x:v>
      </x:c>
      <x:c r="M893" s="28">
        <x:v>45620</x:v>
      </x:c>
      <x:c r="N893" s="14"/>
      <x:c r="O893" s="14">
        <x:v>631</x:v>
      </x:c>
      <x:c r="P893" s="14" t="s">
        <x:v>120</x:v>
      </x:c>
      <x:c r="Q893" s="14" t="s">
        <x:v>25</x:v>
      </x:c>
      <x:c r="R893" s="14"/>
      <x:c r="S893" s="14" t="s">
        <x:v>108</x:v>
      </x:c>
      <x:c r="T893" s="14" t="str">
        <x:v>Region A</x:v>
      </x:c>
      <x:c r="U893" s="28">
        <x:v>45634</x:v>
      </x:c>
      <x:c r="V893" s="30">
        <x:v>14</x:v>
      </x:c>
      <x:c r="W893" s="14" t="s">
        <x:v>45</x:v>
      </x:c>
      <x:c r="X893" s="14" t="s">
        <x:v>106</x:v>
      </x:c>
      <x:c r="Y893" s="32" t="str">
        <x:v>TRN-0892|20241124</x:v>
      </x:c>
      <x:c r="Z893" s="32" t="str" cm="1">
        <x:f t="array" ref="Z89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893" s="33" t="n">
        <x:f>--OR(WorkforceData[[#This Row],[Status]]="Active",WorkforceData[[#This Row],[Promoted]]="Yes",WorkforceData[[#This Row],[Total Days Worked]]&gt;=121)</x:f>
        <x:v>1</x:v>
      </x:c>
      <x:c r="AB893" s="33" t="n">
        <x:f>IF(AND(Q893="Terminated",R893="",O893=0),1,0)</x:f>
        <x:v>0</x:v>
      </x:c>
      <x:c r="AC893" s="33" t="n">
        <x:f>--OR(WorkforceData[[#This Row],[Status]]="Resigned",WorkforceData[[#This Row],[Status After Training]]="Withdrew")</x:f>
        <x:v>0</x:v>
      </x:c>
      <x:c r="AD893" s="34" t="n">
        <x:f>EOMONTH(WorkforceData[[#This Row],[Training Date]],0)</x:f>
        <x:v>45626</x:v>
      </x:c>
      <x:c r="AE893" s="32" t="str">
        <x:f>IF(M893&lt;H893,"Existing Employee",IF(U893="","No Assignment",IF(V893=0,"0 Days",IF(V893&lt;=7,"1-7 Days",IF(V893&lt;=14,"8-14 Days",IF(V893&lt;=21,"15-21 Days","21+ Days"))))))</x:f>
        <x:v>8-14 Days</x:v>
      </x:c>
      <x:c r="AF89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93" s="33" t="n">
        <x:f>--(WorkforceData[[#This Row],[Total Days Worked]]&gt;=121)</x:f>
        <x:v>1</x:v>
      </x:c>
    </x:row>
    <x:row r="894">
      <x:c r="A894" s="236" t="str">
        <x:v>TRN-0893</x:v>
      </x:c>
      <x:c r="B894" s="243"/>
      <x:c r="C894" s="243"/>
      <x:c r="D894" s="243"/>
      <x:c r="E894" s="243"/>
      <x:c r="F894" s="14" t="str">
        <x:v>Recruiter A</x:v>
      </x:c>
      <x:c r="G894" s="14" t="str">
        <x:v>Training Center A</x:v>
      </x:c>
      <x:c r="H894" s="28">
        <x:v>45620</x:v>
      </x:c>
      <x:c r="I894" s="14">
        <x:v>2024</x:v>
      </x:c>
      <x:c r="J894" s="14" t="s">
        <x:v>134</x:v>
      </x:c>
      <x:c r="K894" s="14">
        <x:v>32</x:v>
      </x:c>
      <x:c r="L894" s="29" t="s">
        <x:v>128</x:v>
      </x:c>
      <x:c r="M894" s="28">
        <x:v>45619</x:v>
      </x:c>
      <x:c r="N894" s="28">
        <x:v>45985</x:v>
      </x:c>
      <x:c r="O894" s="14">
        <x:v>366</x:v>
      </x:c>
      <x:c r="P894" s="14" t="s">
        <x:v>120</x:v>
      </x:c>
      <x:c r="Q894" s="14" t="s">
        <x:v>103</x:v>
      </x:c>
      <x:c r="R894" s="14" t="s">
        <x:v>104</x:v>
      </x:c>
      <x:c r="S894" s="14" t="s">
        <x:v>108</x:v>
      </x:c>
      <x:c r="T894" s="14" t="str">
        <x:v>Region B</x:v>
      </x:c>
      <x:c r="U894" s="28">
        <x:v>45627</x:v>
      </x:c>
      <x:c r="V894" s="30">
        <x:v>7</x:v>
      </x:c>
      <x:c r="W894" s="14" t="s">
        <x:v>109</x:v>
      </x:c>
      <x:c r="X894" s="14" t="s">
        <x:v>106</x:v>
      </x:c>
      <x:c r="Y894" s="32" t="str">
        <x:v>TRN-0893|20241124</x:v>
      </x:c>
      <x:c r="Z894" s="32" t="str" cm="1">
        <x:f t="array" ref="Z89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894" s="33" t="n">
        <x:f>--OR(WorkforceData[[#This Row],[Status]]="Active",WorkforceData[[#This Row],[Promoted]]="Yes",WorkforceData[[#This Row],[Total Days Worked]]&gt;=121)</x:f>
        <x:v>1</x:v>
      </x:c>
      <x:c r="AB894" s="33" t="n">
        <x:f>IF(AND(Q894="Terminated",R894="",O894=0),1,0)</x:f>
        <x:v>0</x:v>
      </x:c>
      <x:c r="AC894" s="33" t="n">
        <x:f>--OR(WorkforceData[[#This Row],[Status]]="Resigned",WorkforceData[[#This Row],[Status After Training]]="Withdrew")</x:f>
        <x:v>1</x:v>
      </x:c>
      <x:c r="AD894" s="34" t="n">
        <x:f>EOMONTH(WorkforceData[[#This Row],[Training Date]],0)</x:f>
        <x:v>45626</x:v>
      </x:c>
      <x:c r="AE894" s="32" t="str">
        <x:f>IF(M894&lt;H894,"Existing Employee",IF(U894="","No Assignment",IF(V894=0,"0 Days",IF(V894&lt;=7,"1-7 Days",IF(V894&lt;=14,"8-14 Days",IF(V894&lt;=21,"15-21 Days","21+ Days"))))))</x:f>
        <x:v>Existing Employee</x:v>
      </x:c>
      <x:c r="AF89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94" s="33" t="n">
        <x:f>--(WorkforceData[[#This Row],[Total Days Worked]]&gt;=121)</x:f>
        <x:v>1</x:v>
      </x:c>
    </x:row>
    <x:row r="895">
      <x:c r="A895" s="236" t="str">
        <x:v>TRN-0894</x:v>
      </x:c>
      <x:c r="B895" s="243"/>
      <x:c r="C895" s="243"/>
      <x:c r="D895" s="243"/>
      <x:c r="E895" s="243"/>
      <x:c r="F895" s="14" t="str">
        <x:v>Recruiter G</x:v>
      </x:c>
      <x:c r="G895" s="14" t="str">
        <x:v>Training Center A</x:v>
      </x:c>
      <x:c r="H895" s="28">
        <x:v>45620</x:v>
      </x:c>
      <x:c r="I895" s="14">
        <x:v>2024</x:v>
      </x:c>
      <x:c r="J895" s="14" t="s">
        <x:v>134</x:v>
      </x:c>
      <x:c r="K895" s="14">
        <x:v>32</x:v>
      </x:c>
      <x:c r="L895" s="29" t="s">
        <x:v>128</x:v>
      </x:c>
      <x:c r="M895" s="28">
        <x:v>45613</x:v>
      </x:c>
      <x:c r="N895" s="28">
        <x:v>46251</x:v>
      </x:c>
      <x:c r="O895" s="14">
        <x:v>638</x:v>
      </x:c>
      <x:c r="P895" s="14" t="s">
        <x:v>120</x:v>
      </x:c>
      <x:c r="Q895" s="14" t="s">
        <x:v>33</x:v>
      </x:c>
      <x:c r="R895" s="14" t="s">
        <x:v>116</x:v>
      </x:c>
      <x:c r="S895" s="14" t="s">
        <x:v>105</x:v>
      </x:c>
      <x:c r="T895" s="14"/>
      <x:c r="U895" s="28"/>
      <x:c r="V895" s="30"/>
      <x:c r="W895" s="14"/>
      <x:c r="X895" s="14" t="s">
        <x:v>71</x:v>
      </x:c>
      <x:c r="Y895" s="32" t="str">
        <x:v>TRN-0894|20241124</x:v>
      </x:c>
      <x:c r="Z895" s="32" t="str" cm="1">
        <x:f t="array" ref="Z89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Complete</x:v>
      </x:c>
      <x:c r="AA895" s="33" t="n">
        <x:f>--OR(WorkforceData[[#This Row],[Status]]="Active",WorkforceData[[#This Row],[Promoted]]="Yes",WorkforceData[[#This Row],[Total Days Worked]]&gt;=121)</x:f>
        <x:v>1</x:v>
      </x:c>
      <x:c r="AB895" s="33" t="n">
        <x:f>IF(AND(Q895="Terminated",R895="",O895=0),1,0)</x:f>
        <x:v>0</x:v>
      </x:c>
      <x:c r="AC895" s="33" t="n">
        <x:f>--OR(WorkforceData[[#This Row],[Status]]="Resigned",WorkforceData[[#This Row],[Status After Training]]="Withdrew")</x:f>
        <x:v>0</x:v>
      </x:c>
      <x:c r="AD895" s="34" t="n">
        <x:f>EOMONTH(WorkforceData[[#This Row],[Training Date]],0)</x:f>
        <x:v>45626</x:v>
      </x:c>
      <x:c r="AE895" s="32" t="str">
        <x:f>IF(M895&lt;H895,"Existing Employee",IF(U895="","No Assignment",IF(V895=0,"0 Days",IF(V895&lt;=7,"1-7 Days",IF(V895&lt;=14,"8-14 Days",IF(V895&lt;=21,"15-21 Days","21+ Days"))))))</x:f>
        <x:v>Existing Employee</x:v>
      </x:c>
      <x:c r="AF89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95" s="33" t="n">
        <x:f>--(WorkforceData[[#This Row],[Total Days Worked]]&gt;=121)</x:f>
        <x:v>1</x:v>
      </x:c>
    </x:row>
    <x:row r="896">
      <x:c r="A896" s="236" t="str">
        <x:v>TRN-0895</x:v>
      </x:c>
      <x:c r="B896" s="243"/>
      <x:c r="C896" s="243"/>
      <x:c r="D896" s="243"/>
      <x:c r="E896" s="243"/>
      <x:c r="F896" s="14" t="str">
        <x:v>Recruiter A</x:v>
      </x:c>
      <x:c r="G896" s="14" t="str">
        <x:v>Training Center A</x:v>
      </x:c>
      <x:c r="H896" s="28">
        <x:v>45620</x:v>
      </x:c>
      <x:c r="I896" s="14">
        <x:v>2024</x:v>
      </x:c>
      <x:c r="J896" s="14" t="s">
        <x:v>134</x:v>
      </x:c>
      <x:c r="K896" s="14">
        <x:v>32</x:v>
      </x:c>
      <x:c r="L896" s="29" t="s">
        <x:v>128</x:v>
      </x:c>
      <x:c r="M896" s="28">
        <x:v>45618</x:v>
      </x:c>
      <x:c r="N896" s="14"/>
      <x:c r="O896" s="14">
        <x:v>633</x:v>
      </x:c>
      <x:c r="P896" s="14" t="s">
        <x:v>120</x:v>
      </x:c>
      <x:c r="Q896" s="14" t="s">
        <x:v>38</x:v>
      </x:c>
      <x:c r="R896" s="14"/>
      <x:c r="S896" s="14" t="s">
        <x:v>105</x:v>
      </x:c>
      <x:c r="T896" s="14"/>
      <x:c r="U896" s="28"/>
      <x:c r="V896" s="30"/>
      <x:c r="W896" s="14"/>
      <x:c r="X896" s="14" t="s">
        <x:v>71</x:v>
      </x:c>
      <x:c r="Y896" s="32" t="str">
        <x:v>TRN-0895|20241124</x:v>
      </x:c>
      <x:c r="Z896" s="32" t="str" cm="1">
        <x:f t="array" ref="Z89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896" s="33" t="n">
        <x:f>--OR(WorkforceData[[#This Row],[Status]]="Active",WorkforceData[[#This Row],[Promoted]]="Yes",WorkforceData[[#This Row],[Total Days Worked]]&gt;=121)</x:f>
        <x:v>1</x:v>
      </x:c>
      <x:c r="AB896" s="33" t="n">
        <x:f>IF(AND(Q896="Terminated",R896="",O896=0),1,0)</x:f>
        <x:v>0</x:v>
      </x:c>
      <x:c r="AC896" s="33" t="n">
        <x:f>--OR(WorkforceData[[#This Row],[Status]]="Resigned",WorkforceData[[#This Row],[Status After Training]]="Withdrew")</x:f>
        <x:v>0</x:v>
      </x:c>
      <x:c r="AD896" s="34" t="n">
        <x:f>EOMONTH(WorkforceData[[#This Row],[Training Date]],0)</x:f>
        <x:v>45626</x:v>
      </x:c>
      <x:c r="AE896" s="32" t="str">
        <x:f>IF(M896&lt;H896,"Existing Employee",IF(U896="","No Assignment",IF(V896=0,"0 Days",IF(V896&lt;=7,"1-7 Days",IF(V896&lt;=14,"8-14 Days",IF(V896&lt;=21,"15-21 Days","21+ Days"))))))</x:f>
        <x:v>Existing Employee</x:v>
      </x:c>
      <x:c r="AF89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96" s="33" t="n">
        <x:f>--(WorkforceData[[#This Row],[Total Days Worked]]&gt;=121)</x:f>
        <x:v>1</x:v>
      </x:c>
    </x:row>
    <x:row r="897">
      <x:c r="A897" s="236" t="str">
        <x:v>TRN-0896</x:v>
      </x:c>
      <x:c r="B897" s="243"/>
      <x:c r="C897" s="243"/>
      <x:c r="D897" s="243"/>
      <x:c r="E897" s="243"/>
      <x:c r="F897" s="14" t="str">
        <x:v>Recruiter E</x:v>
      </x:c>
      <x:c r="G897" s="14" t="str">
        <x:v>Training Center A</x:v>
      </x:c>
      <x:c r="H897" s="28">
        <x:v>45620</x:v>
      </x:c>
      <x:c r="I897" s="14">
        <x:v>2024</x:v>
      </x:c>
      <x:c r="J897" s="14" t="s">
        <x:v>134</x:v>
      </x:c>
      <x:c r="K897" s="14">
        <x:v>32</x:v>
      </x:c>
      <x:c r="L897" s="29" t="s">
        <x:v>128</x:v>
      </x:c>
      <x:c r="M897" s="28">
        <x:v>45619</x:v>
      </x:c>
      <x:c r="N897" s="14"/>
      <x:c r="O897" s="14">
        <x:v>632</x:v>
      </x:c>
      <x:c r="P897" s="14" t="s">
        <x:v>120</x:v>
      </x:c>
      <x:c r="Q897" s="14" t="s">
        <x:v>25</x:v>
      </x:c>
      <x:c r="R897" s="14"/>
      <x:c r="S897" s="14" t="s">
        <x:v>108</x:v>
      </x:c>
      <x:c r="T897" s="14" t="str">
        <x:v>Region A</x:v>
      </x:c>
      <x:c r="U897" s="28">
        <x:v>45625</x:v>
      </x:c>
      <x:c r="V897" s="30">
        <x:v>5</x:v>
      </x:c>
      <x:c r="W897" s="14" t="s">
        <x:v>109</x:v>
      </x:c>
      <x:c r="X897" s="14" t="s">
        <x:v>106</x:v>
      </x:c>
      <x:c r="Y897" s="32" t="str">
        <x:v>TRN-0896|20241124</x:v>
      </x:c>
      <x:c r="Z897" s="32" t="str" cm="1">
        <x:f t="array" ref="Z89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897" s="33" t="n">
        <x:f>--OR(WorkforceData[[#This Row],[Status]]="Active",WorkforceData[[#This Row],[Promoted]]="Yes",WorkforceData[[#This Row],[Total Days Worked]]&gt;=121)</x:f>
        <x:v>1</x:v>
      </x:c>
      <x:c r="AB897" s="33" t="n">
        <x:f>IF(AND(Q897="Terminated",R897="",O897=0),1,0)</x:f>
        <x:v>0</x:v>
      </x:c>
      <x:c r="AC897" s="33" t="n">
        <x:f>--OR(WorkforceData[[#This Row],[Status]]="Resigned",WorkforceData[[#This Row],[Status After Training]]="Withdrew")</x:f>
        <x:v>0</x:v>
      </x:c>
      <x:c r="AD897" s="34" t="n">
        <x:f>EOMONTH(WorkforceData[[#This Row],[Training Date]],0)</x:f>
        <x:v>45626</x:v>
      </x:c>
      <x:c r="AE897" s="32" t="str">
        <x:f>IF(M897&lt;H897,"Existing Employee",IF(U897="","No Assignment",IF(V897=0,"0 Days",IF(V897&lt;=7,"1-7 Days",IF(V897&lt;=14,"8-14 Days",IF(V897&lt;=21,"15-21 Days","21+ Days"))))))</x:f>
        <x:v>Existing Employee</x:v>
      </x:c>
      <x:c r="AF89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97" s="33" t="n">
        <x:f>--(WorkforceData[[#This Row],[Total Days Worked]]&gt;=121)</x:f>
        <x:v>1</x:v>
      </x:c>
    </x:row>
    <x:row r="898">
      <x:c r="A898" s="236" t="str">
        <x:v>TRN-0897</x:v>
      </x:c>
      <x:c r="B898" s="243"/>
      <x:c r="C898" s="243"/>
      <x:c r="D898" s="243"/>
      <x:c r="E898" s="243"/>
      <x:c r="F898" s="14" t="str">
        <x:v>Recruiter G</x:v>
      </x:c>
      <x:c r="G898" s="14" t="str">
        <x:v>Training Center A</x:v>
      </x:c>
      <x:c r="H898" s="28">
        <x:v>45620</x:v>
      </x:c>
      <x:c r="I898" s="14">
        <x:v>2024</x:v>
      </x:c>
      <x:c r="J898" s="14" t="s">
        <x:v>134</x:v>
      </x:c>
      <x:c r="K898" s="14">
        <x:v>32</x:v>
      </x:c>
      <x:c r="L898" s="29" t="s">
        <x:v>128</x:v>
      </x:c>
      <x:c r="M898" s="28">
        <x:v>45618</x:v>
      </x:c>
      <x:c r="N898" s="28">
        <x:v>45640</x:v>
      </x:c>
      <x:c r="O898" s="14">
        <x:v>22</x:v>
      </x:c>
      <x:c r="P898" s="14" t="s">
        <x:v>102</x:v>
      </x:c>
      <x:c r="Q898" s="14" t="s">
        <x:v>103</x:v>
      </x:c>
      <x:c r="R898" s="14" t="s">
        <x:v>104</x:v>
      </x:c>
      <x:c r="S898" s="14" t="s">
        <x:v>105</x:v>
      </x:c>
      <x:c r="T898" s="14" t="str">
        <x:v>Region D</x:v>
      </x:c>
      <x:c r="U898" s="28">
        <x:v>45640</x:v>
      </x:c>
      <x:c r="V898" s="30">
        <x:v>20</x:v>
      </x:c>
      <x:c r="W898" s="14" t="s">
        <x:v>112</x:v>
      </x:c>
      <x:c r="X898" s="14" t="s">
        <x:v>106</x:v>
      </x:c>
      <x:c r="Y898" s="32" t="str">
        <x:v>TRN-0897|20241124</x:v>
      </x:c>
      <x:c r="Z898" s="32" t="str" cm="1">
        <x:f t="array" ref="Z89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898" s="33" t="n">
        <x:f>--OR(WorkforceData[[#This Row],[Status]]="Active",WorkforceData[[#This Row],[Promoted]]="Yes",WorkforceData[[#This Row],[Total Days Worked]]&gt;=121)</x:f>
        <x:v>0</x:v>
      </x:c>
      <x:c r="AB898" s="33" t="n">
        <x:f>IF(AND(Q898="Terminated",R898="",O898=0),1,0)</x:f>
        <x:v>0</x:v>
      </x:c>
      <x:c r="AC898" s="33" t="n">
        <x:f>--OR(WorkforceData[[#This Row],[Status]]="Resigned",WorkforceData[[#This Row],[Status After Training]]="Withdrew")</x:f>
        <x:v>1</x:v>
      </x:c>
      <x:c r="AD898" s="34" t="n">
        <x:f>EOMONTH(WorkforceData[[#This Row],[Training Date]],0)</x:f>
        <x:v>45626</x:v>
      </x:c>
      <x:c r="AE898" s="32" t="str">
        <x:f>IF(M898&lt;H898,"Existing Employee",IF(U898="","No Assignment",IF(V898=0,"0 Days",IF(V898&lt;=7,"1-7 Days",IF(V898&lt;=14,"8-14 Days",IF(V898&lt;=21,"15-21 Days","21+ Days"))))))</x:f>
        <x:v>Existing Employee</x:v>
      </x:c>
      <x:c r="AF89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898" s="33" t="n">
        <x:f>--(WorkforceData[[#This Row],[Total Days Worked]]&gt;=121)</x:f>
        <x:v>0</x:v>
      </x:c>
    </x:row>
    <x:row r="899">
      <x:c r="A899" s="236" t="str">
        <x:v>TRN-0898</x:v>
      </x:c>
      <x:c r="B899" s="243"/>
      <x:c r="C899" s="243"/>
      <x:c r="D899" s="243"/>
      <x:c r="E899" s="243"/>
      <x:c r="F899" s="14" t="str">
        <x:v>Recruiter B</x:v>
      </x:c>
      <x:c r="G899" s="14" t="str">
        <x:v>Training Center A</x:v>
      </x:c>
      <x:c r="H899" s="28">
        <x:v>45620</x:v>
      </x:c>
      <x:c r="I899" s="14">
        <x:v>2024</x:v>
      </x:c>
      <x:c r="J899" s="14" t="s">
        <x:v>134</x:v>
      </x:c>
      <x:c r="K899" s="14">
        <x:v>32</x:v>
      </x:c>
      <x:c r="L899" s="29" t="s">
        <x:v>128</x:v>
      </x:c>
      <x:c r="M899" s="28">
        <x:v>45619</x:v>
      </x:c>
      <x:c r="N899" s="28">
        <x:v>45757</x:v>
      </x:c>
      <x:c r="O899" s="14">
        <x:v>138</x:v>
      </x:c>
      <x:c r="P899" s="14" t="s">
        <x:v>113</x:v>
      </x:c>
      <x:c r="Q899" s="14" t="s">
        <x:v>103</x:v>
      </x:c>
      <x:c r="R899" s="14" t="s">
        <x:v>111</x:v>
      </x:c>
      <x:c r="S899" s="14" t="s">
        <x:v>105</x:v>
      </x:c>
      <x:c r="T899" s="14" t="str">
        <x:v>Region B</x:v>
      </x:c>
      <x:c r="U899" s="28">
        <x:v>45630</x:v>
      </x:c>
      <x:c r="V899" s="30">
        <x:v>10</x:v>
      </x:c>
      <x:c r="W899" s="14" t="s">
        <x:v>45</x:v>
      </x:c>
      <x:c r="X899" s="14" t="s">
        <x:v>106</x:v>
      </x:c>
      <x:c r="Y899" s="32" t="str">
        <x:v>TRN-0898|20241124</x:v>
      </x:c>
      <x:c r="Z899" s="32" t="str" cm="1">
        <x:f t="array" ref="Z89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Complete</x:v>
      </x:c>
      <x:c r="AA899" s="33" t="n">
        <x:f>--OR(WorkforceData[[#This Row],[Status]]="Active",WorkforceData[[#This Row],[Promoted]]="Yes",WorkforceData[[#This Row],[Total Days Worked]]&gt;=121)</x:f>
        <x:v>1</x:v>
      </x:c>
      <x:c r="AB899" s="33" t="n">
        <x:f>IF(AND(Q899="Terminated",R899="",O899=0),1,0)</x:f>
        <x:v>0</x:v>
      </x:c>
      <x:c r="AC899" s="33" t="n">
        <x:f>--OR(WorkforceData[[#This Row],[Status]]="Resigned",WorkforceData[[#This Row],[Status After Training]]="Withdrew")</x:f>
        <x:v>1</x:v>
      </x:c>
      <x:c r="AD899" s="34" t="n">
        <x:f>EOMONTH(WorkforceData[[#This Row],[Training Date]],0)</x:f>
        <x:v>45626</x:v>
      </x:c>
      <x:c r="AE899" s="32" t="str">
        <x:f>IF(M899&lt;H899,"Existing Employee",IF(U899="","No Assignment",IF(V899=0,"0 Days",IF(V899&lt;=7,"1-7 Days",IF(V899&lt;=14,"8-14 Days",IF(V899&lt;=21,"15-21 Days","21+ Days"))))))</x:f>
        <x:v>Existing Employee</x:v>
      </x:c>
      <x:c r="AF89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899" s="33" t="n">
        <x:f>--(WorkforceData[[#This Row],[Total Days Worked]]&gt;=121)</x:f>
        <x:v>1</x:v>
      </x:c>
    </x:row>
    <x:row r="900">
      <x:c r="A900" s="236" t="str">
        <x:v>TRN-0899</x:v>
      </x:c>
      <x:c r="B900" s="243"/>
      <x:c r="C900" s="243"/>
      <x:c r="D900" s="243"/>
      <x:c r="E900" s="243"/>
      <x:c r="F900" s="14" t="str">
        <x:v>Recruiter B</x:v>
      </x:c>
      <x:c r="G900" s="14" t="str">
        <x:v>Training Center A</x:v>
      </x:c>
      <x:c r="H900" s="28">
        <x:v>45620</x:v>
      </x:c>
      <x:c r="I900" s="14">
        <x:v>2024</x:v>
      </x:c>
      <x:c r="J900" s="14" t="s">
        <x:v>134</x:v>
      </x:c>
      <x:c r="K900" s="14">
        <x:v>32</x:v>
      </x:c>
      <x:c r="L900" s="29" t="s">
        <x:v>128</x:v>
      </x:c>
      <x:c r="M900" s="28">
        <x:v>45618</x:v>
      </x:c>
      <x:c r="N900" s="28">
        <x:v>45624</x:v>
      </x:c>
      <x:c r="O900" s="14">
        <x:v>6</x:v>
      </x:c>
      <x:c r="P900" s="14" t="s">
        <x:v>102</x:v>
      </x:c>
      <x:c r="Q900" s="14" t="s">
        <x:v>33</x:v>
      </x:c>
      <x:c r="R900" s="14" t="s">
        <x:v>116</x:v>
      </x:c>
      <x:c r="S900" s="14" t="s">
        <x:v>105</x:v>
      </x:c>
      <x:c r="T900" s="14" t="str">
        <x:v>Region A</x:v>
      </x:c>
      <x:c r="U900" s="28">
        <x:v>45624</x:v>
      </x:c>
      <x:c r="V900" s="30">
        <x:v>4</x:v>
      </x:c>
      <x:c r="W900" s="14" t="s">
        <x:v>109</x:v>
      </x:c>
      <x:c r="X900" s="14" t="s">
        <x:v>106</x:v>
      </x:c>
      <x:c r="Y900" s="32" t="str">
        <x:v>TRN-0899|20241124</x:v>
      </x:c>
      <x:c r="Z900" s="32" t="str" cm="1">
        <x:f t="array" ref="Z90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900" s="33" t="n">
        <x:f>--OR(WorkforceData[[#This Row],[Status]]="Active",WorkforceData[[#This Row],[Promoted]]="Yes",WorkforceData[[#This Row],[Total Days Worked]]&gt;=121)</x:f>
        <x:v>0</x:v>
      </x:c>
      <x:c r="AB900" s="33" t="n">
        <x:f>IF(AND(Q900="Terminated",R900="",O900=0),1,0)</x:f>
        <x:v>0</x:v>
      </x:c>
      <x:c r="AC900" s="33" t="n">
        <x:f>--OR(WorkforceData[[#This Row],[Status]]="Resigned",WorkforceData[[#This Row],[Status After Training]]="Withdrew")</x:f>
        <x:v>0</x:v>
      </x:c>
      <x:c r="AD900" s="34" t="n">
        <x:f>EOMONTH(WorkforceData[[#This Row],[Training Date]],0)</x:f>
        <x:v>45626</x:v>
      </x:c>
      <x:c r="AE900" s="32" t="str">
        <x:f>IF(M900&lt;H900,"Existing Employee",IF(U900="","No Assignment",IF(V900=0,"0 Days",IF(V900&lt;=7,"1-7 Days",IF(V900&lt;=14,"8-14 Days",IF(V900&lt;=21,"15-21 Days","21+ Days"))))))</x:f>
        <x:v>Existing Employee</x:v>
      </x:c>
      <x:c r="AF90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1-7 Days</x:v>
      </x:c>
      <x:c r="AG900" s="33" t="n">
        <x:f>--(WorkforceData[[#This Row],[Total Days Worked]]&gt;=121)</x:f>
        <x:v>0</x:v>
      </x:c>
    </x:row>
    <x:row r="901">
      <x:c r="A901" s="236" t="str">
        <x:v>TRN-0900</x:v>
      </x:c>
      <x:c r="B901" s="243"/>
      <x:c r="C901" s="243"/>
      <x:c r="D901" s="243"/>
      <x:c r="E901" s="243"/>
      <x:c r="F901" s="14" t="str">
        <x:v>Recruiter G</x:v>
      </x:c>
      <x:c r="G901" s="14" t="str">
        <x:v>Training Center A</x:v>
      </x:c>
      <x:c r="H901" s="28">
        <x:v>45620</x:v>
      </x:c>
      <x:c r="I901" s="14">
        <x:v>2024</x:v>
      </x:c>
      <x:c r="J901" s="14" t="s">
        <x:v>134</x:v>
      </x:c>
      <x:c r="K901" s="14">
        <x:v>32</x:v>
      </x:c>
      <x:c r="L901" s="29" t="s">
        <x:v>128</x:v>
      </x:c>
      <x:c r="M901" s="28">
        <x:v>45620</x:v>
      </x:c>
      <x:c r="N901" s="14"/>
      <x:c r="O901" s="14">
        <x:v>631</x:v>
      </x:c>
      <x:c r="P901" s="14" t="s">
        <x:v>120</x:v>
      </x:c>
      <x:c r="Q901" s="14" t="s">
        <x:v>25</x:v>
      </x:c>
      <x:c r="R901" s="14"/>
      <x:c r="S901" s="14" t="s">
        <x:v>108</x:v>
      </x:c>
      <x:c r="T901" s="14" t="str">
        <x:v>Region B</x:v>
      </x:c>
      <x:c r="U901" s="28">
        <x:v>45709</x:v>
      </x:c>
      <x:c r="V901" s="30">
        <x:v>89</x:v>
      </x:c>
      <x:c r="W901" s="14" t="s">
        <x:v>114</x:v>
      </x:c>
      <x:c r="X901" s="14" t="s">
        <x:v>117</x:v>
      </x:c>
      <x:c r="Y901" s="32" t="str">
        <x:v>TRN-0900|20241124</x:v>
      </x:c>
      <x:c r="Z901" s="32" t="str" cm="1">
        <x:f t="array" ref="Z90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901" s="33" t="n">
        <x:f>--OR(WorkforceData[[#This Row],[Status]]="Active",WorkforceData[[#This Row],[Promoted]]="Yes",WorkforceData[[#This Row],[Total Days Worked]]&gt;=121)</x:f>
        <x:v>1</x:v>
      </x:c>
      <x:c r="AB901" s="33" t="n">
        <x:f>IF(AND(Q901="Terminated",R901="",O901=0),1,0)</x:f>
        <x:v>0</x:v>
      </x:c>
      <x:c r="AC901" s="33" t="n">
        <x:f>--OR(WorkforceData[[#This Row],[Status]]="Resigned",WorkforceData[[#This Row],[Status After Training]]="Withdrew")</x:f>
        <x:v>0</x:v>
      </x:c>
      <x:c r="AD901" s="34" t="n">
        <x:f>EOMONTH(WorkforceData[[#This Row],[Training Date]],0)</x:f>
        <x:v>45626</x:v>
      </x:c>
      <x:c r="AE901" s="32" t="str">
        <x:f>IF(M901&lt;H901,"Existing Employee",IF(U901="","No Assignment",IF(V901=0,"0 Days",IF(V901&lt;=7,"1-7 Days",IF(V901&lt;=14,"8-14 Days",IF(V901&lt;=21,"15-21 Days","21+ Days"))))))</x:f>
        <x:v>21+ Days</x:v>
      </x:c>
      <x:c r="AF90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901" s="33" t="n">
        <x:f>--(WorkforceData[[#This Row],[Total Days Worked]]&gt;=121)</x:f>
        <x:v>1</x:v>
      </x:c>
    </x:row>
    <x:row r="902">
      <x:c r="A902" s="236" t="str">
        <x:v>TRN-0901</x:v>
      </x:c>
      <x:c r="B902" s="243"/>
      <x:c r="C902" s="243"/>
      <x:c r="D902" s="243"/>
      <x:c r="E902" s="243"/>
      <x:c r="F902" s="14" t="str">
        <x:v>Recruiter D</x:v>
      </x:c>
      <x:c r="G902" s="14" t="str">
        <x:v>Training Center A</x:v>
      </x:c>
      <x:c r="H902" s="28">
        <x:v>45620</x:v>
      </x:c>
      <x:c r="I902" s="14">
        <x:v>2024</x:v>
      </x:c>
      <x:c r="J902" s="14" t="s">
        <x:v>134</x:v>
      </x:c>
      <x:c r="K902" s="14">
        <x:v>32</x:v>
      </x:c>
      <x:c r="L902" s="29" t="s">
        <x:v>128</x:v>
      </x:c>
      <x:c r="M902" s="28">
        <x:v>45620</x:v>
      </x:c>
      <x:c r="N902" s="28">
        <x:v>46089</x:v>
      </x:c>
      <x:c r="O902" s="14">
        <x:v>469</x:v>
      </x:c>
      <x:c r="P902" s="14" t="s">
        <x:v>120</x:v>
      </x:c>
      <x:c r="Q902" s="14" t="s">
        <x:v>33</x:v>
      </x:c>
      <x:c r="R902" s="14" t="s">
        <x:v>124</x:v>
      </x:c>
      <x:c r="S902" s="14" t="s">
        <x:v>108</x:v>
      </x:c>
      <x:c r="T902" s="14" t="str">
        <x:v>Region D</x:v>
      </x:c>
      <x:c r="U902" s="28">
        <x:v>45629</x:v>
      </x:c>
      <x:c r="V902" s="30">
        <x:v>9</x:v>
      </x:c>
      <x:c r="W902" s="14" t="s">
        <x:v>45</x:v>
      </x:c>
      <x:c r="X902" s="14" t="s">
        <x:v>106</x:v>
      </x:c>
      <x:c r="Y902" s="32" t="str">
        <x:v>TRN-0901|20241124</x:v>
      </x:c>
      <x:c r="Z902" s="32" t="str" cm="1">
        <x:f t="array" ref="Z90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902" s="33" t="n">
        <x:f>--OR(WorkforceData[[#This Row],[Status]]="Active",WorkforceData[[#This Row],[Promoted]]="Yes",WorkforceData[[#This Row],[Total Days Worked]]&gt;=121)</x:f>
        <x:v>1</x:v>
      </x:c>
      <x:c r="AB902" s="33" t="n">
        <x:f>IF(AND(Q902="Terminated",R902="",O902=0),1,0)</x:f>
        <x:v>0</x:v>
      </x:c>
      <x:c r="AC902" s="33" t="n">
        <x:f>--OR(WorkforceData[[#This Row],[Status]]="Resigned",WorkforceData[[#This Row],[Status After Training]]="Withdrew")</x:f>
        <x:v>0</x:v>
      </x:c>
      <x:c r="AD902" s="34" t="n">
        <x:f>EOMONTH(WorkforceData[[#This Row],[Training Date]],0)</x:f>
        <x:v>45626</x:v>
      </x:c>
      <x:c r="AE902" s="32" t="str">
        <x:f>IF(M902&lt;H902,"Existing Employee",IF(U902="","No Assignment",IF(V902=0,"0 Days",IF(V902&lt;=7,"1-7 Days",IF(V902&lt;=14,"8-14 Days",IF(V902&lt;=21,"15-21 Days","21+ Days"))))))</x:f>
        <x:v>8-14 Days</x:v>
      </x:c>
      <x:c r="AF90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902" s="33" t="n">
        <x:f>--(WorkforceData[[#This Row],[Total Days Worked]]&gt;=121)</x:f>
        <x:v>1</x:v>
      </x:c>
    </x:row>
    <x:row r="903">
      <x:c r="A903" s="236" t="str">
        <x:v>TRN-0902</x:v>
      </x:c>
      <x:c r="B903" s="243"/>
      <x:c r="C903" s="243"/>
      <x:c r="D903" s="243"/>
      <x:c r="E903" s="243"/>
      <x:c r="F903" s="14" t="str">
        <x:v>Recruiter A</x:v>
      </x:c>
      <x:c r="G903" s="14" t="str">
        <x:v>Training Center A</x:v>
      </x:c>
      <x:c r="H903" s="28">
        <x:v>45620</x:v>
      </x:c>
      <x:c r="I903" s="14">
        <x:v>2024</x:v>
      </x:c>
      <x:c r="J903" s="14" t="s">
        <x:v>134</x:v>
      </x:c>
      <x:c r="K903" s="14">
        <x:v>32</x:v>
      </x:c>
      <x:c r="L903" s="29" t="s">
        <x:v>128</x:v>
      </x:c>
      <x:c r="M903" s="28">
        <x:v>45618</x:v>
      </x:c>
      <x:c r="N903" s="28">
        <x:v>45705</x:v>
      </x:c>
      <x:c r="O903" s="14">
        <x:v>87</x:v>
      </x:c>
      <x:c r="P903" s="14" t="s">
        <x:v>110</x:v>
      </x:c>
      <x:c r="Q903" s="14" t="s">
        <x:v>103</x:v>
      </x:c>
      <x:c r="R903" s="14" t="s">
        <x:v>104</x:v>
      </x:c>
      <x:c r="S903" s="14" t="s">
        <x:v>105</x:v>
      </x:c>
      <x:c r="T903" s="14" t="str">
        <x:v>Region D</x:v>
      </x:c>
      <x:c r="U903" s="28">
        <x:v>45633</x:v>
      </x:c>
      <x:c r="V903" s="30">
        <x:v>13</x:v>
      </x:c>
      <x:c r="W903" s="14" t="s">
        <x:v>45</x:v>
      </x:c>
      <x:c r="X903" s="14" t="s">
        <x:v>106</x:v>
      </x:c>
      <x:c r="Y903" s="32" t="str">
        <x:v>TRN-0902|20241124</x:v>
      </x:c>
      <x:c r="Z903" s="32" t="str" cm="1">
        <x:f t="array" ref="Z90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903" s="33" t="n">
        <x:f>--OR(WorkforceData[[#This Row],[Status]]="Active",WorkforceData[[#This Row],[Promoted]]="Yes",WorkforceData[[#This Row],[Total Days Worked]]&gt;=121)</x:f>
        <x:v>0</x:v>
      </x:c>
      <x:c r="AB903" s="33" t="n">
        <x:f>IF(AND(Q903="Terminated",R903="",O903=0),1,0)</x:f>
        <x:v>0</x:v>
      </x:c>
      <x:c r="AC903" s="33" t="n">
        <x:f>--OR(WorkforceData[[#This Row],[Status]]="Resigned",WorkforceData[[#This Row],[Status After Training]]="Withdrew")</x:f>
        <x:v>1</x:v>
      </x:c>
      <x:c r="AD903" s="34" t="n">
        <x:f>EOMONTH(WorkforceData[[#This Row],[Training Date]],0)</x:f>
        <x:v>45626</x:v>
      </x:c>
      <x:c r="AE903" s="32" t="str">
        <x:f>IF(M903&lt;H903,"Existing Employee",IF(U903="","No Assignment",IF(V903=0,"0 Days",IF(V903&lt;=7,"1-7 Days",IF(V903&lt;=14,"8-14 Days",IF(V903&lt;=21,"15-21 Days","21+ Days"))))))</x:f>
        <x:v>Existing Employee</x:v>
      </x:c>
      <x:c r="AF90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61-90 Days</x:v>
      </x:c>
      <x:c r="AG903" s="33" t="n">
        <x:f>--(WorkforceData[[#This Row],[Total Days Worked]]&gt;=121)</x:f>
        <x:v>0</x:v>
      </x:c>
    </x:row>
    <x:row r="904">
      <x:c r="A904" s="236" t="str">
        <x:v>TRN-0903</x:v>
      </x:c>
      <x:c r="B904" s="243"/>
      <x:c r="C904" s="243"/>
      <x:c r="D904" s="243"/>
      <x:c r="E904" s="243"/>
      <x:c r="F904" s="14" t="str">
        <x:v>Recruiter D</x:v>
      </x:c>
      <x:c r="G904" s="14" t="str">
        <x:v>Training Center A</x:v>
      </x:c>
      <x:c r="H904" s="28">
        <x:v>45620</x:v>
      </x:c>
      <x:c r="I904" s="14">
        <x:v>2024</x:v>
      </x:c>
      <x:c r="J904" s="14" t="s">
        <x:v>134</x:v>
      </x:c>
      <x:c r="K904" s="14">
        <x:v>32</x:v>
      </x:c>
      <x:c r="L904" s="29" t="s">
        <x:v>128</x:v>
      </x:c>
      <x:c r="M904" s="28">
        <x:v>45619</x:v>
      </x:c>
      <x:c r="N904" s="28">
        <x:v>45645</x:v>
      </x:c>
      <x:c r="O904" s="14">
        <x:v>26</x:v>
      </x:c>
      <x:c r="P904" s="14" t="s">
        <x:v>102</x:v>
      </x:c>
      <x:c r="Q904" s="14" t="s">
        <x:v>103</x:v>
      </x:c>
      <x:c r="R904" s="14" t="s">
        <x:v>104</x:v>
      </x:c>
      <x:c r="S904" s="14" t="s">
        <x:v>105</x:v>
      </x:c>
      <x:c r="T904" s="14" t="str">
        <x:v>Region B</x:v>
      </x:c>
      <x:c r="U904" s="28">
        <x:v>45645</x:v>
      </x:c>
      <x:c r="V904" s="30">
        <x:v>25</x:v>
      </x:c>
      <x:c r="W904" s="14" t="s">
        <x:v>112</x:v>
      </x:c>
      <x:c r="X904" s="14" t="s">
        <x:v>106</x:v>
      </x:c>
      <x:c r="Y904" s="32" t="str">
        <x:v>TRN-0903|20241124</x:v>
      </x:c>
      <x:c r="Z904" s="32" t="str" cm="1">
        <x:f t="array" ref="Z90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904" s="33" t="n">
        <x:f>--OR(WorkforceData[[#This Row],[Status]]="Active",WorkforceData[[#This Row],[Promoted]]="Yes",WorkforceData[[#This Row],[Total Days Worked]]&gt;=121)</x:f>
        <x:v>0</x:v>
      </x:c>
      <x:c r="AB904" s="33" t="n">
        <x:f>IF(AND(Q904="Terminated",R904="",O904=0),1,0)</x:f>
        <x:v>0</x:v>
      </x:c>
      <x:c r="AC904" s="33" t="n">
        <x:f>--OR(WorkforceData[[#This Row],[Status]]="Resigned",WorkforceData[[#This Row],[Status After Training]]="Withdrew")</x:f>
        <x:v>1</x:v>
      </x:c>
      <x:c r="AD904" s="34" t="n">
        <x:f>EOMONTH(WorkforceData[[#This Row],[Training Date]],0)</x:f>
        <x:v>45626</x:v>
      </x:c>
      <x:c r="AE904" s="32" t="str">
        <x:f>IF(M904&lt;H904,"Existing Employee",IF(U904="","No Assignment",IF(V904=0,"0 Days",IF(V904&lt;=7,"1-7 Days",IF(V904&lt;=14,"8-14 Days",IF(V904&lt;=21,"15-21 Days","21+ Days"))))))</x:f>
        <x:v>Existing Employee</x:v>
      </x:c>
      <x:c r="AF90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904" s="33" t="n">
        <x:f>--(WorkforceData[[#This Row],[Total Days Worked]]&gt;=121)</x:f>
        <x:v>0</x:v>
      </x:c>
    </x:row>
    <x:row r="905">
      <x:c r="A905" s="236" t="str">
        <x:v>TRN-0904</x:v>
      </x:c>
      <x:c r="B905" s="243"/>
      <x:c r="C905" s="243"/>
      <x:c r="D905" s="243"/>
      <x:c r="E905" s="243"/>
      <x:c r="F905" s="14" t="str">
        <x:v>Recruiter F</x:v>
      </x:c>
      <x:c r="G905" s="14" t="str">
        <x:v>Training Center A</x:v>
      </x:c>
      <x:c r="H905" s="28">
        <x:v>45620</x:v>
      </x:c>
      <x:c r="I905" s="14">
        <x:v>2024</x:v>
      </x:c>
      <x:c r="J905" s="14" t="s">
        <x:v>134</x:v>
      </x:c>
      <x:c r="K905" s="14">
        <x:v>32</x:v>
      </x:c>
      <x:c r="L905" s="29" t="s">
        <x:v>128</x:v>
      </x:c>
      <x:c r="M905" s="28">
        <x:v>45613</x:v>
      </x:c>
      <x:c r="N905" s="14"/>
      <x:c r="O905" s="14">
        <x:v>638</x:v>
      </x:c>
      <x:c r="P905" s="14" t="s">
        <x:v>120</x:v>
      </x:c>
      <x:c r="Q905" s="14" t="s">
        <x:v>38</x:v>
      </x:c>
      <x:c r="R905" s="14"/>
      <x:c r="S905" s="14" t="s">
        <x:v>108</x:v>
      </x:c>
      <x:c r="T905" s="14" t="str">
        <x:v>Region A</x:v>
      </x:c>
      <x:c r="U905" s="28">
        <x:v>45635</x:v>
      </x:c>
      <x:c r="V905" s="30">
        <x:v>15</x:v>
      </x:c>
      <x:c r="W905" s="14" t="s">
        <x:v>112</x:v>
      </x:c>
      <x:c r="X905" s="14" t="s">
        <x:v>106</x:v>
      </x:c>
      <x:c r="Y905" s="32" t="str">
        <x:v>TRN-0904|20241124</x:v>
      </x:c>
      <x:c r="Z905" s="32" t="str" cm="1">
        <x:f t="array" ref="Z90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905" s="33" t="n">
        <x:f>--OR(WorkforceData[[#This Row],[Status]]="Active",WorkforceData[[#This Row],[Promoted]]="Yes",WorkforceData[[#This Row],[Total Days Worked]]&gt;=121)</x:f>
        <x:v>1</x:v>
      </x:c>
      <x:c r="AB905" s="33" t="n">
        <x:f>IF(AND(Q905="Terminated",R905="",O905=0),1,0)</x:f>
        <x:v>0</x:v>
      </x:c>
      <x:c r="AC905" s="33" t="n">
        <x:f>--OR(WorkforceData[[#This Row],[Status]]="Resigned",WorkforceData[[#This Row],[Status After Training]]="Withdrew")</x:f>
        <x:v>0</x:v>
      </x:c>
      <x:c r="AD905" s="34" t="n">
        <x:f>EOMONTH(WorkforceData[[#This Row],[Training Date]],0)</x:f>
        <x:v>45626</x:v>
      </x:c>
      <x:c r="AE905" s="32" t="str">
        <x:f>IF(M905&lt;H905,"Existing Employee",IF(U905="","No Assignment",IF(V905=0,"0 Days",IF(V905&lt;=7,"1-7 Days",IF(V905&lt;=14,"8-14 Days",IF(V905&lt;=21,"15-21 Days","21+ Days"))))))</x:f>
        <x:v>Existing Employee</x:v>
      </x:c>
      <x:c r="AF90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905" s="33" t="n">
        <x:f>--(WorkforceData[[#This Row],[Total Days Worked]]&gt;=121)</x:f>
        <x:v>1</x:v>
      </x:c>
    </x:row>
    <x:row r="906">
      <x:c r="A906" s="236" t="str">
        <x:v>TRN-0905</x:v>
      </x:c>
      <x:c r="B906" s="243"/>
      <x:c r="C906" s="243"/>
      <x:c r="D906" s="243"/>
      <x:c r="E906" s="243"/>
      <x:c r="F906" s="14" t="str">
        <x:v>Recruiter B</x:v>
      </x:c>
      <x:c r="G906" s="14" t="str">
        <x:v>Training Center A</x:v>
      </x:c>
      <x:c r="H906" s="28">
        <x:v>45620</x:v>
      </x:c>
      <x:c r="I906" s="14">
        <x:v>2024</x:v>
      </x:c>
      <x:c r="J906" s="14" t="s">
        <x:v>134</x:v>
      </x:c>
      <x:c r="K906" s="14">
        <x:v>32</x:v>
      </x:c>
      <x:c r="L906" s="29" t="s">
        <x:v>128</x:v>
      </x:c>
      <x:c r="M906" s="28">
        <x:v>45619</x:v>
      </x:c>
      <x:c r="N906" s="28">
        <x:v>45948</x:v>
      </x:c>
      <x:c r="O906" s="14">
        <x:v>329</x:v>
      </x:c>
      <x:c r="P906" s="14" t="s">
        <x:v>107</x:v>
      </x:c>
      <x:c r="Q906" s="14" t="s">
        <x:v>103</x:v>
      </x:c>
      <x:c r="R906" s="14" t="s">
        <x:v>104</x:v>
      </x:c>
      <x:c r="S906" s="14" t="s">
        <x:v>108</x:v>
      </x:c>
      <x:c r="T906" s="14" t="str">
        <x:v>Region B</x:v>
      </x:c>
      <x:c r="U906" s="28">
        <x:v>45625</x:v>
      </x:c>
      <x:c r="V906" s="30">
        <x:v>5</x:v>
      </x:c>
      <x:c r="W906" s="14" t="s">
        <x:v>109</x:v>
      </x:c>
      <x:c r="X906" s="14" t="s">
        <x:v>106</x:v>
      </x:c>
      <x:c r="Y906" s="32" t="str">
        <x:v>TRN-0905|20241124</x:v>
      </x:c>
      <x:c r="Z906" s="32" t="str" cm="1">
        <x:f t="array" ref="Z90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906" s="33" t="n">
        <x:f>--OR(WorkforceData[[#This Row],[Status]]="Active",WorkforceData[[#This Row],[Promoted]]="Yes",WorkforceData[[#This Row],[Total Days Worked]]&gt;=121)</x:f>
        <x:v>1</x:v>
      </x:c>
      <x:c r="AB906" s="33" t="n">
        <x:f>IF(AND(Q906="Terminated",R906="",O906=0),1,0)</x:f>
        <x:v>0</x:v>
      </x:c>
      <x:c r="AC906" s="33" t="n">
        <x:f>--OR(WorkforceData[[#This Row],[Status]]="Resigned",WorkforceData[[#This Row],[Status After Training]]="Withdrew")</x:f>
        <x:v>1</x:v>
      </x:c>
      <x:c r="AD906" s="34" t="n">
        <x:f>EOMONTH(WorkforceData[[#This Row],[Training Date]],0)</x:f>
        <x:v>45626</x:v>
      </x:c>
      <x:c r="AE906" s="32" t="str">
        <x:f>IF(M906&lt;H906,"Existing Employee",IF(U906="","No Assignment",IF(V906=0,"0 Days",IF(V906&lt;=7,"1-7 Days",IF(V906&lt;=14,"8-14 Days",IF(V906&lt;=21,"15-21 Days","21+ Days"))))))</x:f>
        <x:v>Existing Employee</x:v>
      </x:c>
      <x:c r="AF90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906" s="33" t="n">
        <x:f>--(WorkforceData[[#This Row],[Total Days Worked]]&gt;=121)</x:f>
        <x:v>1</x:v>
      </x:c>
    </x:row>
    <x:row r="907">
      <x:c r="A907" s="236" t="str">
        <x:v>TRN-0906</x:v>
      </x:c>
      <x:c r="B907" s="243"/>
      <x:c r="C907" s="243"/>
      <x:c r="D907" s="243"/>
      <x:c r="E907" s="243"/>
      <x:c r="F907" s="14" t="str">
        <x:v>Recruiter D</x:v>
      </x:c>
      <x:c r="G907" s="14" t="str">
        <x:v>Training Center A</x:v>
      </x:c>
      <x:c r="H907" s="28">
        <x:v>45620</x:v>
      </x:c>
      <x:c r="I907" s="14">
        <x:v>2024</x:v>
      </x:c>
      <x:c r="J907" s="14" t="s">
        <x:v>134</x:v>
      </x:c>
      <x:c r="K907" s="14">
        <x:v>32</x:v>
      </x:c>
      <x:c r="L907" s="29" t="s">
        <x:v>128</x:v>
      </x:c>
      <x:c r="M907" s="28">
        <x:v>45610</x:v>
      </x:c>
      <x:c r="N907" s="28">
        <x:v>45981</x:v>
      </x:c>
      <x:c r="O907" s="14">
        <x:v>371</x:v>
      </x:c>
      <x:c r="P907" s="14" t="s">
        <x:v>120</x:v>
      </x:c>
      <x:c r="Q907" s="14" t="s">
        <x:v>103</x:v>
      </x:c>
      <x:c r="R907" s="14" t="s">
        <x:v>104</x:v>
      </x:c>
      <x:c r="S907" s="14" t="s">
        <x:v>108</x:v>
      </x:c>
      <x:c r="T907" s="14" t="str">
        <x:v>Region B</x:v>
      </x:c>
      <x:c r="U907" s="28">
        <x:v>45632</x:v>
      </x:c>
      <x:c r="V907" s="30">
        <x:v>12</x:v>
      </x:c>
      <x:c r="W907" s="14" t="s">
        <x:v>45</x:v>
      </x:c>
      <x:c r="X907" s="14" t="s">
        <x:v>106</x:v>
      </x:c>
      <x:c r="Y907" s="32" t="str">
        <x:v>TRN-0906|20241124</x:v>
      </x:c>
      <x:c r="Z907" s="32" t="str" cm="1">
        <x:f t="array" ref="Z90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907" s="33" t="n">
        <x:f>--OR(WorkforceData[[#This Row],[Status]]="Active",WorkforceData[[#This Row],[Promoted]]="Yes",WorkforceData[[#This Row],[Total Days Worked]]&gt;=121)</x:f>
        <x:v>1</x:v>
      </x:c>
      <x:c r="AB907" s="33" t="n">
        <x:f>IF(AND(Q907="Terminated",R907="",O907=0),1,0)</x:f>
        <x:v>0</x:v>
      </x:c>
      <x:c r="AC907" s="33" t="n">
        <x:f>--OR(WorkforceData[[#This Row],[Status]]="Resigned",WorkforceData[[#This Row],[Status After Training]]="Withdrew")</x:f>
        <x:v>1</x:v>
      </x:c>
      <x:c r="AD907" s="34" t="n">
        <x:f>EOMONTH(WorkforceData[[#This Row],[Training Date]],0)</x:f>
        <x:v>45626</x:v>
      </x:c>
      <x:c r="AE907" s="32" t="str">
        <x:f>IF(M907&lt;H907,"Existing Employee",IF(U907="","No Assignment",IF(V907=0,"0 Days",IF(V907&lt;=7,"1-7 Days",IF(V907&lt;=14,"8-14 Days",IF(V907&lt;=21,"15-21 Days","21+ Days"))))))</x:f>
        <x:v>Existing Employee</x:v>
      </x:c>
      <x:c r="AF90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907" s="33" t="n">
        <x:f>--(WorkforceData[[#This Row],[Total Days Worked]]&gt;=121)</x:f>
        <x:v>1</x:v>
      </x:c>
    </x:row>
    <x:row r="908">
      <x:c r="A908" s="236" t="str">
        <x:v>TRN-0907</x:v>
      </x:c>
      <x:c r="B908" s="243"/>
      <x:c r="C908" s="243"/>
      <x:c r="D908" s="243"/>
      <x:c r="E908" s="243"/>
      <x:c r="F908" s="14" t="str">
        <x:v>Recruiter D</x:v>
      </x:c>
      <x:c r="G908" s="14" t="str">
        <x:v>Training Center A</x:v>
      </x:c>
      <x:c r="H908" s="28">
        <x:v>45620</x:v>
      </x:c>
      <x:c r="I908" s="14">
        <x:v>2024</x:v>
      </x:c>
      <x:c r="J908" s="14" t="s">
        <x:v>134</x:v>
      </x:c>
      <x:c r="K908" s="14">
        <x:v>32</x:v>
      </x:c>
      <x:c r="L908" s="29" t="s">
        <x:v>128</x:v>
      </x:c>
      <x:c r="M908" s="28">
        <x:v>45618</x:v>
      </x:c>
      <x:c r="N908" s="14"/>
      <x:c r="O908" s="14">
        <x:v>633</x:v>
      </x:c>
      <x:c r="P908" s="14" t="s">
        <x:v>120</x:v>
      </x:c>
      <x:c r="Q908" s="14" t="s">
        <x:v>25</x:v>
      </x:c>
      <x:c r="R908" s="14"/>
      <x:c r="S908" s="14" t="s">
        <x:v>108</x:v>
      </x:c>
      <x:c r="T908" s="14" t="str">
        <x:v>Region A</x:v>
      </x:c>
      <x:c r="U908" s="28">
        <x:v>45629</x:v>
      </x:c>
      <x:c r="V908" s="30">
        <x:v>9</x:v>
      </x:c>
      <x:c r="W908" s="14" t="s">
        <x:v>45</x:v>
      </x:c>
      <x:c r="X908" s="14" t="s">
        <x:v>106</x:v>
      </x:c>
      <x:c r="Y908" s="32" t="str">
        <x:v>TRN-0907|20241124</x:v>
      </x:c>
      <x:c r="Z908" s="32" t="str" cm="1">
        <x:f t="array" ref="Z90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908" s="33" t="n">
        <x:f>--OR(WorkforceData[[#This Row],[Status]]="Active",WorkforceData[[#This Row],[Promoted]]="Yes",WorkforceData[[#This Row],[Total Days Worked]]&gt;=121)</x:f>
        <x:v>1</x:v>
      </x:c>
      <x:c r="AB908" s="33" t="n">
        <x:f>IF(AND(Q908="Terminated",R908="",O908=0),1,0)</x:f>
        <x:v>0</x:v>
      </x:c>
      <x:c r="AC908" s="33" t="n">
        <x:f>--OR(WorkforceData[[#This Row],[Status]]="Resigned",WorkforceData[[#This Row],[Status After Training]]="Withdrew")</x:f>
        <x:v>0</x:v>
      </x:c>
      <x:c r="AD908" s="34" t="n">
        <x:f>EOMONTH(WorkforceData[[#This Row],[Training Date]],0)</x:f>
        <x:v>45626</x:v>
      </x:c>
      <x:c r="AE908" s="32" t="str">
        <x:f>IF(M908&lt;H908,"Existing Employee",IF(U908="","No Assignment",IF(V908=0,"0 Days",IF(V908&lt;=7,"1-7 Days",IF(V908&lt;=14,"8-14 Days",IF(V908&lt;=21,"15-21 Days","21+ Days"))))))</x:f>
        <x:v>Existing Employee</x:v>
      </x:c>
      <x:c r="AF90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908" s="33" t="n">
        <x:f>--(WorkforceData[[#This Row],[Total Days Worked]]&gt;=121)</x:f>
        <x:v>1</x:v>
      </x:c>
    </x:row>
    <x:row r="909">
      <x:c r="A909" s="236" t="str">
        <x:v>TRN-0908</x:v>
      </x:c>
      <x:c r="B909" s="243"/>
      <x:c r="C909" s="243"/>
      <x:c r="D909" s="243"/>
      <x:c r="E909" s="243"/>
      <x:c r="F909" s="14" t="str">
        <x:v>Recruiter G</x:v>
      </x:c>
      <x:c r="G909" s="14" t="str">
        <x:v>Training Center A</x:v>
      </x:c>
      <x:c r="H909" s="28">
        <x:v>45620</x:v>
      </x:c>
      <x:c r="I909" s="14">
        <x:v>2024</x:v>
      </x:c>
      <x:c r="J909" s="14" t="s">
        <x:v>134</x:v>
      </x:c>
      <x:c r="K909" s="14">
        <x:v>32</x:v>
      </x:c>
      <x:c r="L909" s="29" t="s">
        <x:v>128</x:v>
      </x:c>
      <x:c r="M909" s="28">
        <x:v>45617</x:v>
      </x:c>
      <x:c r="N909" s="14"/>
      <x:c r="O909" s="14">
        <x:v>634</x:v>
      </x:c>
      <x:c r="P909" s="14" t="s">
        <x:v>120</x:v>
      </x:c>
      <x:c r="Q909" s="14" t="s">
        <x:v>25</x:v>
      </x:c>
      <x:c r="R909" s="14"/>
      <x:c r="S909" s="14" t="s">
        <x:v>108</x:v>
      </x:c>
      <x:c r="T909" s="14" t="str">
        <x:v>Region C</x:v>
      </x:c>
      <x:c r="U909" s="28">
        <x:v>45621</x:v>
      </x:c>
      <x:c r="V909" s="30">
        <x:v>1</x:v>
      </x:c>
      <x:c r="W909" s="14" t="s">
        <x:v>109</x:v>
      </x:c>
      <x:c r="X909" s="14" t="s">
        <x:v>106</x:v>
      </x:c>
      <x:c r="Y909" s="32" t="str">
        <x:v>TRN-0908|20241124</x:v>
      </x:c>
      <x:c r="Z909" s="32" t="str" cm="1">
        <x:f t="array" ref="Z90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909" s="33" t="n">
        <x:f>--OR(WorkforceData[[#This Row],[Status]]="Active",WorkforceData[[#This Row],[Promoted]]="Yes",WorkforceData[[#This Row],[Total Days Worked]]&gt;=121)</x:f>
        <x:v>1</x:v>
      </x:c>
      <x:c r="AB909" s="33" t="n">
        <x:f>IF(AND(Q909="Terminated",R909="",O909=0),1,0)</x:f>
        <x:v>0</x:v>
      </x:c>
      <x:c r="AC909" s="33" t="n">
        <x:f>--OR(WorkforceData[[#This Row],[Status]]="Resigned",WorkforceData[[#This Row],[Status After Training]]="Withdrew")</x:f>
        <x:v>0</x:v>
      </x:c>
      <x:c r="AD909" s="34" t="n">
        <x:f>EOMONTH(WorkforceData[[#This Row],[Training Date]],0)</x:f>
        <x:v>45626</x:v>
      </x:c>
      <x:c r="AE909" s="32" t="str">
        <x:f>IF(M909&lt;H909,"Existing Employee",IF(U909="","No Assignment",IF(V909=0,"0 Days",IF(V909&lt;=7,"1-7 Days",IF(V909&lt;=14,"8-14 Days",IF(V909&lt;=21,"15-21 Days","21+ Days"))))))</x:f>
        <x:v>Existing Employee</x:v>
      </x:c>
      <x:c r="AF90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909" s="33" t="n">
        <x:f>--(WorkforceData[[#This Row],[Total Days Worked]]&gt;=121)</x:f>
        <x:v>1</x:v>
      </x:c>
    </x:row>
    <x:row r="910">
      <x:c r="A910" s="236" t="str">
        <x:v>TRN-0909</x:v>
      </x:c>
      <x:c r="B910" s="243"/>
      <x:c r="C910" s="243"/>
      <x:c r="D910" s="243"/>
      <x:c r="E910" s="243"/>
      <x:c r="F910" s="14" t="str">
        <x:v>Recruiter D</x:v>
      </x:c>
      <x:c r="G910" s="14" t="str">
        <x:v>Training Center A</x:v>
      </x:c>
      <x:c r="H910" s="28">
        <x:v>45620</x:v>
      </x:c>
      <x:c r="I910" s="14">
        <x:v>2024</x:v>
      </x:c>
      <x:c r="J910" s="14" t="s">
        <x:v>134</x:v>
      </x:c>
      <x:c r="K910" s="14">
        <x:v>32</x:v>
      </x:c>
      <x:c r="L910" s="29" t="s">
        <x:v>128</x:v>
      </x:c>
      <x:c r="M910" s="28">
        <x:v>45615</x:v>
      </x:c>
      <x:c r="N910" s="28">
        <x:v>46251</x:v>
      </x:c>
      <x:c r="O910" s="14">
        <x:v>636</x:v>
      </x:c>
      <x:c r="P910" s="14" t="s">
        <x:v>120</x:v>
      </x:c>
      <x:c r="Q910" s="14" t="s">
        <x:v>103</x:v>
      </x:c>
      <x:c r="R910" s="14" t="s">
        <x:v>104</x:v>
      </x:c>
      <x:c r="S910" s="14" t="s">
        <x:v>108</x:v>
      </x:c>
      <x:c r="T910" s="14" t="str">
        <x:v>Region D</x:v>
      </x:c>
      <x:c r="U910" s="28">
        <x:v>45622</x:v>
      </x:c>
      <x:c r="V910" s="30">
        <x:v>2</x:v>
      </x:c>
      <x:c r="W910" s="14" t="s">
        <x:v>109</x:v>
      </x:c>
      <x:c r="X910" s="14" t="s">
        <x:v>106</x:v>
      </x:c>
      <x:c r="Y910" s="32" t="str">
        <x:v>TRN-0909|20241124</x:v>
      </x:c>
      <x:c r="Z910" s="32" t="str" cm="1">
        <x:f t="array" ref="Z91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910" s="33" t="n">
        <x:f>--OR(WorkforceData[[#This Row],[Status]]="Active",WorkforceData[[#This Row],[Promoted]]="Yes",WorkforceData[[#This Row],[Total Days Worked]]&gt;=121)</x:f>
        <x:v>1</x:v>
      </x:c>
      <x:c r="AB910" s="33" t="n">
        <x:f>IF(AND(Q910="Terminated",R910="",O910=0),1,0)</x:f>
        <x:v>0</x:v>
      </x:c>
      <x:c r="AC910" s="33" t="n">
        <x:f>--OR(WorkforceData[[#This Row],[Status]]="Resigned",WorkforceData[[#This Row],[Status After Training]]="Withdrew")</x:f>
        <x:v>1</x:v>
      </x:c>
      <x:c r="AD910" s="34" t="n">
        <x:f>EOMONTH(WorkforceData[[#This Row],[Training Date]],0)</x:f>
        <x:v>45626</x:v>
      </x:c>
      <x:c r="AE910" s="32" t="str">
        <x:f>IF(M910&lt;H910,"Existing Employee",IF(U910="","No Assignment",IF(V910=0,"0 Days",IF(V910&lt;=7,"1-7 Days",IF(V910&lt;=14,"8-14 Days",IF(V910&lt;=21,"15-21 Days","21+ Days"))))))</x:f>
        <x:v>Existing Employee</x:v>
      </x:c>
      <x:c r="AF91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910" s="33" t="n">
        <x:f>--(WorkforceData[[#This Row],[Total Days Worked]]&gt;=121)</x:f>
        <x:v>1</x:v>
      </x:c>
    </x:row>
    <x:row r="911">
      <x:c r="A911" s="236" t="str">
        <x:v>TRN-0910</x:v>
      </x:c>
      <x:c r="B911" s="243"/>
      <x:c r="C911" s="243"/>
      <x:c r="D911" s="243"/>
      <x:c r="E911" s="243"/>
      <x:c r="F911" s="14" t="str">
        <x:v>Recruiter D</x:v>
      </x:c>
      <x:c r="G911" s="14" t="str">
        <x:v>Training Center A</x:v>
      </x:c>
      <x:c r="H911" s="28">
        <x:v>45620</x:v>
      </x:c>
      <x:c r="I911" s="14">
        <x:v>2024</x:v>
      </x:c>
      <x:c r="J911" s="14" t="s">
        <x:v>134</x:v>
      </x:c>
      <x:c r="K911" s="14">
        <x:v>32</x:v>
      </x:c>
      <x:c r="L911" s="29" t="s">
        <x:v>128</x:v>
      </x:c>
      <x:c r="M911" s="28">
        <x:v>45620</x:v>
      </x:c>
      <x:c r="N911" s="28">
        <x:v>46251</x:v>
      </x:c>
      <x:c r="O911" s="14">
        <x:v>631</x:v>
      </x:c>
      <x:c r="P911" s="14" t="s">
        <x:v>120</x:v>
      </x:c>
      <x:c r="Q911" s="14" t="s">
        <x:v>103</x:v>
      </x:c>
      <x:c r="R911" s="14" t="s">
        <x:v>104</x:v>
      </x:c>
      <x:c r="S911" s="14" t="s">
        <x:v>108</x:v>
      </x:c>
      <x:c r="T911" s="14" t="str">
        <x:v>Region D</x:v>
      </x:c>
      <x:c r="U911" s="28">
        <x:v>45638</x:v>
      </x:c>
      <x:c r="V911" s="30">
        <x:v>18</x:v>
      </x:c>
      <x:c r="W911" s="14" t="s">
        <x:v>112</x:v>
      </x:c>
      <x:c r="X911" s="14" t="s">
        <x:v>106</x:v>
      </x:c>
      <x:c r="Y911" s="32" t="str">
        <x:v>TRN-0910|20241124</x:v>
      </x:c>
      <x:c r="Z911" s="32" t="str" cm="1">
        <x:f t="array" ref="Z91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911" s="33" t="n">
        <x:f>--OR(WorkforceData[[#This Row],[Status]]="Active",WorkforceData[[#This Row],[Promoted]]="Yes",WorkforceData[[#This Row],[Total Days Worked]]&gt;=121)</x:f>
        <x:v>1</x:v>
      </x:c>
      <x:c r="AB911" s="33" t="n">
        <x:f>IF(AND(Q911="Terminated",R911="",O911=0),1,0)</x:f>
        <x:v>0</x:v>
      </x:c>
      <x:c r="AC911" s="33" t="n">
        <x:f>--OR(WorkforceData[[#This Row],[Status]]="Resigned",WorkforceData[[#This Row],[Status After Training]]="Withdrew")</x:f>
        <x:v>1</x:v>
      </x:c>
      <x:c r="AD911" s="34" t="n">
        <x:f>EOMONTH(WorkforceData[[#This Row],[Training Date]],0)</x:f>
        <x:v>45626</x:v>
      </x:c>
      <x:c r="AE911" s="32" t="str">
        <x:f>IF(M911&lt;H911,"Existing Employee",IF(U911="","No Assignment",IF(V911=0,"0 Days",IF(V911&lt;=7,"1-7 Days",IF(V911&lt;=14,"8-14 Days",IF(V911&lt;=21,"15-21 Days","21+ Days"))))))</x:f>
        <x:v>15-21 Days</x:v>
      </x:c>
      <x:c r="AF91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911" s="33" t="n">
        <x:f>--(WorkforceData[[#This Row],[Total Days Worked]]&gt;=121)</x:f>
        <x:v>1</x:v>
      </x:c>
    </x:row>
    <x:row r="912">
      <x:c r="A912" s="236" t="str">
        <x:v>TRN-0911</x:v>
      </x:c>
      <x:c r="B912" s="243"/>
      <x:c r="C912" s="243"/>
      <x:c r="D912" s="243"/>
      <x:c r="E912" s="243"/>
      <x:c r="F912" s="14" t="str">
        <x:v>Recruiter A</x:v>
      </x:c>
      <x:c r="G912" s="14" t="str">
        <x:v>Training Center B</x:v>
      </x:c>
      <x:c r="H912" s="28">
        <x:v>45489</x:v>
      </x:c>
      <x:c r="I912" s="14">
        <x:v>2024</x:v>
      </x:c>
      <x:c r="J912" s="14" t="s">
        <x:v>133</x:v>
      </x:c>
      <x:c r="K912" s="14">
        <x:v>20</x:v>
      </x:c>
      <x:c r="L912" s="29" t="s">
        <x:v>119</x:v>
      </x:c>
      <x:c r="M912" s="28">
        <x:v>45489</x:v>
      </x:c>
      <x:c r="N912" s="14"/>
      <x:c r="O912" s="14">
        <x:v>762</x:v>
      </x:c>
      <x:c r="P912" s="14" t="s">
        <x:v>122</x:v>
      </x:c>
      <x:c r="Q912" s="14" t="s">
        <x:v>25</x:v>
      </x:c>
      <x:c r="R912" s="14"/>
      <x:c r="S912" s="14" t="s">
        <x:v>108</x:v>
      </x:c>
      <x:c r="T912" s="14" t="str">
        <x:v>Region C</x:v>
      </x:c>
      <x:c r="U912" s="28">
        <x:v>45501</x:v>
      </x:c>
      <x:c r="V912" s="30">
        <x:v>12</x:v>
      </x:c>
      <x:c r="W912" s="14" t="s">
        <x:v>45</x:v>
      </x:c>
      <x:c r="X912" s="14" t="s">
        <x:v>106</x:v>
      </x:c>
      <x:c r="Y912" s="32" t="str">
        <x:v>TRN-0911|20240716</x:v>
      </x:c>
      <x:c r="Z912" s="32" t="str" cm="1">
        <x:f t="array" ref="Z91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912" s="33" t="n">
        <x:f>--OR(WorkforceData[[#This Row],[Status]]="Active",WorkforceData[[#This Row],[Promoted]]="Yes",WorkforceData[[#This Row],[Total Days Worked]]&gt;=121)</x:f>
        <x:v>1</x:v>
      </x:c>
      <x:c r="AB912" s="33" t="n">
        <x:f>IF(AND(Q912="Terminated",R912="",O912=0),1,0)</x:f>
        <x:v>0</x:v>
      </x:c>
      <x:c r="AC912" s="33" t="n">
        <x:f>--OR(WorkforceData[[#This Row],[Status]]="Resigned",WorkforceData[[#This Row],[Status After Training]]="Withdrew")</x:f>
        <x:v>0</x:v>
      </x:c>
      <x:c r="AD912" s="34" t="n">
        <x:f>EOMONTH(WorkforceData[[#This Row],[Training Date]],0)</x:f>
        <x:v>45504</x:v>
      </x:c>
      <x:c r="AE912" s="32" t="str">
        <x:f>IF(M912&lt;H912,"Existing Employee",IF(U912="","No Assignment",IF(V912=0,"0 Days",IF(V912&lt;=7,"1-7 Days",IF(V912&lt;=14,"8-14 Days",IF(V912&lt;=21,"15-21 Days","21+ Days"))))))</x:f>
        <x:v>8-14 Days</x:v>
      </x:c>
      <x:c r="AF91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912" s="33" t="n">
        <x:f>--(WorkforceData[[#This Row],[Total Days Worked]]&gt;=121)</x:f>
        <x:v>1</x:v>
      </x:c>
    </x:row>
    <x:row r="913">
      <x:c r="A913" s="236" t="str">
        <x:v>TRN-0912</x:v>
      </x:c>
      <x:c r="B913" s="243"/>
      <x:c r="C913" s="243"/>
      <x:c r="D913" s="243"/>
      <x:c r="E913" s="243"/>
      <x:c r="F913" s="14" t="str">
        <x:v>Recruiter B</x:v>
      </x:c>
      <x:c r="G913" s="14" t="str">
        <x:v>Training Center B</x:v>
      </x:c>
      <x:c r="H913" s="28">
        <x:v>45489</x:v>
      </x:c>
      <x:c r="I913" s="14">
        <x:v>2024</x:v>
      </x:c>
      <x:c r="J913" s="14" t="s">
        <x:v>133</x:v>
      </x:c>
      <x:c r="K913" s="14">
        <x:v>20</x:v>
      </x:c>
      <x:c r="L913" s="29" t="s">
        <x:v>119</x:v>
      </x:c>
      <x:c r="M913" s="28">
        <x:v>45486</x:v>
      </x:c>
      <x:c r="N913" s="14"/>
      <x:c r="O913" s="14">
        <x:v>765</x:v>
      </x:c>
      <x:c r="P913" s="14" t="s">
        <x:v>122</x:v>
      </x:c>
      <x:c r="Q913" s="14" t="s">
        <x:v>38</x:v>
      </x:c>
      <x:c r="R913" s="14"/>
      <x:c r="S913" s="14" t="s">
        <x:v>108</x:v>
      </x:c>
      <x:c r="T913" s="14" t="str">
        <x:v>Region B</x:v>
      </x:c>
      <x:c r="U913" s="28">
        <x:v>45501</x:v>
      </x:c>
      <x:c r="V913" s="30">
        <x:v>12</x:v>
      </x:c>
      <x:c r="W913" s="14" t="s">
        <x:v>45</x:v>
      </x:c>
      <x:c r="X913" s="14" t="s">
        <x:v>106</x:v>
      </x:c>
      <x:c r="Y913" s="32" t="str">
        <x:v>TRN-0912|20240716</x:v>
      </x:c>
      <x:c r="Z913" s="32" t="str" cm="1">
        <x:f t="array" ref="Z91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913" s="33" t="n">
        <x:f>--OR(WorkforceData[[#This Row],[Status]]="Active",WorkforceData[[#This Row],[Promoted]]="Yes",WorkforceData[[#This Row],[Total Days Worked]]&gt;=121)</x:f>
        <x:v>1</x:v>
      </x:c>
      <x:c r="AB913" s="33" t="n">
        <x:f>IF(AND(Q913="Terminated",R913="",O913=0),1,0)</x:f>
        <x:v>0</x:v>
      </x:c>
      <x:c r="AC913" s="33" t="n">
        <x:f>--OR(WorkforceData[[#This Row],[Status]]="Resigned",WorkforceData[[#This Row],[Status After Training]]="Withdrew")</x:f>
        <x:v>0</x:v>
      </x:c>
      <x:c r="AD913" s="34" t="n">
        <x:f>EOMONTH(WorkforceData[[#This Row],[Training Date]],0)</x:f>
        <x:v>45504</x:v>
      </x:c>
      <x:c r="AE913" s="32" t="str">
        <x:f>IF(M913&lt;H913,"Existing Employee",IF(U913="","No Assignment",IF(V913=0,"0 Days",IF(V913&lt;=7,"1-7 Days",IF(V913&lt;=14,"8-14 Days",IF(V913&lt;=21,"15-21 Days","21+ Days"))))))</x:f>
        <x:v>Existing Employee</x:v>
      </x:c>
      <x:c r="AF91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913" s="33" t="n">
        <x:f>--(WorkforceData[[#This Row],[Total Days Worked]]&gt;=121)</x:f>
        <x:v>1</x:v>
      </x:c>
    </x:row>
    <x:row r="914">
      <x:c r="A914" s="236" t="str">
        <x:v>TRN-0913</x:v>
      </x:c>
      <x:c r="B914" s="243"/>
      <x:c r="C914" s="243"/>
      <x:c r="D914" s="243"/>
      <x:c r="E914" s="243"/>
      <x:c r="F914" s="14" t="str">
        <x:v>Recruiter H</x:v>
      </x:c>
      <x:c r="G914" s="14" t="str">
        <x:v>Training Center B</x:v>
      </x:c>
      <x:c r="H914" s="28">
        <x:v>45489</x:v>
      </x:c>
      <x:c r="I914" s="14">
        <x:v>2024</x:v>
      </x:c>
      <x:c r="J914" s="14" t="s">
        <x:v>133</x:v>
      </x:c>
      <x:c r="K914" s="14">
        <x:v>20</x:v>
      </x:c>
      <x:c r="L914" s="29" t="s">
        <x:v>119</x:v>
      </x:c>
      <x:c r="M914" s="28">
        <x:v>45484</x:v>
      </x:c>
      <x:c r="N914" s="14"/>
      <x:c r="O914" s="14">
        <x:v>767</x:v>
      </x:c>
      <x:c r="P914" s="14" t="s">
        <x:v>122</x:v>
      </x:c>
      <x:c r="Q914" s="14" t="s">
        <x:v>25</x:v>
      </x:c>
      <x:c r="R914" s="14"/>
      <x:c r="S914" s="14" t="s">
        <x:v>108</x:v>
      </x:c>
      <x:c r="T914" s="14" t="str">
        <x:v>Region D</x:v>
      </x:c>
      <x:c r="U914" s="28">
        <x:v>45502</x:v>
      </x:c>
      <x:c r="V914" s="30">
        <x:v>13</x:v>
      </x:c>
      <x:c r="W914" s="14" t="s">
        <x:v>45</x:v>
      </x:c>
      <x:c r="X914" s="14" t="s">
        <x:v>106</x:v>
      </x:c>
      <x:c r="Y914" s="32" t="str">
        <x:v>TRN-0913|20240716</x:v>
      </x:c>
      <x:c r="Z914" s="32" t="str" cm="1">
        <x:f t="array" ref="Z91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914" s="33" t="n">
        <x:f>--OR(WorkforceData[[#This Row],[Status]]="Active",WorkforceData[[#This Row],[Promoted]]="Yes",WorkforceData[[#This Row],[Total Days Worked]]&gt;=121)</x:f>
        <x:v>1</x:v>
      </x:c>
      <x:c r="AB914" s="33" t="n">
        <x:f>IF(AND(Q914="Terminated",R914="",O914=0),1,0)</x:f>
        <x:v>0</x:v>
      </x:c>
      <x:c r="AC914" s="33" t="n">
        <x:f>--OR(WorkforceData[[#This Row],[Status]]="Resigned",WorkforceData[[#This Row],[Status After Training]]="Withdrew")</x:f>
        <x:v>0</x:v>
      </x:c>
      <x:c r="AD914" s="34" t="n">
        <x:f>EOMONTH(WorkforceData[[#This Row],[Training Date]],0)</x:f>
        <x:v>45504</x:v>
      </x:c>
      <x:c r="AE914" s="32" t="str">
        <x:f>IF(M914&lt;H914,"Existing Employee",IF(U914="","No Assignment",IF(V914=0,"0 Days",IF(V914&lt;=7,"1-7 Days",IF(V914&lt;=14,"8-14 Days",IF(V914&lt;=21,"15-21 Days","21+ Days"))))))</x:f>
        <x:v>Existing Employee</x:v>
      </x:c>
      <x:c r="AF91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914" s="33" t="n">
        <x:f>--(WorkforceData[[#This Row],[Total Days Worked]]&gt;=121)</x:f>
        <x:v>1</x:v>
      </x:c>
    </x:row>
    <x:row r="915">
      <x:c r="A915" s="236" t="str">
        <x:v>TRN-0914</x:v>
      </x:c>
      <x:c r="B915" s="243"/>
      <x:c r="C915" s="243"/>
      <x:c r="D915" s="243"/>
      <x:c r="E915" s="243"/>
      <x:c r="F915" s="14" t="str">
        <x:v>Recruiter C</x:v>
      </x:c>
      <x:c r="G915" s="14" t="str">
        <x:v>Training Center B</x:v>
      </x:c>
      <x:c r="H915" s="28">
        <x:v>45489</x:v>
      </x:c>
      <x:c r="I915" s="14">
        <x:v>2024</x:v>
      </x:c>
      <x:c r="J915" s="14" t="s">
        <x:v>133</x:v>
      </x:c>
      <x:c r="K915" s="14">
        <x:v>20</x:v>
      </x:c>
      <x:c r="L915" s="29" t="s">
        <x:v>119</x:v>
      </x:c>
      <x:c r="M915" s="28">
        <x:v>45489</x:v>
      </x:c>
      <x:c r="N915" s="14"/>
      <x:c r="O915" s="14">
        <x:v>762</x:v>
      </x:c>
      <x:c r="P915" s="14" t="s">
        <x:v>122</x:v>
      </x:c>
      <x:c r="Q915" s="14" t="s">
        <x:v>25</x:v>
      </x:c>
      <x:c r="R915" s="14"/>
      <x:c r="S915" s="14" t="s">
        <x:v>108</x:v>
      </x:c>
      <x:c r="T915" s="14" t="str">
        <x:v>Region B</x:v>
      </x:c>
      <x:c r="U915" s="28">
        <x:v>45494</x:v>
      </x:c>
      <x:c r="V915" s="30">
        <x:v>5</x:v>
      </x:c>
      <x:c r="W915" s="14" t="s">
        <x:v>109</x:v>
      </x:c>
      <x:c r="X915" s="14" t="s">
        <x:v>106</x:v>
      </x:c>
      <x:c r="Y915" s="32" t="str">
        <x:v>TRN-0914|20240716</x:v>
      </x:c>
      <x:c r="Z915" s="32" t="str" cm="1">
        <x:f t="array" ref="Z91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915" s="33" t="n">
        <x:f>--OR(WorkforceData[[#This Row],[Status]]="Active",WorkforceData[[#This Row],[Promoted]]="Yes",WorkforceData[[#This Row],[Total Days Worked]]&gt;=121)</x:f>
        <x:v>1</x:v>
      </x:c>
      <x:c r="AB915" s="33" t="n">
        <x:f>IF(AND(Q915="Terminated",R915="",O915=0),1,0)</x:f>
        <x:v>0</x:v>
      </x:c>
      <x:c r="AC915" s="33" t="n">
        <x:f>--OR(WorkforceData[[#This Row],[Status]]="Resigned",WorkforceData[[#This Row],[Status After Training]]="Withdrew")</x:f>
        <x:v>0</x:v>
      </x:c>
      <x:c r="AD915" s="34" t="n">
        <x:f>EOMONTH(WorkforceData[[#This Row],[Training Date]],0)</x:f>
        <x:v>45504</x:v>
      </x:c>
      <x:c r="AE915" s="32" t="str">
        <x:f>IF(M915&lt;H915,"Existing Employee",IF(U915="","No Assignment",IF(V915=0,"0 Days",IF(V915&lt;=7,"1-7 Days",IF(V915&lt;=14,"8-14 Days",IF(V915&lt;=21,"15-21 Days","21+ Days"))))))</x:f>
        <x:v>1-7 Days</x:v>
      </x:c>
      <x:c r="AF91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915" s="33" t="n">
        <x:f>--(WorkforceData[[#This Row],[Total Days Worked]]&gt;=121)</x:f>
        <x:v>1</x:v>
      </x:c>
    </x:row>
    <x:row r="916">
      <x:c r="A916" s="236" t="str">
        <x:v>TRN-0915</x:v>
      </x:c>
      <x:c r="B916" s="243"/>
      <x:c r="C916" s="243"/>
      <x:c r="D916" s="243"/>
      <x:c r="E916" s="243"/>
      <x:c r="F916" s="14" t="str">
        <x:v>Recruiter D</x:v>
      </x:c>
      <x:c r="G916" s="14" t="str">
        <x:v>Training Center B</x:v>
      </x:c>
      <x:c r="H916" s="28">
        <x:v>45489</x:v>
      </x:c>
      <x:c r="I916" s="14">
        <x:v>2024</x:v>
      </x:c>
      <x:c r="J916" s="14" t="s">
        <x:v>133</x:v>
      </x:c>
      <x:c r="K916" s="14">
        <x:v>20</x:v>
      </x:c>
      <x:c r="L916" s="29" t="s">
        <x:v>119</x:v>
      </x:c>
      <x:c r="M916" s="28">
        <x:v>45487</x:v>
      </x:c>
      <x:c r="N916" s="14"/>
      <x:c r="O916" s="14">
        <x:v>764</x:v>
      </x:c>
      <x:c r="P916" s="14" t="s">
        <x:v>122</x:v>
      </x:c>
      <x:c r="Q916" s="14" t="s">
        <x:v>38</x:v>
      </x:c>
      <x:c r="R916" s="14"/>
      <x:c r="S916" s="14" t="s">
        <x:v>108</x:v>
      </x:c>
      <x:c r="T916" s="14" t="str">
        <x:v>Region D</x:v>
      </x:c>
      <x:c r="U916" s="28">
        <x:v>45489</x:v>
      </x:c>
      <x:c r="V916" s="30">
        <x:v>0</x:v>
      </x:c>
      <x:c r="W916" s="14" t="s">
        <x:v>109</x:v>
      </x:c>
      <x:c r="X916" s="14" t="s">
        <x:v>106</x:v>
      </x:c>
      <x:c r="Y916" s="32" t="str">
        <x:v>TRN-0915|20240716</x:v>
      </x:c>
      <x:c r="Z916" s="32" t="str" cm="1">
        <x:f t="array" ref="Z91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916" s="33" t="n">
        <x:f>--OR(WorkforceData[[#This Row],[Status]]="Active",WorkforceData[[#This Row],[Promoted]]="Yes",WorkforceData[[#This Row],[Total Days Worked]]&gt;=121)</x:f>
        <x:v>1</x:v>
      </x:c>
      <x:c r="AB916" s="33" t="n">
        <x:f>IF(AND(Q916="Terminated",R916="",O916=0),1,0)</x:f>
        <x:v>0</x:v>
      </x:c>
      <x:c r="AC916" s="33" t="n">
        <x:f>--OR(WorkforceData[[#This Row],[Status]]="Resigned",WorkforceData[[#This Row],[Status After Training]]="Withdrew")</x:f>
        <x:v>0</x:v>
      </x:c>
      <x:c r="AD916" s="34" t="n">
        <x:f>EOMONTH(WorkforceData[[#This Row],[Training Date]],0)</x:f>
        <x:v>45504</x:v>
      </x:c>
      <x:c r="AE916" s="32" t="str">
        <x:f>IF(M916&lt;H916,"Existing Employee",IF(U916="","No Assignment",IF(V916=0,"0 Days",IF(V916&lt;=7,"1-7 Days",IF(V916&lt;=14,"8-14 Days",IF(V916&lt;=21,"15-21 Days","21+ Days"))))))</x:f>
        <x:v>Existing Employee</x:v>
      </x:c>
      <x:c r="AF91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916" s="33" t="n">
        <x:f>--(WorkforceData[[#This Row],[Total Days Worked]]&gt;=121)</x:f>
        <x:v>1</x:v>
      </x:c>
    </x:row>
    <x:row r="917">
      <x:c r="A917" s="236" t="str">
        <x:v>TRN-0916</x:v>
      </x:c>
      <x:c r="B917" s="243"/>
      <x:c r="C917" s="243"/>
      <x:c r="D917" s="243"/>
      <x:c r="E917" s="243"/>
      <x:c r="F917" s="14" t="str">
        <x:v>Recruiter D</x:v>
      </x:c>
      <x:c r="G917" s="14" t="str">
        <x:v>Training Center B</x:v>
      </x:c>
      <x:c r="H917" s="28">
        <x:v>45489</x:v>
      </x:c>
      <x:c r="I917" s="14">
        <x:v>2024</x:v>
      </x:c>
      <x:c r="J917" s="14" t="s">
        <x:v>133</x:v>
      </x:c>
      <x:c r="K917" s="14">
        <x:v>20</x:v>
      </x:c>
      <x:c r="L917" s="29" t="s">
        <x:v>119</x:v>
      </x:c>
      <x:c r="M917" s="28">
        <x:v>45484</x:v>
      </x:c>
      <x:c r="N917" s="28">
        <x:v>45732</x:v>
      </x:c>
      <x:c r="O917" s="14">
        <x:v>248</x:v>
      </x:c>
      <x:c r="P917" s="14" t="s">
        <x:v>107</x:v>
      </x:c>
      <x:c r="Q917" s="14" t="s">
        <x:v>103</x:v>
      </x:c>
      <x:c r="R917" s="14" t="s">
        <x:v>104</x:v>
      </x:c>
      <x:c r="S917" s="14" t="s">
        <x:v>108</x:v>
      </x:c>
      <x:c r="T917" s="14" t="str">
        <x:v>Region C</x:v>
      </x:c>
      <x:c r="U917" s="28">
        <x:v>45497</x:v>
      </x:c>
      <x:c r="V917" s="30">
        <x:v>8</x:v>
      </x:c>
      <x:c r="W917" s="14" t="s">
        <x:v>45</x:v>
      </x:c>
      <x:c r="X917" s="14" t="s">
        <x:v>106</x:v>
      </x:c>
      <x:c r="Y917" s="32" t="str">
        <x:v>TRN-0916|20240716</x:v>
      </x:c>
      <x:c r="Z917" s="32" t="str" cm="1">
        <x:f t="array" ref="Z91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917" s="33" t="n">
        <x:f>--OR(WorkforceData[[#This Row],[Status]]="Active",WorkforceData[[#This Row],[Promoted]]="Yes",WorkforceData[[#This Row],[Total Days Worked]]&gt;=121)</x:f>
        <x:v>1</x:v>
      </x:c>
      <x:c r="AB917" s="33" t="n">
        <x:f>IF(AND(Q917="Terminated",R917="",O917=0),1,0)</x:f>
        <x:v>0</x:v>
      </x:c>
      <x:c r="AC917" s="33" t="n">
        <x:f>--OR(WorkforceData[[#This Row],[Status]]="Resigned",WorkforceData[[#This Row],[Status After Training]]="Withdrew")</x:f>
        <x:v>1</x:v>
      </x:c>
      <x:c r="AD917" s="34" t="n">
        <x:f>EOMONTH(WorkforceData[[#This Row],[Training Date]],0)</x:f>
        <x:v>45504</x:v>
      </x:c>
      <x:c r="AE917" s="32" t="str">
        <x:f>IF(M917&lt;H917,"Existing Employee",IF(U917="","No Assignment",IF(V917=0,"0 Days",IF(V917&lt;=7,"1-7 Days",IF(V917&lt;=14,"8-14 Days",IF(V917&lt;=21,"15-21 Days","21+ Days"))))))</x:f>
        <x:v>Existing Employee</x:v>
      </x:c>
      <x:c r="AF91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917" s="33" t="n">
        <x:f>--(WorkforceData[[#This Row],[Total Days Worked]]&gt;=121)</x:f>
        <x:v>1</x:v>
      </x:c>
    </x:row>
    <x:row r="918">
      <x:c r="A918" s="236" t="str">
        <x:v>TRN-0917</x:v>
      </x:c>
      <x:c r="B918" s="243"/>
      <x:c r="C918" s="243"/>
      <x:c r="D918" s="243"/>
      <x:c r="E918" s="243"/>
      <x:c r="F918" s="14" t="str">
        <x:v>Recruiter B</x:v>
      </x:c>
      <x:c r="G918" s="14" t="str">
        <x:v>Training Center B</x:v>
      </x:c>
      <x:c r="H918" s="28">
        <x:v>45489</x:v>
      </x:c>
      <x:c r="I918" s="14">
        <x:v>2024</x:v>
      </x:c>
      <x:c r="J918" s="14" t="s">
        <x:v>133</x:v>
      </x:c>
      <x:c r="K918" s="14">
        <x:v>20</x:v>
      </x:c>
      <x:c r="L918" s="29" t="s">
        <x:v>119</x:v>
      </x:c>
      <x:c r="M918" s="28">
        <x:v>45488</x:v>
      </x:c>
      <x:c r="N918" s="14"/>
      <x:c r="O918" s="14">
        <x:v>763</x:v>
      </x:c>
      <x:c r="P918" s="14" t="s">
        <x:v>122</x:v>
      </x:c>
      <x:c r="Q918" s="14" t="s">
        <x:v>25</x:v>
      </x:c>
      <x:c r="R918" s="14"/>
      <x:c r="S918" s="14" t="s">
        <x:v>108</x:v>
      </x:c>
      <x:c r="T918" s="14" t="str">
        <x:v>Region D</x:v>
      </x:c>
      <x:c r="U918" s="28">
        <x:v>45510</x:v>
      </x:c>
      <x:c r="V918" s="30">
        <x:v>21</x:v>
      </x:c>
      <x:c r="W918" s="14" t="s">
        <x:v>112</x:v>
      </x:c>
      <x:c r="X918" s="14" t="s">
        <x:v>106</x:v>
      </x:c>
      <x:c r="Y918" s="32" t="str">
        <x:v>TRN-0917|20240716</x:v>
      </x:c>
      <x:c r="Z918" s="32" t="str" cm="1">
        <x:f t="array" ref="Z91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918" s="33" t="n">
        <x:f>--OR(WorkforceData[[#This Row],[Status]]="Active",WorkforceData[[#This Row],[Promoted]]="Yes",WorkforceData[[#This Row],[Total Days Worked]]&gt;=121)</x:f>
        <x:v>1</x:v>
      </x:c>
      <x:c r="AB918" s="33" t="n">
        <x:f>IF(AND(Q918="Terminated",R918="",O918=0),1,0)</x:f>
        <x:v>0</x:v>
      </x:c>
      <x:c r="AC918" s="33" t="n">
        <x:f>--OR(WorkforceData[[#This Row],[Status]]="Resigned",WorkforceData[[#This Row],[Status After Training]]="Withdrew")</x:f>
        <x:v>0</x:v>
      </x:c>
      <x:c r="AD918" s="34" t="n">
        <x:f>EOMONTH(WorkforceData[[#This Row],[Training Date]],0)</x:f>
        <x:v>45504</x:v>
      </x:c>
      <x:c r="AE918" s="32" t="str">
        <x:f>IF(M918&lt;H918,"Existing Employee",IF(U918="","No Assignment",IF(V918=0,"0 Days",IF(V918&lt;=7,"1-7 Days",IF(V918&lt;=14,"8-14 Days",IF(V918&lt;=21,"15-21 Days","21+ Days"))))))</x:f>
        <x:v>Existing Employee</x:v>
      </x:c>
      <x:c r="AF91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918" s="33" t="n">
        <x:f>--(WorkforceData[[#This Row],[Total Days Worked]]&gt;=121)</x:f>
        <x:v>1</x:v>
      </x:c>
    </x:row>
    <x:row r="919">
      <x:c r="A919" s="236" t="str">
        <x:v>TRN-0918</x:v>
      </x:c>
      <x:c r="B919" s="243"/>
      <x:c r="C919" s="243"/>
      <x:c r="D919" s="243"/>
      <x:c r="E919" s="243"/>
      <x:c r="F919" s="14" t="str">
        <x:v>Recruiter D</x:v>
      </x:c>
      <x:c r="G919" s="14" t="str">
        <x:v>Training Center B</x:v>
      </x:c>
      <x:c r="H919" s="28">
        <x:v>45489</x:v>
      </x:c>
      <x:c r="I919" s="14">
        <x:v>2024</x:v>
      </x:c>
      <x:c r="J919" s="14" t="s">
        <x:v>133</x:v>
      </x:c>
      <x:c r="K919" s="14">
        <x:v>20</x:v>
      </x:c>
      <x:c r="L919" s="29" t="s">
        <x:v>119</x:v>
      </x:c>
      <x:c r="M919" s="28">
        <x:v>45489</x:v>
      </x:c>
      <x:c r="N919" s="28">
        <x:v>45530</x:v>
      </x:c>
      <x:c r="O919" s="14">
        <x:v>41</x:v>
      </x:c>
      <x:c r="P919" s="14" t="s">
        <x:v>110</x:v>
      </x:c>
      <x:c r="Q919" s="14" t="s">
        <x:v>103</x:v>
      </x:c>
      <x:c r="R919" s="14" t="s">
        <x:v>123</x:v>
      </x:c>
      <x:c r="S919" s="14" t="s">
        <x:v>105</x:v>
      </x:c>
      <x:c r="T919" s="14" t="str">
        <x:v>Region A</x:v>
      </x:c>
      <x:c r="U919" s="28">
        <x:v>45489</x:v>
      </x:c>
      <x:c r="V919" s="30">
        <x:v>0</x:v>
      </x:c>
      <x:c r="W919" s="14" t="s">
        <x:v>109</x:v>
      </x:c>
      <x:c r="X919" s="14" t="s">
        <x:v>106</x:v>
      </x:c>
      <x:c r="Y919" s="32" t="str">
        <x:v>TRN-0918|20240716</x:v>
      </x:c>
      <x:c r="Z919" s="32" t="str" cm="1">
        <x:f t="array" ref="Z91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919" s="33" t="n">
        <x:f>--OR(WorkforceData[[#This Row],[Status]]="Active",WorkforceData[[#This Row],[Promoted]]="Yes",WorkforceData[[#This Row],[Total Days Worked]]&gt;=121)</x:f>
        <x:v>0</x:v>
      </x:c>
      <x:c r="AB919" s="33" t="n">
        <x:f>IF(AND(Q919="Terminated",R919="",O919=0),1,0)</x:f>
        <x:v>0</x:v>
      </x:c>
      <x:c r="AC919" s="33" t="n">
        <x:f>--OR(WorkforceData[[#This Row],[Status]]="Resigned",WorkforceData[[#This Row],[Status After Training]]="Withdrew")</x:f>
        <x:v>1</x:v>
      </x:c>
      <x:c r="AD919" s="34" t="n">
        <x:f>EOMONTH(WorkforceData[[#This Row],[Training Date]],0)</x:f>
        <x:v>45504</x:v>
      </x:c>
      <x:c r="AE919" s="32" t="str">
        <x:f>IF(M919&lt;H919,"Existing Employee",IF(U919="","No Assignment",IF(V919=0,"0 Days",IF(V919&lt;=7,"1-7 Days",IF(V919&lt;=14,"8-14 Days",IF(V919&lt;=21,"15-21 Days","21+ Days"))))))</x:f>
        <x:v>0 Days</x:v>
      </x:c>
      <x:c r="AF91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919" s="33" t="n">
        <x:f>--(WorkforceData[[#This Row],[Total Days Worked]]&gt;=121)</x:f>
        <x:v>0</x:v>
      </x:c>
    </x:row>
    <x:row r="920">
      <x:c r="A920" s="236" t="str">
        <x:v>TRN-0919</x:v>
      </x:c>
      <x:c r="B920" s="243"/>
      <x:c r="C920" s="243"/>
      <x:c r="D920" s="243"/>
      <x:c r="E920" s="243"/>
      <x:c r="F920" s="14" t="str">
        <x:v>Recruiter H</x:v>
      </x:c>
      <x:c r="G920" s="14" t="str">
        <x:v>Training Center B</x:v>
      </x:c>
      <x:c r="H920" s="28">
        <x:v>45489</x:v>
      </x:c>
      <x:c r="I920" s="14">
        <x:v>2024</x:v>
      </x:c>
      <x:c r="J920" s="14" t="s">
        <x:v>133</x:v>
      </x:c>
      <x:c r="K920" s="14">
        <x:v>20</x:v>
      </x:c>
      <x:c r="L920" s="29" t="s">
        <x:v>119</x:v>
      </x:c>
      <x:c r="M920" s="28">
        <x:v>45484</x:v>
      </x:c>
      <x:c r="N920" s="14"/>
      <x:c r="O920" s="14">
        <x:v>767</x:v>
      </x:c>
      <x:c r="P920" s="14" t="s">
        <x:v>122</x:v>
      </x:c>
      <x:c r="Q920" s="14" t="s">
        <x:v>25</x:v>
      </x:c>
      <x:c r="R920" s="14"/>
      <x:c r="S920" s="14" t="s">
        <x:v>108</x:v>
      </x:c>
      <x:c r="T920" s="14" t="str">
        <x:v>Region D</x:v>
      </x:c>
      <x:c r="U920" s="28">
        <x:v>45528</x:v>
      </x:c>
      <x:c r="V920" s="30">
        <x:v>39</x:v>
      </x:c>
      <x:c r="W920" s="14" t="s">
        <x:v>63</x:v>
      </x:c>
      <x:c r="X920" s="14" t="s">
        <x:v>117</x:v>
      </x:c>
      <x:c r="Y920" s="32" t="str">
        <x:v>TRN-0919|20240716</x:v>
      </x:c>
      <x:c r="Z920" s="32" t="str" cm="1">
        <x:f t="array" ref="Z92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920" s="33" t="n">
        <x:f>--OR(WorkforceData[[#This Row],[Status]]="Active",WorkforceData[[#This Row],[Promoted]]="Yes",WorkforceData[[#This Row],[Total Days Worked]]&gt;=121)</x:f>
        <x:v>1</x:v>
      </x:c>
      <x:c r="AB920" s="33" t="n">
        <x:f>IF(AND(Q920="Terminated",R920="",O920=0),1,0)</x:f>
        <x:v>0</x:v>
      </x:c>
      <x:c r="AC920" s="33" t="n">
        <x:f>--OR(WorkforceData[[#This Row],[Status]]="Resigned",WorkforceData[[#This Row],[Status After Training]]="Withdrew")</x:f>
        <x:v>0</x:v>
      </x:c>
      <x:c r="AD920" s="34" t="n">
        <x:f>EOMONTH(WorkforceData[[#This Row],[Training Date]],0)</x:f>
        <x:v>45504</x:v>
      </x:c>
      <x:c r="AE920" s="32" t="str">
        <x:f>IF(M920&lt;H920,"Existing Employee",IF(U920="","No Assignment",IF(V920=0,"0 Days",IF(V920&lt;=7,"1-7 Days",IF(V920&lt;=14,"8-14 Days",IF(V920&lt;=21,"15-21 Days","21+ Days"))))))</x:f>
        <x:v>Existing Employee</x:v>
      </x:c>
      <x:c r="AF92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920" s="33" t="n">
        <x:f>--(WorkforceData[[#This Row],[Total Days Worked]]&gt;=121)</x:f>
        <x:v>1</x:v>
      </x:c>
    </x:row>
    <x:row r="921">
      <x:c r="A921" s="236" t="str">
        <x:v>TRN-0920</x:v>
      </x:c>
      <x:c r="B921" s="243"/>
      <x:c r="C921" s="243"/>
      <x:c r="D921" s="243"/>
      <x:c r="E921" s="243"/>
      <x:c r="F921" s="14" t="str">
        <x:v>Recruiter B</x:v>
      </x:c>
      <x:c r="G921" s="14" t="str">
        <x:v>Training Center B</x:v>
      </x:c>
      <x:c r="H921" s="28">
        <x:v>45489</x:v>
      </x:c>
      <x:c r="I921" s="14">
        <x:v>2024</x:v>
      </x:c>
      <x:c r="J921" s="14" t="s">
        <x:v>133</x:v>
      </x:c>
      <x:c r="K921" s="14">
        <x:v>20</x:v>
      </x:c>
      <x:c r="L921" s="29" t="s">
        <x:v>119</x:v>
      </x:c>
      <x:c r="M921" s="28">
        <x:v>45486</x:v>
      </x:c>
      <x:c r="N921" s="14"/>
      <x:c r="O921" s="14">
        <x:v>765</x:v>
      </x:c>
      <x:c r="P921" s="14" t="s">
        <x:v>122</x:v>
      </x:c>
      <x:c r="Q921" s="14" t="s">
        <x:v>25</x:v>
      </x:c>
      <x:c r="R921" s="14"/>
      <x:c r="S921" s="14" t="s">
        <x:v>108</x:v>
      </x:c>
      <x:c r="T921" s="14" t="str">
        <x:v>Region B</x:v>
      </x:c>
      <x:c r="U921" s="28">
        <x:v>45494</x:v>
      </x:c>
      <x:c r="V921" s="30">
        <x:v>5</x:v>
      </x:c>
      <x:c r="W921" s="14" t="s">
        <x:v>109</x:v>
      </x:c>
      <x:c r="X921" s="14" t="s">
        <x:v>106</x:v>
      </x:c>
      <x:c r="Y921" s="32" t="str">
        <x:v>TRN-0920|20240716</x:v>
      </x:c>
      <x:c r="Z921" s="32" t="str" cm="1">
        <x:f t="array" ref="Z92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921" s="33" t="n">
        <x:f>--OR(WorkforceData[[#This Row],[Status]]="Active",WorkforceData[[#This Row],[Promoted]]="Yes",WorkforceData[[#This Row],[Total Days Worked]]&gt;=121)</x:f>
        <x:v>1</x:v>
      </x:c>
      <x:c r="AB921" s="33" t="n">
        <x:f>IF(AND(Q921="Terminated",R921="",O921=0),1,0)</x:f>
        <x:v>0</x:v>
      </x:c>
      <x:c r="AC921" s="33" t="n">
        <x:f>--OR(WorkforceData[[#This Row],[Status]]="Resigned",WorkforceData[[#This Row],[Status After Training]]="Withdrew")</x:f>
        <x:v>0</x:v>
      </x:c>
      <x:c r="AD921" s="34" t="n">
        <x:f>EOMONTH(WorkforceData[[#This Row],[Training Date]],0)</x:f>
        <x:v>45504</x:v>
      </x:c>
      <x:c r="AE921" s="32" t="str">
        <x:f>IF(M921&lt;H921,"Existing Employee",IF(U921="","No Assignment",IF(V921=0,"0 Days",IF(V921&lt;=7,"1-7 Days",IF(V921&lt;=14,"8-14 Days",IF(V921&lt;=21,"15-21 Days","21+ Days"))))))</x:f>
        <x:v>Existing Employee</x:v>
      </x:c>
      <x:c r="AF92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921" s="33" t="n">
        <x:f>--(WorkforceData[[#This Row],[Total Days Worked]]&gt;=121)</x:f>
        <x:v>1</x:v>
      </x:c>
    </x:row>
    <x:row r="922">
      <x:c r="A922" s="236" t="str">
        <x:v>TRN-0921</x:v>
      </x:c>
      <x:c r="B922" s="243"/>
      <x:c r="C922" s="243"/>
      <x:c r="D922" s="243"/>
      <x:c r="E922" s="243"/>
      <x:c r="F922" s="14" t="str">
        <x:v>Recruiter A</x:v>
      </x:c>
      <x:c r="G922" s="14" t="str">
        <x:v>Training Center B</x:v>
      </x:c>
      <x:c r="H922" s="28">
        <x:v>45489</x:v>
      </x:c>
      <x:c r="I922" s="14">
        <x:v>2024</x:v>
      </x:c>
      <x:c r="J922" s="14" t="s">
        <x:v>133</x:v>
      </x:c>
      <x:c r="K922" s="14">
        <x:v>20</x:v>
      </x:c>
      <x:c r="L922" s="29" t="s">
        <x:v>119</x:v>
      </x:c>
      <x:c r="M922" s="28">
        <x:v>45484</x:v>
      </x:c>
      <x:c r="N922" s="28">
        <x:v>45575</x:v>
      </x:c>
      <x:c r="O922" s="14">
        <x:v>91</x:v>
      </x:c>
      <x:c r="P922" s="14" t="s">
        <x:v>113</x:v>
      </x:c>
      <x:c r="Q922" s="14" t="s">
        <x:v>103</x:v>
      </x:c>
      <x:c r="R922" s="14" t="s">
        <x:v>111</x:v>
      </x:c>
      <x:c r="S922" s="14" t="s">
        <x:v>105</x:v>
      </x:c>
      <x:c r="T922" s="14" t="str">
        <x:v>Region C</x:v>
      </x:c>
      <x:c r="U922" s="28">
        <x:v>45498</x:v>
      </x:c>
      <x:c r="V922" s="30">
        <x:v>9</x:v>
      </x:c>
      <x:c r="W922" s="14" t="s">
        <x:v>45</x:v>
      </x:c>
      <x:c r="X922" s="14" t="s">
        <x:v>125</x:v>
      </x:c>
      <x:c r="Y922" s="32" t="str">
        <x:v>TRN-0921|20240716</x:v>
      </x:c>
      <x:c r="Z922" s="32" t="str" cm="1">
        <x:f t="array" ref="Z92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922" s="33" t="n">
        <x:f>--OR(WorkforceData[[#This Row],[Status]]="Active",WorkforceData[[#This Row],[Promoted]]="Yes",WorkforceData[[#This Row],[Total Days Worked]]&gt;=121)</x:f>
        <x:v>0</x:v>
      </x:c>
      <x:c r="AB922" s="33" t="n">
        <x:f>IF(AND(Q922="Terminated",R922="",O922=0),1,0)</x:f>
        <x:v>0</x:v>
      </x:c>
      <x:c r="AC922" s="33" t="n">
        <x:f>--OR(WorkforceData[[#This Row],[Status]]="Resigned",WorkforceData[[#This Row],[Status After Training]]="Withdrew")</x:f>
        <x:v>1</x:v>
      </x:c>
      <x:c r="AD922" s="34" t="n">
        <x:f>EOMONTH(WorkforceData[[#This Row],[Training Date]],0)</x:f>
        <x:v>45504</x:v>
      </x:c>
      <x:c r="AE922" s="32" t="str">
        <x:f>IF(M922&lt;H922,"Existing Employee",IF(U922="","No Assignment",IF(V922=0,"0 Days",IF(V922&lt;=7,"1-7 Days",IF(V922&lt;=14,"8-14 Days",IF(V922&lt;=21,"15-21 Days","21+ Days"))))))</x:f>
        <x:v>Existing Employee</x:v>
      </x:c>
      <x:c r="AF92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91-120 Days</x:v>
      </x:c>
      <x:c r="AG922" s="33" t="n">
        <x:f>--(WorkforceData[[#This Row],[Total Days Worked]]&gt;=121)</x:f>
        <x:v>0</x:v>
      </x:c>
    </x:row>
    <x:row r="923">
      <x:c r="A923" s="236" t="str">
        <x:v>TRN-0922</x:v>
      </x:c>
      <x:c r="B923" s="243"/>
      <x:c r="C923" s="243"/>
      <x:c r="D923" s="243"/>
      <x:c r="E923" s="243"/>
      <x:c r="F923" s="14" t="str">
        <x:v>Recruiter H</x:v>
      </x:c>
      <x:c r="G923" s="14" t="str">
        <x:v>Training Center B</x:v>
      </x:c>
      <x:c r="H923" s="28">
        <x:v>45489</x:v>
      </x:c>
      <x:c r="I923" s="14">
        <x:v>2024</x:v>
      </x:c>
      <x:c r="J923" s="14" t="s">
        <x:v>133</x:v>
      </x:c>
      <x:c r="K923" s="14">
        <x:v>20</x:v>
      </x:c>
      <x:c r="L923" s="29" t="s">
        <x:v>119</x:v>
      </x:c>
      <x:c r="M923" s="28">
        <x:v>45489</x:v>
      </x:c>
      <x:c r="N923" s="14"/>
      <x:c r="O923" s="14">
        <x:v>762</x:v>
      </x:c>
      <x:c r="P923" s="14" t="s">
        <x:v>122</x:v>
      </x:c>
      <x:c r="Q923" s="14" t="s">
        <x:v>25</x:v>
      </x:c>
      <x:c r="R923" s="14"/>
      <x:c r="S923" s="14" t="s">
        <x:v>108</x:v>
      </x:c>
      <x:c r="T923" s="14" t="str">
        <x:v>Region B</x:v>
      </x:c>
      <x:c r="U923" s="28">
        <x:v>45558</x:v>
      </x:c>
      <x:c r="V923" s="30">
        <x:v>69</x:v>
      </x:c>
      <x:c r="W923" s="14" t="s">
        <x:v>114</x:v>
      </x:c>
      <x:c r="X923" s="14" t="s">
        <x:v>117</x:v>
      </x:c>
      <x:c r="Y923" s="32" t="str">
        <x:v>TRN-0922|20240716</x:v>
      </x:c>
      <x:c r="Z923" s="32" t="str" cm="1">
        <x:f t="array" ref="Z92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923" s="33" t="n">
        <x:f>--OR(WorkforceData[[#This Row],[Status]]="Active",WorkforceData[[#This Row],[Promoted]]="Yes",WorkforceData[[#This Row],[Total Days Worked]]&gt;=121)</x:f>
        <x:v>1</x:v>
      </x:c>
      <x:c r="AB923" s="33" t="n">
        <x:f>IF(AND(Q923="Terminated",R923="",O923=0),1,0)</x:f>
        <x:v>0</x:v>
      </x:c>
      <x:c r="AC923" s="33" t="n">
        <x:f>--OR(WorkforceData[[#This Row],[Status]]="Resigned",WorkforceData[[#This Row],[Status After Training]]="Withdrew")</x:f>
        <x:v>0</x:v>
      </x:c>
      <x:c r="AD923" s="34" t="n">
        <x:f>EOMONTH(WorkforceData[[#This Row],[Training Date]],0)</x:f>
        <x:v>45504</x:v>
      </x:c>
      <x:c r="AE923" s="32" t="str">
        <x:f>IF(M923&lt;H923,"Existing Employee",IF(U923="","No Assignment",IF(V923=0,"0 Days",IF(V923&lt;=7,"1-7 Days",IF(V923&lt;=14,"8-14 Days",IF(V923&lt;=21,"15-21 Days","21+ Days"))))))</x:f>
        <x:v>21+ Days</x:v>
      </x:c>
      <x:c r="AF92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923" s="33" t="n">
        <x:f>--(WorkforceData[[#This Row],[Total Days Worked]]&gt;=121)</x:f>
        <x:v>1</x:v>
      </x:c>
    </x:row>
    <x:row r="924">
      <x:c r="A924" s="236" t="str">
        <x:v>TRN-0923</x:v>
      </x:c>
      <x:c r="B924" s="243"/>
      <x:c r="C924" s="243"/>
      <x:c r="D924" s="243"/>
      <x:c r="E924" s="243"/>
      <x:c r="F924" s="14" t="str">
        <x:v>Recruiter A</x:v>
      </x:c>
      <x:c r="G924" s="14" t="str">
        <x:v>Training Center B</x:v>
      </x:c>
      <x:c r="H924" s="28">
        <x:v>45489</x:v>
      </x:c>
      <x:c r="I924" s="14">
        <x:v>2024</x:v>
      </x:c>
      <x:c r="J924" s="14" t="s">
        <x:v>133</x:v>
      </x:c>
      <x:c r="K924" s="14">
        <x:v>20</x:v>
      </x:c>
      <x:c r="L924" s="29" t="s">
        <x:v>119</x:v>
      </x:c>
      <x:c r="M924" s="28">
        <x:v>45484</x:v>
      </x:c>
      <x:c r="N924" s="14"/>
      <x:c r="O924" s="14">
        <x:v>767</x:v>
      </x:c>
      <x:c r="P924" s="14" t="s">
        <x:v>122</x:v>
      </x:c>
      <x:c r="Q924" s="14" t="s">
        <x:v>25</x:v>
      </x:c>
      <x:c r="R924" s="14"/>
      <x:c r="S924" s="14" t="s">
        <x:v>108</x:v>
      </x:c>
      <x:c r="T924" s="14" t="str">
        <x:v>Region B</x:v>
      </x:c>
      <x:c r="U924" s="28">
        <x:v>45502</x:v>
      </x:c>
      <x:c r="V924" s="30">
        <x:v>13</x:v>
      </x:c>
      <x:c r="W924" s="14" t="s">
        <x:v>45</x:v>
      </x:c>
      <x:c r="X924" s="14" t="s">
        <x:v>106</x:v>
      </x:c>
      <x:c r="Y924" s="32" t="str">
        <x:v>TRN-0923|20240716</x:v>
      </x:c>
      <x:c r="Z924" s="32" t="str" cm="1">
        <x:f t="array" ref="Z92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924" s="33" t="n">
        <x:f>--OR(WorkforceData[[#This Row],[Status]]="Active",WorkforceData[[#This Row],[Promoted]]="Yes",WorkforceData[[#This Row],[Total Days Worked]]&gt;=121)</x:f>
        <x:v>1</x:v>
      </x:c>
      <x:c r="AB924" s="33" t="n">
        <x:f>IF(AND(Q924="Terminated",R924="",O924=0),1,0)</x:f>
        <x:v>0</x:v>
      </x:c>
      <x:c r="AC924" s="33" t="n">
        <x:f>--OR(WorkforceData[[#This Row],[Status]]="Resigned",WorkforceData[[#This Row],[Status After Training]]="Withdrew")</x:f>
        <x:v>0</x:v>
      </x:c>
      <x:c r="AD924" s="34" t="n">
        <x:f>EOMONTH(WorkforceData[[#This Row],[Training Date]],0)</x:f>
        <x:v>45504</x:v>
      </x:c>
      <x:c r="AE924" s="32" t="str">
        <x:f>IF(M924&lt;H924,"Existing Employee",IF(U924="","No Assignment",IF(V924=0,"0 Days",IF(V924&lt;=7,"1-7 Days",IF(V924&lt;=14,"8-14 Days",IF(V924&lt;=21,"15-21 Days","21+ Days"))))))</x:f>
        <x:v>Existing Employee</x:v>
      </x:c>
      <x:c r="AF92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924" s="33" t="n">
        <x:f>--(WorkforceData[[#This Row],[Total Days Worked]]&gt;=121)</x:f>
        <x:v>1</x:v>
      </x:c>
    </x:row>
    <x:row r="925">
      <x:c r="A925" s="236" t="str">
        <x:v>TRN-0924</x:v>
      </x:c>
      <x:c r="B925" s="243"/>
      <x:c r="C925" s="243"/>
      <x:c r="D925" s="243"/>
      <x:c r="E925" s="243"/>
      <x:c r="F925" s="14" t="str">
        <x:v>Recruiter F</x:v>
      </x:c>
      <x:c r="G925" s="14" t="str">
        <x:v>Training Center B</x:v>
      </x:c>
      <x:c r="H925" s="28">
        <x:v>45489</x:v>
      </x:c>
      <x:c r="I925" s="14">
        <x:v>2024</x:v>
      </x:c>
      <x:c r="J925" s="14" t="s">
        <x:v>133</x:v>
      </x:c>
      <x:c r="K925" s="14">
        <x:v>20</x:v>
      </x:c>
      <x:c r="L925" s="29" t="s">
        <x:v>119</x:v>
      </x:c>
      <x:c r="M925" s="28">
        <x:v>45482</x:v>
      </x:c>
      <x:c r="N925" s="14"/>
      <x:c r="O925" s="14">
        <x:v>769</x:v>
      </x:c>
      <x:c r="P925" s="14" t="s">
        <x:v>122</x:v>
      </x:c>
      <x:c r="Q925" s="14" t="s">
        <x:v>25</x:v>
      </x:c>
      <x:c r="R925" s="14"/>
      <x:c r="S925" s="14" t="s">
        <x:v>108</x:v>
      </x:c>
      <x:c r="T925" s="14" t="str">
        <x:v>Region A</x:v>
      </x:c>
      <x:c r="U925" s="28">
        <x:v>45499</x:v>
      </x:c>
      <x:c r="V925" s="30">
        <x:v>10</x:v>
      </x:c>
      <x:c r="W925" s="14" t="s">
        <x:v>45</x:v>
      </x:c>
      <x:c r="X925" s="14" t="s">
        <x:v>106</x:v>
      </x:c>
      <x:c r="Y925" s="32" t="str">
        <x:v>TRN-0924|20240716</x:v>
      </x:c>
      <x:c r="Z925" s="32" t="str" cm="1">
        <x:f t="array" ref="Z92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925" s="33" t="n">
        <x:f>--OR(WorkforceData[[#This Row],[Status]]="Active",WorkforceData[[#This Row],[Promoted]]="Yes",WorkforceData[[#This Row],[Total Days Worked]]&gt;=121)</x:f>
        <x:v>1</x:v>
      </x:c>
      <x:c r="AB925" s="33" t="n">
        <x:f>IF(AND(Q925="Terminated",R925="",O925=0),1,0)</x:f>
        <x:v>0</x:v>
      </x:c>
      <x:c r="AC925" s="33" t="n">
        <x:f>--OR(WorkforceData[[#This Row],[Status]]="Resigned",WorkforceData[[#This Row],[Status After Training]]="Withdrew")</x:f>
        <x:v>0</x:v>
      </x:c>
      <x:c r="AD925" s="34" t="n">
        <x:f>EOMONTH(WorkforceData[[#This Row],[Training Date]],0)</x:f>
        <x:v>45504</x:v>
      </x:c>
      <x:c r="AE925" s="32" t="str">
        <x:f>IF(M925&lt;H925,"Existing Employee",IF(U925="","No Assignment",IF(V925=0,"0 Days",IF(V925&lt;=7,"1-7 Days",IF(V925&lt;=14,"8-14 Days",IF(V925&lt;=21,"15-21 Days","21+ Days"))))))</x:f>
        <x:v>Existing Employee</x:v>
      </x:c>
      <x:c r="AF92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925" s="33" t="n">
        <x:f>--(WorkforceData[[#This Row],[Total Days Worked]]&gt;=121)</x:f>
        <x:v>1</x:v>
      </x:c>
    </x:row>
    <x:row r="926">
      <x:c r="A926" s="236" t="str">
        <x:v>TRN-0925</x:v>
      </x:c>
      <x:c r="B926" s="243"/>
      <x:c r="C926" s="243"/>
      <x:c r="D926" s="243"/>
      <x:c r="E926" s="243"/>
      <x:c r="F926" s="14" t="str">
        <x:v>Recruiter H</x:v>
      </x:c>
      <x:c r="G926" s="14" t="str">
        <x:v>Training Center B</x:v>
      </x:c>
      <x:c r="H926" s="28">
        <x:v>45489</x:v>
      </x:c>
      <x:c r="I926" s="14">
        <x:v>2024</x:v>
      </x:c>
      <x:c r="J926" s="14" t="s">
        <x:v>133</x:v>
      </x:c>
      <x:c r="K926" s="14">
        <x:v>20</x:v>
      </x:c>
      <x:c r="L926" s="29" t="s">
        <x:v>119</x:v>
      </x:c>
      <x:c r="M926" s="28">
        <x:v>45487</x:v>
      </x:c>
      <x:c r="N926" s="28">
        <x:v>45511</x:v>
      </x:c>
      <x:c r="O926" s="14">
        <x:v>24</x:v>
      </x:c>
      <x:c r="P926" s="14" t="s">
        <x:v>102</x:v>
      </x:c>
      <x:c r="Q926" s="14" t="s">
        <x:v>103</x:v>
      </x:c>
      <x:c r="R926" s="14" t="s">
        <x:v>104</x:v>
      </x:c>
      <x:c r="S926" s="14" t="s">
        <x:v>105</x:v>
      </x:c>
      <x:c r="T926" s="14" t="str">
        <x:v>Region B</x:v>
      </x:c>
      <x:c r="U926" s="28">
        <x:v>45511</x:v>
      </x:c>
      <x:c r="V926" s="30">
        <x:v>22</x:v>
      </x:c>
      <x:c r="W926" s="14" t="s">
        <x:v>112</x:v>
      </x:c>
      <x:c r="X926" s="14" t="s">
        <x:v>106</x:v>
      </x:c>
      <x:c r="Y926" s="32" t="str">
        <x:v>TRN-0925|20240716</x:v>
      </x:c>
      <x:c r="Z926" s="32" t="str" cm="1">
        <x:f t="array" ref="Z92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926" s="33" t="n">
        <x:f>--OR(WorkforceData[[#This Row],[Status]]="Active",WorkforceData[[#This Row],[Promoted]]="Yes",WorkforceData[[#This Row],[Total Days Worked]]&gt;=121)</x:f>
        <x:v>0</x:v>
      </x:c>
      <x:c r="AB926" s="33" t="n">
        <x:f>IF(AND(Q926="Terminated",R926="",O926=0),1,0)</x:f>
        <x:v>0</x:v>
      </x:c>
      <x:c r="AC926" s="33" t="n">
        <x:f>--OR(WorkforceData[[#This Row],[Status]]="Resigned",WorkforceData[[#This Row],[Status After Training]]="Withdrew")</x:f>
        <x:v>1</x:v>
      </x:c>
      <x:c r="AD926" s="34" t="n">
        <x:f>EOMONTH(WorkforceData[[#This Row],[Training Date]],0)</x:f>
        <x:v>45504</x:v>
      </x:c>
      <x:c r="AE926" s="32" t="str">
        <x:f>IF(M926&lt;H926,"Existing Employee",IF(U926="","No Assignment",IF(V926=0,"0 Days",IF(V926&lt;=7,"1-7 Days",IF(V926&lt;=14,"8-14 Days",IF(V926&lt;=21,"15-21 Days","21+ Days"))))))</x:f>
        <x:v>Existing Employee</x:v>
      </x:c>
      <x:c r="AF92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926" s="33" t="n">
        <x:f>--(WorkforceData[[#This Row],[Total Days Worked]]&gt;=121)</x:f>
        <x:v>0</x:v>
      </x:c>
    </x:row>
    <x:row r="927">
      <x:c r="A927" s="236" t="str">
        <x:v>TRN-0926</x:v>
      </x:c>
      <x:c r="B927" s="243"/>
      <x:c r="C927" s="243"/>
      <x:c r="D927" s="243"/>
      <x:c r="E927" s="243"/>
      <x:c r="F927" s="14" t="str">
        <x:v>Recruiter F</x:v>
      </x:c>
      <x:c r="G927" s="14" t="str">
        <x:v>Training Center B</x:v>
      </x:c>
      <x:c r="H927" s="28">
        <x:v>45489</x:v>
      </x:c>
      <x:c r="I927" s="14">
        <x:v>2024</x:v>
      </x:c>
      <x:c r="J927" s="14" t="s">
        <x:v>133</x:v>
      </x:c>
      <x:c r="K927" s="14">
        <x:v>20</x:v>
      </x:c>
      <x:c r="L927" s="29" t="s">
        <x:v>119</x:v>
      </x:c>
      <x:c r="M927" s="28">
        <x:v>45484</x:v>
      </x:c>
      <x:c r="N927" s="28">
        <x:v>45729</x:v>
      </x:c>
      <x:c r="O927" s="14">
        <x:v>245</x:v>
      </x:c>
      <x:c r="P927" s="14" t="s">
        <x:v>107</x:v>
      </x:c>
      <x:c r="Q927" s="14" t="s">
        <x:v>103</x:v>
      </x:c>
      <x:c r="R927" s="14" t="s">
        <x:v>104</x:v>
      </x:c>
      <x:c r="S927" s="14" t="s">
        <x:v>108</x:v>
      </x:c>
      <x:c r="T927" s="14" t="str">
        <x:v>Region A</x:v>
      </x:c>
      <x:c r="U927" s="28">
        <x:v>45496</x:v>
      </x:c>
      <x:c r="V927" s="30">
        <x:v>7</x:v>
      </x:c>
      <x:c r="W927" s="14" t="s">
        <x:v>109</x:v>
      </x:c>
      <x:c r="X927" s="14" t="s">
        <x:v>106</x:v>
      </x:c>
      <x:c r="Y927" s="32" t="str">
        <x:v>TRN-0926|20240716</x:v>
      </x:c>
      <x:c r="Z927" s="32" t="str" cm="1">
        <x:f t="array" ref="Z92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927" s="33" t="n">
        <x:f>--OR(WorkforceData[[#This Row],[Status]]="Active",WorkforceData[[#This Row],[Promoted]]="Yes",WorkforceData[[#This Row],[Total Days Worked]]&gt;=121)</x:f>
        <x:v>1</x:v>
      </x:c>
      <x:c r="AB927" s="33" t="n">
        <x:f>IF(AND(Q927="Terminated",R927="",O927=0),1,0)</x:f>
        <x:v>0</x:v>
      </x:c>
      <x:c r="AC927" s="33" t="n">
        <x:f>--OR(WorkforceData[[#This Row],[Status]]="Resigned",WorkforceData[[#This Row],[Status After Training]]="Withdrew")</x:f>
        <x:v>1</x:v>
      </x:c>
      <x:c r="AD927" s="34" t="n">
        <x:f>EOMONTH(WorkforceData[[#This Row],[Training Date]],0)</x:f>
        <x:v>45504</x:v>
      </x:c>
      <x:c r="AE927" s="32" t="str">
        <x:f>IF(M927&lt;H927,"Existing Employee",IF(U927="","No Assignment",IF(V927=0,"0 Days",IF(V927&lt;=7,"1-7 Days",IF(V927&lt;=14,"8-14 Days",IF(V927&lt;=21,"15-21 Days","21+ Days"))))))</x:f>
        <x:v>Existing Employee</x:v>
      </x:c>
      <x:c r="AF92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927" s="33" t="n">
        <x:f>--(WorkforceData[[#This Row],[Total Days Worked]]&gt;=121)</x:f>
        <x:v>1</x:v>
      </x:c>
    </x:row>
    <x:row r="928">
      <x:c r="A928" s="236" t="str">
        <x:v>TRN-0927</x:v>
      </x:c>
      <x:c r="B928" s="243"/>
      <x:c r="C928" s="243"/>
      <x:c r="D928" s="243"/>
      <x:c r="E928" s="243"/>
      <x:c r="F928" s="14" t="str">
        <x:v>Recruiter A</x:v>
      </x:c>
      <x:c r="G928" s="14" t="str">
        <x:v>Training Center B</x:v>
      </x:c>
      <x:c r="H928" s="28">
        <x:v>45489</x:v>
      </x:c>
      <x:c r="I928" s="14">
        <x:v>2024</x:v>
      </x:c>
      <x:c r="J928" s="14" t="s">
        <x:v>133</x:v>
      </x:c>
      <x:c r="K928" s="14">
        <x:v>20</x:v>
      </x:c>
      <x:c r="L928" s="29" t="s">
        <x:v>119</x:v>
      </x:c>
      <x:c r="M928" s="28">
        <x:v>45479</x:v>
      </x:c>
      <x:c r="N928" s="28">
        <x:v>45663</x:v>
      </x:c>
      <x:c r="O928" s="14">
        <x:v>184</x:v>
      </x:c>
      <x:c r="P928" s="14" t="s">
        <x:v>107</x:v>
      </x:c>
      <x:c r="Q928" s="14" t="s">
        <x:v>33</x:v>
      </x:c>
      <x:c r="R928" s="14" t="s">
        <x:v>116</x:v>
      </x:c>
      <x:c r="S928" s="14" t="s">
        <x:v>108</x:v>
      </x:c>
      <x:c r="T928" s="14" t="str">
        <x:v>Region B</x:v>
      </x:c>
      <x:c r="U928" s="28">
        <x:v>45502</x:v>
      </x:c>
      <x:c r="V928" s="30">
        <x:v>13</x:v>
      </x:c>
      <x:c r="W928" s="14" t="s">
        <x:v>45</x:v>
      </x:c>
      <x:c r="X928" s="14" t="s">
        <x:v>106</x:v>
      </x:c>
      <x:c r="Y928" s="32" t="str">
        <x:v>TRN-0927|20240716</x:v>
      </x:c>
      <x:c r="Z928" s="32" t="str" cm="1">
        <x:f t="array" ref="Z92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928" s="33" t="n">
        <x:f>--OR(WorkforceData[[#This Row],[Status]]="Active",WorkforceData[[#This Row],[Promoted]]="Yes",WorkforceData[[#This Row],[Total Days Worked]]&gt;=121)</x:f>
        <x:v>1</x:v>
      </x:c>
      <x:c r="AB928" s="33" t="n">
        <x:f>IF(AND(Q928="Terminated",R928="",O928=0),1,0)</x:f>
        <x:v>0</x:v>
      </x:c>
      <x:c r="AC928" s="33" t="n">
        <x:f>--OR(WorkforceData[[#This Row],[Status]]="Resigned",WorkforceData[[#This Row],[Status After Training]]="Withdrew")</x:f>
        <x:v>0</x:v>
      </x:c>
      <x:c r="AD928" s="34" t="n">
        <x:f>EOMONTH(WorkforceData[[#This Row],[Training Date]],0)</x:f>
        <x:v>45504</x:v>
      </x:c>
      <x:c r="AE928" s="32" t="str">
        <x:f>IF(M928&lt;H928,"Existing Employee",IF(U928="","No Assignment",IF(V928=0,"0 Days",IF(V928&lt;=7,"1-7 Days",IF(V928&lt;=14,"8-14 Days",IF(V928&lt;=21,"15-21 Days","21+ Days"))))))</x:f>
        <x:v>Existing Employee</x:v>
      </x:c>
      <x:c r="AF92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928" s="33" t="n">
        <x:f>--(WorkforceData[[#This Row],[Total Days Worked]]&gt;=121)</x:f>
        <x:v>1</x:v>
      </x:c>
    </x:row>
    <x:row r="929">
      <x:c r="A929" s="236" t="str">
        <x:v>TRN-0928</x:v>
      </x:c>
      <x:c r="B929" s="243"/>
      <x:c r="C929" s="243"/>
      <x:c r="D929" s="243"/>
      <x:c r="E929" s="243"/>
      <x:c r="F929" s="14" t="str">
        <x:v>Recruiter F</x:v>
      </x:c>
      <x:c r="G929" s="14" t="str">
        <x:v>Training Center B</x:v>
      </x:c>
      <x:c r="H929" s="28">
        <x:v>45489</x:v>
      </x:c>
      <x:c r="I929" s="14">
        <x:v>2024</x:v>
      </x:c>
      <x:c r="J929" s="14" t="s">
        <x:v>133</x:v>
      </x:c>
      <x:c r="K929" s="14">
        <x:v>20</x:v>
      </x:c>
      <x:c r="L929" s="29" t="s">
        <x:v>119</x:v>
      </x:c>
      <x:c r="M929" s="28">
        <x:v>45489</x:v>
      </x:c>
      <x:c r="N929" s="14"/>
      <x:c r="O929" s="14">
        <x:v>762</x:v>
      </x:c>
      <x:c r="P929" s="14" t="s">
        <x:v>122</x:v>
      </x:c>
      <x:c r="Q929" s="14" t="s">
        <x:v>38</x:v>
      </x:c>
      <x:c r="R929" s="14"/>
      <x:c r="S929" s="14" t="s">
        <x:v>108</x:v>
      </x:c>
      <x:c r="T929" s="14" t="str">
        <x:v>Region E</x:v>
      </x:c>
      <x:c r="U929" s="28">
        <x:v>45495</x:v>
      </x:c>
      <x:c r="V929" s="30">
        <x:v>6</x:v>
      </x:c>
      <x:c r="W929" s="14" t="s">
        <x:v>109</x:v>
      </x:c>
      <x:c r="X929" s="14" t="s">
        <x:v>106</x:v>
      </x:c>
      <x:c r="Y929" s="32" t="str">
        <x:v>TRN-0928|20240716</x:v>
      </x:c>
      <x:c r="Z929" s="32" t="str" cm="1">
        <x:f t="array" ref="Z92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929" s="33" t="n">
        <x:f>--OR(WorkforceData[[#This Row],[Status]]="Active",WorkforceData[[#This Row],[Promoted]]="Yes",WorkforceData[[#This Row],[Total Days Worked]]&gt;=121)</x:f>
        <x:v>1</x:v>
      </x:c>
      <x:c r="AB929" s="33" t="n">
        <x:f>IF(AND(Q929="Terminated",R929="",O929=0),1,0)</x:f>
        <x:v>0</x:v>
      </x:c>
      <x:c r="AC929" s="33" t="n">
        <x:f>--OR(WorkforceData[[#This Row],[Status]]="Resigned",WorkforceData[[#This Row],[Status After Training]]="Withdrew")</x:f>
        <x:v>0</x:v>
      </x:c>
      <x:c r="AD929" s="34" t="n">
        <x:f>EOMONTH(WorkforceData[[#This Row],[Training Date]],0)</x:f>
        <x:v>45504</x:v>
      </x:c>
      <x:c r="AE929" s="32" t="str">
        <x:f>IF(M929&lt;H929,"Existing Employee",IF(U929="","No Assignment",IF(V929=0,"0 Days",IF(V929&lt;=7,"1-7 Days",IF(V929&lt;=14,"8-14 Days",IF(V929&lt;=21,"15-21 Days","21+ Days"))))))</x:f>
        <x:v>1-7 Days</x:v>
      </x:c>
      <x:c r="AF92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929" s="33" t="n">
        <x:f>--(WorkforceData[[#This Row],[Total Days Worked]]&gt;=121)</x:f>
        <x:v>1</x:v>
      </x:c>
    </x:row>
    <x:row r="930">
      <x:c r="A930" s="236" t="str">
        <x:v>TRN-0929</x:v>
      </x:c>
      <x:c r="B930" s="243"/>
      <x:c r="C930" s="243"/>
      <x:c r="D930" s="243"/>
      <x:c r="E930" s="243"/>
      <x:c r="F930" s="14" t="str">
        <x:v>Recruiter C</x:v>
      </x:c>
      <x:c r="G930" s="14" t="str">
        <x:v>Training Center B</x:v>
      </x:c>
      <x:c r="H930" s="28">
        <x:v>45489</x:v>
      </x:c>
      <x:c r="I930" s="14">
        <x:v>2024</x:v>
      </x:c>
      <x:c r="J930" s="14" t="s">
        <x:v>133</x:v>
      </x:c>
      <x:c r="K930" s="14">
        <x:v>20</x:v>
      </x:c>
      <x:c r="L930" s="29" t="s">
        <x:v>119</x:v>
      </x:c>
      <x:c r="M930" s="28">
        <x:v>45479</x:v>
      </x:c>
      <x:c r="N930" s="14"/>
      <x:c r="O930" s="14">
        <x:v>772</x:v>
      </x:c>
      <x:c r="P930" s="14" t="s">
        <x:v>122</x:v>
      </x:c>
      <x:c r="Q930" s="14" t="s">
        <x:v>25</x:v>
      </x:c>
      <x:c r="R930" s="14"/>
      <x:c r="S930" s="14" t="s">
        <x:v>105</x:v>
      </x:c>
      <x:c r="T930" s="14"/>
      <x:c r="U930" s="28"/>
      <x:c r="V930" s="30"/>
      <x:c r="W930" s="14"/>
      <x:c r="X930" s="14" t="s">
        <x:v>71</x:v>
      </x:c>
      <x:c r="Y930" s="32" t="str">
        <x:v>TRN-0929|20240716</x:v>
      </x:c>
      <x:c r="Z930" s="32" t="str" cm="1">
        <x:f t="array" ref="Z93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930" s="33" t="n">
        <x:f>--OR(WorkforceData[[#This Row],[Status]]="Active",WorkforceData[[#This Row],[Promoted]]="Yes",WorkforceData[[#This Row],[Total Days Worked]]&gt;=121)</x:f>
        <x:v>1</x:v>
      </x:c>
      <x:c r="AB930" s="33" t="n">
        <x:f>IF(AND(Q930="Terminated",R930="",O930=0),1,0)</x:f>
        <x:v>0</x:v>
      </x:c>
      <x:c r="AC930" s="33" t="n">
        <x:f>--OR(WorkforceData[[#This Row],[Status]]="Resigned",WorkforceData[[#This Row],[Status After Training]]="Withdrew")</x:f>
        <x:v>0</x:v>
      </x:c>
      <x:c r="AD930" s="34" t="n">
        <x:f>EOMONTH(WorkforceData[[#This Row],[Training Date]],0)</x:f>
        <x:v>45504</x:v>
      </x:c>
      <x:c r="AE930" s="32" t="str">
        <x:f>IF(M930&lt;H930,"Existing Employee",IF(U930="","No Assignment",IF(V930=0,"0 Days",IF(V930&lt;=7,"1-7 Days",IF(V930&lt;=14,"8-14 Days",IF(V930&lt;=21,"15-21 Days","21+ Days"))))))</x:f>
        <x:v>Existing Employee</x:v>
      </x:c>
      <x:c r="AF93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930" s="33" t="n">
        <x:f>--(WorkforceData[[#This Row],[Total Days Worked]]&gt;=121)</x:f>
        <x:v>1</x:v>
      </x:c>
    </x:row>
    <x:row r="931">
      <x:c r="A931" s="236" t="str">
        <x:v>TRN-0930</x:v>
      </x:c>
      <x:c r="B931" s="243"/>
      <x:c r="C931" s="243"/>
      <x:c r="D931" s="243"/>
      <x:c r="E931" s="243"/>
      <x:c r="F931" s="14" t="str">
        <x:v>Recruiter F</x:v>
      </x:c>
      <x:c r="G931" s="14" t="str">
        <x:v>Training Center B</x:v>
      </x:c>
      <x:c r="H931" s="28">
        <x:v>45489</x:v>
      </x:c>
      <x:c r="I931" s="14">
        <x:v>2024</x:v>
      </x:c>
      <x:c r="J931" s="14" t="s">
        <x:v>133</x:v>
      </x:c>
      <x:c r="K931" s="14">
        <x:v>20</x:v>
      </x:c>
      <x:c r="L931" s="29" t="s">
        <x:v>119</x:v>
      </x:c>
      <x:c r="M931" s="28">
        <x:v>45486</x:v>
      </x:c>
      <x:c r="N931" s="28">
        <x:v>45525</x:v>
      </x:c>
      <x:c r="O931" s="14">
        <x:v>39</x:v>
      </x:c>
      <x:c r="P931" s="14" t="s">
        <x:v>110</x:v>
      </x:c>
      <x:c r="Q931" s="14" t="s">
        <x:v>103</x:v>
      </x:c>
      <x:c r="R931" s="14" t="s">
        <x:v>111</x:v>
      </x:c>
      <x:c r="S931" s="14" t="s">
        <x:v>105</x:v>
      </x:c>
      <x:c r="T931" s="14" t="str">
        <x:v>Region D</x:v>
      </x:c>
      <x:c r="U931" s="28">
        <x:v>45505</x:v>
      </x:c>
      <x:c r="V931" s="30">
        <x:v>16</x:v>
      </x:c>
      <x:c r="W931" s="14" t="s">
        <x:v>112</x:v>
      </x:c>
      <x:c r="X931" s="14" t="s">
        <x:v>106</x:v>
      </x:c>
      <x:c r="Y931" s="32" t="str">
        <x:v>TRN-0930|20240716</x:v>
      </x:c>
      <x:c r="Z931" s="32" t="str" cm="1">
        <x:f t="array" ref="Z93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931" s="33" t="n">
        <x:f>--OR(WorkforceData[[#This Row],[Status]]="Active",WorkforceData[[#This Row],[Promoted]]="Yes",WorkforceData[[#This Row],[Total Days Worked]]&gt;=121)</x:f>
        <x:v>0</x:v>
      </x:c>
      <x:c r="AB931" s="33" t="n">
        <x:f>IF(AND(Q931="Terminated",R931="",O931=0),1,0)</x:f>
        <x:v>0</x:v>
      </x:c>
      <x:c r="AC931" s="33" t="n">
        <x:f>--OR(WorkforceData[[#This Row],[Status]]="Resigned",WorkforceData[[#This Row],[Status After Training]]="Withdrew")</x:f>
        <x:v>1</x:v>
      </x:c>
      <x:c r="AD931" s="34" t="n">
        <x:f>EOMONTH(WorkforceData[[#This Row],[Training Date]],0)</x:f>
        <x:v>45504</x:v>
      </x:c>
      <x:c r="AE931" s="32" t="str">
        <x:f>IF(M931&lt;H931,"Existing Employee",IF(U931="","No Assignment",IF(V931=0,"0 Days",IF(V931&lt;=7,"1-7 Days",IF(V931&lt;=14,"8-14 Days",IF(V931&lt;=21,"15-21 Days","21+ Days"))))))</x:f>
        <x:v>Existing Employee</x:v>
      </x:c>
      <x:c r="AF93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931" s="33" t="n">
        <x:f>--(WorkforceData[[#This Row],[Total Days Worked]]&gt;=121)</x:f>
        <x:v>0</x:v>
      </x:c>
    </x:row>
    <x:row r="932">
      <x:c r="A932" s="236" t="str">
        <x:v>TRN-0931</x:v>
      </x:c>
      <x:c r="B932" s="243"/>
      <x:c r="C932" s="243"/>
      <x:c r="D932" s="243"/>
      <x:c r="E932" s="243"/>
      <x:c r="F932" s="14" t="str">
        <x:v>Recruiter E</x:v>
      </x:c>
      <x:c r="G932" s="14" t="str">
        <x:v>Training Center A</x:v>
      </x:c>
      <x:c r="H932" s="28">
        <x:v>45734</x:v>
      </x:c>
      <x:c r="I932" s="14">
        <x:v>2025</x:v>
      </x:c>
      <x:c r="J932" s="14" t="s">
        <x:v>130</x:v>
      </x:c>
      <x:c r="K932" s="14">
        <x:v>17</x:v>
      </x:c>
      <x:c r="L932" s="29" t="s">
        <x:v>119</x:v>
      </x:c>
      <x:c r="M932" s="28">
        <x:v>45734</x:v>
      </x:c>
      <x:c r="N932" s="14"/>
      <x:c r="O932" s="14">
        <x:v>517</x:v>
      </x:c>
      <x:c r="P932" s="14" t="s">
        <x:v>120</x:v>
      </x:c>
      <x:c r="Q932" s="14" t="s">
        <x:v>25</x:v>
      </x:c>
      <x:c r="R932" s="14"/>
      <x:c r="S932" s="14" t="s">
        <x:v>108</x:v>
      </x:c>
      <x:c r="T932" s="14" t="str">
        <x:v>Region D</x:v>
      </x:c>
      <x:c r="U932" s="28">
        <x:v>45745</x:v>
      </x:c>
      <x:c r="V932" s="30">
        <x:v>11</x:v>
      </x:c>
      <x:c r="W932" s="14" t="s">
        <x:v>45</x:v>
      </x:c>
      <x:c r="X932" s="14" t="s">
        <x:v>106</x:v>
      </x:c>
      <x:c r="Y932" s="32" t="str">
        <x:v>TRN-0931|20250318</x:v>
      </x:c>
      <x:c r="Z932" s="32" t="str" cm="1">
        <x:f t="array" ref="Z93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932" s="33" t="n">
        <x:f>--OR(WorkforceData[[#This Row],[Status]]="Active",WorkforceData[[#This Row],[Promoted]]="Yes",WorkforceData[[#This Row],[Total Days Worked]]&gt;=121)</x:f>
        <x:v>1</x:v>
      </x:c>
      <x:c r="AB932" s="33" t="n">
        <x:f>IF(AND(Q932="Terminated",R932="",O932=0),1,0)</x:f>
        <x:v>0</x:v>
      </x:c>
      <x:c r="AC932" s="33" t="n">
        <x:f>--OR(WorkforceData[[#This Row],[Status]]="Resigned",WorkforceData[[#This Row],[Status After Training]]="Withdrew")</x:f>
        <x:v>0</x:v>
      </x:c>
      <x:c r="AD932" s="34" t="n">
        <x:f>EOMONTH(WorkforceData[[#This Row],[Training Date]],0)</x:f>
        <x:v>45747</x:v>
      </x:c>
      <x:c r="AE932" s="32" t="str">
        <x:f>IF(M932&lt;H932,"Existing Employee",IF(U932="","No Assignment",IF(V932=0,"0 Days",IF(V932&lt;=7,"1-7 Days",IF(V932&lt;=14,"8-14 Days",IF(V932&lt;=21,"15-21 Days","21+ Days"))))))</x:f>
        <x:v>8-14 Days</x:v>
      </x:c>
      <x:c r="AF93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932" s="33" t="n">
        <x:f>--(WorkforceData[[#This Row],[Total Days Worked]]&gt;=121)</x:f>
        <x:v>1</x:v>
      </x:c>
    </x:row>
    <x:row r="933">
      <x:c r="A933" s="236" t="str">
        <x:v>TRN-0932</x:v>
      </x:c>
      <x:c r="B933" s="243"/>
      <x:c r="C933" s="243"/>
      <x:c r="D933" s="243"/>
      <x:c r="E933" s="243"/>
      <x:c r="F933" s="14" t="str">
        <x:v>Recruiter G</x:v>
      </x:c>
      <x:c r="G933" s="14" t="str">
        <x:v>Training Center A</x:v>
      </x:c>
      <x:c r="H933" s="28">
        <x:v>45734</x:v>
      </x:c>
      <x:c r="I933" s="14">
        <x:v>2025</x:v>
      </x:c>
      <x:c r="J933" s="14" t="s">
        <x:v>130</x:v>
      </x:c>
      <x:c r="K933" s="14">
        <x:v>17</x:v>
      </x:c>
      <x:c r="L933" s="29" t="s">
        <x:v>119</x:v>
      </x:c>
      <x:c r="M933" s="28">
        <x:v>45727</x:v>
      </x:c>
      <x:c r="N933" s="28">
        <x:v>45731</x:v>
      </x:c>
      <x:c r="O933" s="14">
        <x:v>4</x:v>
      </x:c>
      <x:c r="P933" s="14" t="s">
        <x:v>102</x:v>
      </x:c>
      <x:c r="Q933" s="14" t="s">
        <x:v>103</x:v>
      </x:c>
      <x:c r="R933" s="14" t="s">
        <x:v>111</x:v>
      </x:c>
      <x:c r="S933" s="14" t="s">
        <x:v>105</x:v>
      </x:c>
      <x:c r="T933" s="14"/>
      <x:c r="U933" s="28"/>
      <x:c r="V933" s="30"/>
      <x:c r="W933" s="14"/>
      <x:c r="X933" s="14" t="s">
        <x:v>71</x:v>
      </x:c>
      <x:c r="Y933" s="32" t="str">
        <x:v>TRN-0932|20250318</x:v>
      </x:c>
      <x:c r="Z933" s="32" t="str" cm="1">
        <x:f t="array" ref="Z93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933" s="33" t="n">
        <x:f>--OR(WorkforceData[[#This Row],[Status]]="Active",WorkforceData[[#This Row],[Promoted]]="Yes",WorkforceData[[#This Row],[Total Days Worked]]&gt;=121)</x:f>
        <x:v>0</x:v>
      </x:c>
      <x:c r="AB933" s="33" t="n">
        <x:f>IF(AND(Q933="Terminated",R933="",O933=0),1,0)</x:f>
        <x:v>0</x:v>
      </x:c>
      <x:c r="AC933" s="33" t="n">
        <x:f>--OR(WorkforceData[[#This Row],[Status]]="Resigned",WorkforceData[[#This Row],[Status After Training]]="Withdrew")</x:f>
        <x:v>1</x:v>
      </x:c>
      <x:c r="AD933" s="34" t="n">
        <x:f>EOMONTH(WorkforceData[[#This Row],[Training Date]],0)</x:f>
        <x:v>45747</x:v>
      </x:c>
      <x:c r="AE933" s="32" t="str">
        <x:f>IF(M933&lt;H933,"Existing Employee",IF(U933="","No Assignment",IF(V933=0,"0 Days",IF(V933&lt;=7,"1-7 Days",IF(V933&lt;=14,"8-14 Days",IF(V933&lt;=21,"15-21 Days","21+ Days"))))))</x:f>
        <x:v>Existing Employee</x:v>
      </x:c>
      <x:c r="AF93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1-7 Days</x:v>
      </x:c>
      <x:c r="AG933" s="33" t="n">
        <x:f>--(WorkforceData[[#This Row],[Total Days Worked]]&gt;=121)</x:f>
        <x:v>0</x:v>
      </x:c>
    </x:row>
    <x:row r="934">
      <x:c r="A934" s="236" t="str">
        <x:v>TRN-0933</x:v>
      </x:c>
      <x:c r="B934" s="243"/>
      <x:c r="C934" s="243"/>
      <x:c r="D934" s="243"/>
      <x:c r="E934" s="243"/>
      <x:c r="F934" s="14" t="str">
        <x:v>Recruiter E</x:v>
      </x:c>
      <x:c r="G934" s="14" t="str">
        <x:v>Training Center A</x:v>
      </x:c>
      <x:c r="H934" s="28">
        <x:v>45734</x:v>
      </x:c>
      <x:c r="I934" s="14">
        <x:v>2025</x:v>
      </x:c>
      <x:c r="J934" s="14" t="s">
        <x:v>130</x:v>
      </x:c>
      <x:c r="K934" s="14">
        <x:v>17</x:v>
      </x:c>
      <x:c r="L934" s="29" t="s">
        <x:v>119</x:v>
      </x:c>
      <x:c r="M934" s="28">
        <x:v>45734</x:v>
      </x:c>
      <x:c r="N934" s="28">
        <x:v>45748</x:v>
      </x:c>
      <x:c r="O934" s="14">
        <x:v>14</x:v>
      </x:c>
      <x:c r="P934" s="14" t="s">
        <x:v>102</x:v>
      </x:c>
      <x:c r="Q934" s="14" t="s">
        <x:v>103</x:v>
      </x:c>
      <x:c r="R934" s="14" t="s">
        <x:v>111</x:v>
      </x:c>
      <x:c r="S934" s="14" t="s">
        <x:v>105</x:v>
      </x:c>
      <x:c r="T934" s="14" t="str">
        <x:v>Region B</x:v>
      </x:c>
      <x:c r="U934" s="28">
        <x:v>45740</x:v>
      </x:c>
      <x:c r="V934" s="30">
        <x:v>6</x:v>
      </x:c>
      <x:c r="W934" s="14" t="s">
        <x:v>109</x:v>
      </x:c>
      <x:c r="X934" s="14" t="s">
        <x:v>106</x:v>
      </x:c>
      <x:c r="Y934" s="32" t="str">
        <x:v>TRN-0933|20250318</x:v>
      </x:c>
      <x:c r="Z934" s="32" t="str" cm="1">
        <x:f t="array" ref="Z93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934" s="33" t="n">
        <x:f>--OR(WorkforceData[[#This Row],[Status]]="Active",WorkforceData[[#This Row],[Promoted]]="Yes",WorkforceData[[#This Row],[Total Days Worked]]&gt;=121)</x:f>
        <x:v>0</x:v>
      </x:c>
      <x:c r="AB934" s="33" t="n">
        <x:f>IF(AND(Q934="Terminated",R934="",O934=0),1,0)</x:f>
        <x:v>0</x:v>
      </x:c>
      <x:c r="AC934" s="33" t="n">
        <x:f>--OR(WorkforceData[[#This Row],[Status]]="Resigned",WorkforceData[[#This Row],[Status After Training]]="Withdrew")</x:f>
        <x:v>1</x:v>
      </x:c>
      <x:c r="AD934" s="34" t="n">
        <x:f>EOMONTH(WorkforceData[[#This Row],[Training Date]],0)</x:f>
        <x:v>45747</x:v>
      </x:c>
      <x:c r="AE934" s="32" t="str">
        <x:f>IF(M934&lt;H934,"Existing Employee",IF(U934="","No Assignment",IF(V934=0,"0 Days",IF(V934&lt;=7,"1-7 Days",IF(V934&lt;=14,"8-14 Days",IF(V934&lt;=21,"15-21 Days","21+ Days"))))))</x:f>
        <x:v>1-7 Days</x:v>
      </x:c>
      <x:c r="AF93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934" s="33" t="n">
        <x:f>--(WorkforceData[[#This Row],[Total Days Worked]]&gt;=121)</x:f>
        <x:v>0</x:v>
      </x:c>
    </x:row>
    <x:row r="935">
      <x:c r="A935" s="236" t="str">
        <x:v>TRN-0934</x:v>
      </x:c>
      <x:c r="B935" s="243"/>
      <x:c r="C935" s="243"/>
      <x:c r="D935" s="243"/>
      <x:c r="E935" s="243"/>
      <x:c r="F935" s="14" t="str">
        <x:v>Recruiter A</x:v>
      </x:c>
      <x:c r="G935" s="14" t="str">
        <x:v>Training Center A</x:v>
      </x:c>
      <x:c r="H935" s="28">
        <x:v>45734</x:v>
      </x:c>
      <x:c r="I935" s="14">
        <x:v>2025</x:v>
      </x:c>
      <x:c r="J935" s="14" t="s">
        <x:v>130</x:v>
      </x:c>
      <x:c r="K935" s="14">
        <x:v>17</x:v>
      </x:c>
      <x:c r="L935" s="29" t="s">
        <x:v>119</x:v>
      </x:c>
      <x:c r="M935" s="28">
        <x:v>45734</x:v>
      </x:c>
      <x:c r="N935" s="28">
        <x:v>45825</x:v>
      </x:c>
      <x:c r="O935" s="14">
        <x:v>91</x:v>
      </x:c>
      <x:c r="P935" s="14" t="s">
        <x:v>113</x:v>
      </x:c>
      <x:c r="Q935" s="14" t="s">
        <x:v>103</x:v>
      </x:c>
      <x:c r="R935" s="14" t="s">
        <x:v>104</x:v>
      </x:c>
      <x:c r="S935" s="14" t="s">
        <x:v>105</x:v>
      </x:c>
      <x:c r="T935" s="14" t="str">
        <x:v>Region E</x:v>
      </x:c>
      <x:c r="U935" s="28">
        <x:v>45742</x:v>
      </x:c>
      <x:c r="V935" s="30">
        <x:v>8</x:v>
      </x:c>
      <x:c r="W935" s="14" t="s">
        <x:v>45</x:v>
      </x:c>
      <x:c r="X935" s="14" t="s">
        <x:v>106</x:v>
      </x:c>
      <x:c r="Y935" s="32" t="str">
        <x:v>TRN-0934|20250318</x:v>
      </x:c>
      <x:c r="Z935" s="32" t="str" cm="1">
        <x:f t="array" ref="Z93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935" s="33" t="n">
        <x:f>--OR(WorkforceData[[#This Row],[Status]]="Active",WorkforceData[[#This Row],[Promoted]]="Yes",WorkforceData[[#This Row],[Total Days Worked]]&gt;=121)</x:f>
        <x:v>0</x:v>
      </x:c>
      <x:c r="AB935" s="33" t="n">
        <x:f>IF(AND(Q935="Terminated",R935="",O935=0),1,0)</x:f>
        <x:v>0</x:v>
      </x:c>
      <x:c r="AC935" s="33" t="n">
        <x:f>--OR(WorkforceData[[#This Row],[Status]]="Resigned",WorkforceData[[#This Row],[Status After Training]]="Withdrew")</x:f>
        <x:v>1</x:v>
      </x:c>
      <x:c r="AD935" s="34" t="n">
        <x:f>EOMONTH(WorkforceData[[#This Row],[Training Date]],0)</x:f>
        <x:v>45747</x:v>
      </x:c>
      <x:c r="AE935" s="32" t="str">
        <x:f>IF(M935&lt;H935,"Existing Employee",IF(U935="","No Assignment",IF(V935=0,"0 Days",IF(V935&lt;=7,"1-7 Days",IF(V935&lt;=14,"8-14 Days",IF(V935&lt;=21,"15-21 Days","21+ Days"))))))</x:f>
        <x:v>8-14 Days</x:v>
      </x:c>
      <x:c r="AF93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91-120 Days</x:v>
      </x:c>
      <x:c r="AG935" s="33" t="n">
        <x:f>--(WorkforceData[[#This Row],[Total Days Worked]]&gt;=121)</x:f>
        <x:v>0</x:v>
      </x:c>
    </x:row>
    <x:row r="936">
      <x:c r="A936" s="236" t="str">
        <x:v>TRN-0935</x:v>
      </x:c>
      <x:c r="B936" s="243"/>
      <x:c r="C936" s="243"/>
      <x:c r="D936" s="243"/>
      <x:c r="E936" s="243"/>
      <x:c r="F936" s="14" t="str">
        <x:v>Recruiter H</x:v>
      </x:c>
      <x:c r="G936" s="14" t="str">
        <x:v>Training Center A</x:v>
      </x:c>
      <x:c r="H936" s="28">
        <x:v>45734</x:v>
      </x:c>
      <x:c r="I936" s="14">
        <x:v>2025</x:v>
      </x:c>
      <x:c r="J936" s="14" t="s">
        <x:v>130</x:v>
      </x:c>
      <x:c r="K936" s="14">
        <x:v>17</x:v>
      </x:c>
      <x:c r="L936" s="29" t="s">
        <x:v>119</x:v>
      </x:c>
      <x:c r="M936" s="28">
        <x:v>45733</x:v>
      </x:c>
      <x:c r="N936" s="28">
        <x:v>45841</x:v>
      </x:c>
      <x:c r="O936" s="14">
        <x:v>108</x:v>
      </x:c>
      <x:c r="P936" s="14" t="s">
        <x:v>113</x:v>
      </x:c>
      <x:c r="Q936" s="14" t="s">
        <x:v>103</x:v>
      </x:c>
      <x:c r="R936" s="14" t="s">
        <x:v>111</x:v>
      </x:c>
      <x:c r="S936" s="14" t="s">
        <x:v>105</x:v>
      </x:c>
      <x:c r="T936" s="14" t="str">
        <x:v>Region D</x:v>
      </x:c>
      <x:c r="U936" s="28">
        <x:v>45778</x:v>
      </x:c>
      <x:c r="V936" s="30">
        <x:v>44</x:v>
      </x:c>
      <x:c r="W936" s="14" t="s">
        <x:v>63</x:v>
      </x:c>
      <x:c r="X936" s="14" t="s">
        <x:v>117</x:v>
      </x:c>
      <x:c r="Y936" s="32" t="str">
        <x:v>TRN-0935|20250318</x:v>
      </x:c>
      <x:c r="Z936" s="32" t="str" cm="1">
        <x:f t="array" ref="Z93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936" s="33" t="n">
        <x:f>--OR(WorkforceData[[#This Row],[Status]]="Active",WorkforceData[[#This Row],[Promoted]]="Yes",WorkforceData[[#This Row],[Total Days Worked]]&gt;=121)</x:f>
        <x:v>0</x:v>
      </x:c>
      <x:c r="AB936" s="33" t="n">
        <x:f>IF(AND(Q936="Terminated",R936="",O936=0),1,0)</x:f>
        <x:v>0</x:v>
      </x:c>
      <x:c r="AC936" s="33" t="n">
        <x:f>--OR(WorkforceData[[#This Row],[Status]]="Resigned",WorkforceData[[#This Row],[Status After Training]]="Withdrew")</x:f>
        <x:v>1</x:v>
      </x:c>
      <x:c r="AD936" s="34" t="n">
        <x:f>EOMONTH(WorkforceData[[#This Row],[Training Date]],0)</x:f>
        <x:v>45747</x:v>
      </x:c>
      <x:c r="AE936" s="32" t="str">
        <x:f>IF(M936&lt;H936,"Existing Employee",IF(U936="","No Assignment",IF(V936=0,"0 Days",IF(V936&lt;=7,"1-7 Days",IF(V936&lt;=14,"8-14 Days",IF(V936&lt;=21,"15-21 Days","21+ Days"))))))</x:f>
        <x:v>Existing Employee</x:v>
      </x:c>
      <x:c r="AF93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91-120 Days</x:v>
      </x:c>
      <x:c r="AG936" s="33" t="n">
        <x:f>--(WorkforceData[[#This Row],[Total Days Worked]]&gt;=121)</x:f>
        <x:v>0</x:v>
      </x:c>
    </x:row>
    <x:row r="937">
      <x:c r="A937" s="236" t="str">
        <x:v>TRN-0936</x:v>
      </x:c>
      <x:c r="B937" s="243"/>
      <x:c r="C937" s="243"/>
      <x:c r="D937" s="243"/>
      <x:c r="E937" s="243"/>
      <x:c r="F937" s="14" t="str">
        <x:v>Recruiter G</x:v>
      </x:c>
      <x:c r="G937" s="14" t="str">
        <x:v>Training Center A</x:v>
      </x:c>
      <x:c r="H937" s="28">
        <x:v>45734</x:v>
      </x:c>
      <x:c r="I937" s="14">
        <x:v>2025</x:v>
      </x:c>
      <x:c r="J937" s="14" t="s">
        <x:v>130</x:v>
      </x:c>
      <x:c r="K937" s="14">
        <x:v>17</x:v>
      </x:c>
      <x:c r="L937" s="29" t="s">
        <x:v>119</x:v>
      </x:c>
      <x:c r="M937" s="28">
        <x:v>45734</x:v>
      </x:c>
      <x:c r="N937" s="14"/>
      <x:c r="O937" s="14">
        <x:v>517</x:v>
      </x:c>
      <x:c r="P937" s="14" t="s">
        <x:v>120</x:v>
      </x:c>
      <x:c r="Q937" s="14" t="s">
        <x:v>25</x:v>
      </x:c>
      <x:c r="R937" s="14"/>
      <x:c r="S937" s="14" t="s">
        <x:v>108</x:v>
      </x:c>
      <x:c r="T937" s="14" t="str">
        <x:v>Region A</x:v>
      </x:c>
      <x:c r="U937" s="28">
        <x:v>45740</x:v>
      </x:c>
      <x:c r="V937" s="30">
        <x:v>6</x:v>
      </x:c>
      <x:c r="W937" s="14" t="s">
        <x:v>109</x:v>
      </x:c>
      <x:c r="X937" s="14" t="s">
        <x:v>106</x:v>
      </x:c>
      <x:c r="Y937" s="32" t="str">
        <x:v>TRN-0936|20250318</x:v>
      </x:c>
      <x:c r="Z937" s="32" t="str" cm="1">
        <x:f t="array" ref="Z93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937" s="33" t="n">
        <x:f>--OR(WorkforceData[[#This Row],[Status]]="Active",WorkforceData[[#This Row],[Promoted]]="Yes",WorkforceData[[#This Row],[Total Days Worked]]&gt;=121)</x:f>
        <x:v>1</x:v>
      </x:c>
      <x:c r="AB937" s="33" t="n">
        <x:f>IF(AND(Q937="Terminated",R937="",O937=0),1,0)</x:f>
        <x:v>0</x:v>
      </x:c>
      <x:c r="AC937" s="33" t="n">
        <x:f>--OR(WorkforceData[[#This Row],[Status]]="Resigned",WorkforceData[[#This Row],[Status After Training]]="Withdrew")</x:f>
        <x:v>0</x:v>
      </x:c>
      <x:c r="AD937" s="34" t="n">
        <x:f>EOMONTH(WorkforceData[[#This Row],[Training Date]],0)</x:f>
        <x:v>45747</x:v>
      </x:c>
      <x:c r="AE937" s="32" t="str">
        <x:f>IF(M937&lt;H937,"Existing Employee",IF(U937="","No Assignment",IF(V937=0,"0 Days",IF(V937&lt;=7,"1-7 Days",IF(V937&lt;=14,"8-14 Days",IF(V937&lt;=21,"15-21 Days","21+ Days"))))))</x:f>
        <x:v>1-7 Days</x:v>
      </x:c>
      <x:c r="AF93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937" s="33" t="n">
        <x:f>--(WorkforceData[[#This Row],[Total Days Worked]]&gt;=121)</x:f>
        <x:v>1</x:v>
      </x:c>
    </x:row>
    <x:row r="938">
      <x:c r="A938" s="236" t="str">
        <x:v>TRN-0937</x:v>
      </x:c>
      <x:c r="B938" s="243"/>
      <x:c r="C938" s="243"/>
      <x:c r="D938" s="243"/>
      <x:c r="E938" s="243"/>
      <x:c r="F938" s="14" t="str">
        <x:v>Recruiter F</x:v>
      </x:c>
      <x:c r="G938" s="14" t="str">
        <x:v>Training Center A</x:v>
      </x:c>
      <x:c r="H938" s="28">
        <x:v>45734</x:v>
      </x:c>
      <x:c r="I938" s="14">
        <x:v>2025</x:v>
      </x:c>
      <x:c r="J938" s="14" t="s">
        <x:v>130</x:v>
      </x:c>
      <x:c r="K938" s="14">
        <x:v>17</x:v>
      </x:c>
      <x:c r="L938" s="29" t="s">
        <x:v>119</x:v>
      </x:c>
      <x:c r="M938" s="28">
        <x:v>45727</x:v>
      </x:c>
      <x:c r="N938" s="28">
        <x:v>45817</x:v>
      </x:c>
      <x:c r="O938" s="14">
        <x:v>90</x:v>
      </x:c>
      <x:c r="P938" s="14" t="s">
        <x:v>110</x:v>
      </x:c>
      <x:c r="Q938" s="14" t="s">
        <x:v>103</x:v>
      </x:c>
      <x:c r="R938" s="14" t="s">
        <x:v>104</x:v>
      </x:c>
      <x:c r="S938" s="14" t="s">
        <x:v>105</x:v>
      </x:c>
      <x:c r="T938" s="14" t="str">
        <x:v>Region A</x:v>
      </x:c>
      <x:c r="U938" s="28">
        <x:v>45790</x:v>
      </x:c>
      <x:c r="V938" s="30">
        <x:v>56</x:v>
      </x:c>
      <x:c r="W938" s="14" t="s">
        <x:v>63</x:v>
      </x:c>
      <x:c r="X938" s="14" t="s">
        <x:v>117</x:v>
      </x:c>
      <x:c r="Y938" s="32" t="str">
        <x:v>TRN-0937|20250318</x:v>
      </x:c>
      <x:c r="Z938" s="32" t="str" cm="1">
        <x:f t="array" ref="Z93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938" s="33" t="n">
        <x:f>--OR(WorkforceData[[#This Row],[Status]]="Active",WorkforceData[[#This Row],[Promoted]]="Yes",WorkforceData[[#This Row],[Total Days Worked]]&gt;=121)</x:f>
        <x:v>0</x:v>
      </x:c>
      <x:c r="AB938" s="33" t="n">
        <x:f>IF(AND(Q938="Terminated",R938="",O938=0),1,0)</x:f>
        <x:v>0</x:v>
      </x:c>
      <x:c r="AC938" s="33" t="n">
        <x:f>--OR(WorkforceData[[#This Row],[Status]]="Resigned",WorkforceData[[#This Row],[Status After Training]]="Withdrew")</x:f>
        <x:v>1</x:v>
      </x:c>
      <x:c r="AD938" s="34" t="n">
        <x:f>EOMONTH(WorkforceData[[#This Row],[Training Date]],0)</x:f>
        <x:v>45747</x:v>
      </x:c>
      <x:c r="AE938" s="32" t="str">
        <x:f>IF(M938&lt;H938,"Existing Employee",IF(U938="","No Assignment",IF(V938=0,"0 Days",IF(V938&lt;=7,"1-7 Days",IF(V938&lt;=14,"8-14 Days",IF(V938&lt;=21,"15-21 Days","21+ Days"))))))</x:f>
        <x:v>Existing Employee</x:v>
      </x:c>
      <x:c r="AF93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61-90 Days</x:v>
      </x:c>
      <x:c r="AG938" s="33" t="n">
        <x:f>--(WorkforceData[[#This Row],[Total Days Worked]]&gt;=121)</x:f>
        <x:v>0</x:v>
      </x:c>
    </x:row>
    <x:row r="939">
      <x:c r="A939" s="236" t="str">
        <x:v>TRN-0938</x:v>
      </x:c>
      <x:c r="B939" s="243"/>
      <x:c r="C939" s="243"/>
      <x:c r="D939" s="243"/>
      <x:c r="E939" s="243"/>
      <x:c r="F939" s="14" t="str">
        <x:v>Recruiter B</x:v>
      </x:c>
      <x:c r="G939" s="14" t="str">
        <x:v>Training Center A</x:v>
      </x:c>
      <x:c r="H939" s="28">
        <x:v>45734</x:v>
      </x:c>
      <x:c r="I939" s="14">
        <x:v>2025</x:v>
      </x:c>
      <x:c r="J939" s="14" t="s">
        <x:v>130</x:v>
      </x:c>
      <x:c r="K939" s="14">
        <x:v>17</x:v>
      </x:c>
      <x:c r="L939" s="29" t="s">
        <x:v>119</x:v>
      </x:c>
      <x:c r="M939" s="28">
        <x:v>45734</x:v>
      </x:c>
      <x:c r="N939" s="14"/>
      <x:c r="O939" s="14">
        <x:v>517</x:v>
      </x:c>
      <x:c r="P939" s="14" t="s">
        <x:v>120</x:v>
      </x:c>
      <x:c r="Q939" s="14" t="s">
        <x:v>25</x:v>
      </x:c>
      <x:c r="R939" s="14"/>
      <x:c r="S939" s="14" t="s">
        <x:v>108</x:v>
      </x:c>
      <x:c r="T939" s="14" t="str">
        <x:v>Region A</x:v>
      </x:c>
      <x:c r="U939" s="28">
        <x:v>45746</x:v>
      </x:c>
      <x:c r="V939" s="30">
        <x:v>12</x:v>
      </x:c>
      <x:c r="W939" s="14" t="s">
        <x:v>45</x:v>
      </x:c>
      <x:c r="X939" s="14" t="s">
        <x:v>106</x:v>
      </x:c>
      <x:c r="Y939" s="32" t="str">
        <x:v>TRN-0938|20250318</x:v>
      </x:c>
      <x:c r="Z939" s="32" t="str" cm="1">
        <x:f t="array" ref="Z93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939" s="33" t="n">
        <x:f>--OR(WorkforceData[[#This Row],[Status]]="Active",WorkforceData[[#This Row],[Promoted]]="Yes",WorkforceData[[#This Row],[Total Days Worked]]&gt;=121)</x:f>
        <x:v>1</x:v>
      </x:c>
      <x:c r="AB939" s="33" t="n">
        <x:f>IF(AND(Q939="Terminated",R939="",O939=0),1,0)</x:f>
        <x:v>0</x:v>
      </x:c>
      <x:c r="AC939" s="33" t="n">
        <x:f>--OR(WorkforceData[[#This Row],[Status]]="Resigned",WorkforceData[[#This Row],[Status After Training]]="Withdrew")</x:f>
        <x:v>0</x:v>
      </x:c>
      <x:c r="AD939" s="34" t="n">
        <x:f>EOMONTH(WorkforceData[[#This Row],[Training Date]],0)</x:f>
        <x:v>45747</x:v>
      </x:c>
      <x:c r="AE939" s="32" t="str">
        <x:f>IF(M939&lt;H939,"Existing Employee",IF(U939="","No Assignment",IF(V939=0,"0 Days",IF(V939&lt;=7,"1-7 Days",IF(V939&lt;=14,"8-14 Days",IF(V939&lt;=21,"15-21 Days","21+ Days"))))))</x:f>
        <x:v>8-14 Days</x:v>
      </x:c>
      <x:c r="AF93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939" s="33" t="n">
        <x:f>--(WorkforceData[[#This Row],[Total Days Worked]]&gt;=121)</x:f>
        <x:v>1</x:v>
      </x:c>
    </x:row>
    <x:row r="940">
      <x:c r="A940" s="236" t="str">
        <x:v>TRN-0939</x:v>
      </x:c>
      <x:c r="B940" s="243"/>
      <x:c r="C940" s="243"/>
      <x:c r="D940" s="243"/>
      <x:c r="E940" s="243"/>
      <x:c r="F940" s="14" t="str">
        <x:v>Recruiter A</x:v>
      </x:c>
      <x:c r="G940" s="14" t="str">
        <x:v>Training Center A</x:v>
      </x:c>
      <x:c r="H940" s="28">
        <x:v>45734</x:v>
      </x:c>
      <x:c r="I940" s="14">
        <x:v>2025</x:v>
      </x:c>
      <x:c r="J940" s="14" t="s">
        <x:v>130</x:v>
      </x:c>
      <x:c r="K940" s="14">
        <x:v>17</x:v>
      </x:c>
      <x:c r="L940" s="29" t="s">
        <x:v>119</x:v>
      </x:c>
      <x:c r="M940" s="28">
        <x:v>45731</x:v>
      </x:c>
      <x:c r="N940" s="14"/>
      <x:c r="O940" s="14">
        <x:v>520</x:v>
      </x:c>
      <x:c r="P940" s="14" t="s">
        <x:v>120</x:v>
      </x:c>
      <x:c r="Q940" s="14" t="s">
        <x:v>25</x:v>
      </x:c>
      <x:c r="R940" s="14"/>
      <x:c r="S940" s="14" t="s">
        <x:v>108</x:v>
      </x:c>
      <x:c r="T940" s="14" t="str">
        <x:v>Region D</x:v>
      </x:c>
      <x:c r="U940" s="28">
        <x:v>45740</x:v>
      </x:c>
      <x:c r="V940" s="30">
        <x:v>6</x:v>
      </x:c>
      <x:c r="W940" s="14" t="s">
        <x:v>109</x:v>
      </x:c>
      <x:c r="X940" s="14" t="s">
        <x:v>106</x:v>
      </x:c>
      <x:c r="Y940" s="32" t="str">
        <x:v>TRN-0939|20250318</x:v>
      </x:c>
      <x:c r="Z940" s="32" t="str" cm="1">
        <x:f t="array" ref="Z94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940" s="33" t="n">
        <x:f>--OR(WorkforceData[[#This Row],[Status]]="Active",WorkforceData[[#This Row],[Promoted]]="Yes",WorkforceData[[#This Row],[Total Days Worked]]&gt;=121)</x:f>
        <x:v>1</x:v>
      </x:c>
      <x:c r="AB940" s="33" t="n">
        <x:f>IF(AND(Q940="Terminated",R940="",O940=0),1,0)</x:f>
        <x:v>0</x:v>
      </x:c>
      <x:c r="AC940" s="33" t="n">
        <x:f>--OR(WorkforceData[[#This Row],[Status]]="Resigned",WorkforceData[[#This Row],[Status After Training]]="Withdrew")</x:f>
        <x:v>0</x:v>
      </x:c>
      <x:c r="AD940" s="34" t="n">
        <x:f>EOMONTH(WorkforceData[[#This Row],[Training Date]],0)</x:f>
        <x:v>45747</x:v>
      </x:c>
      <x:c r="AE940" s="32" t="str">
        <x:f>IF(M940&lt;H940,"Existing Employee",IF(U940="","No Assignment",IF(V940=0,"0 Days",IF(V940&lt;=7,"1-7 Days",IF(V940&lt;=14,"8-14 Days",IF(V940&lt;=21,"15-21 Days","21+ Days"))))))</x:f>
        <x:v>Existing Employee</x:v>
      </x:c>
      <x:c r="AF94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940" s="33" t="n">
        <x:f>--(WorkforceData[[#This Row],[Total Days Worked]]&gt;=121)</x:f>
        <x:v>1</x:v>
      </x:c>
    </x:row>
    <x:row r="941">
      <x:c r="A941" s="236" t="str">
        <x:v>TRN-0940</x:v>
      </x:c>
      <x:c r="B941" s="243"/>
      <x:c r="C941" s="243"/>
      <x:c r="D941" s="243"/>
      <x:c r="E941" s="243"/>
      <x:c r="F941" s="14" t="str">
        <x:v>Recruiter F</x:v>
      </x:c>
      <x:c r="G941" s="14" t="str">
        <x:v>Training Center A</x:v>
      </x:c>
      <x:c r="H941" s="28">
        <x:v>45734</x:v>
      </x:c>
      <x:c r="I941" s="14">
        <x:v>2025</x:v>
      </x:c>
      <x:c r="J941" s="14" t="s">
        <x:v>130</x:v>
      </x:c>
      <x:c r="K941" s="14">
        <x:v>17</x:v>
      </x:c>
      <x:c r="L941" s="29" t="s">
        <x:v>119</x:v>
      </x:c>
      <x:c r="M941" s="28">
        <x:v>45733</x:v>
      </x:c>
      <x:c r="N941" s="28">
        <x:v>45761</x:v>
      </x:c>
      <x:c r="O941" s="14">
        <x:v>28</x:v>
      </x:c>
      <x:c r="P941" s="14" t="s">
        <x:v>102</x:v>
      </x:c>
      <x:c r="Q941" s="14" t="s">
        <x:v>33</x:v>
      </x:c>
      <x:c r="R941" s="14" t="s">
        <x:v>124</x:v>
      </x:c>
      <x:c r="S941" s="14" t="s">
        <x:v>105</x:v>
      </x:c>
      <x:c r="T941" s="14" t="str">
        <x:v>Region B</x:v>
      </x:c>
      <x:c r="U941" s="28">
        <x:v>45741</x:v>
      </x:c>
      <x:c r="V941" s="30">
        <x:v>7</x:v>
      </x:c>
      <x:c r="W941" s="14" t="s">
        <x:v>109</x:v>
      </x:c>
      <x:c r="X941" s="14" t="s">
        <x:v>106</x:v>
      </x:c>
      <x:c r="Y941" s="32" t="str">
        <x:v>TRN-0940|20250318</x:v>
      </x:c>
      <x:c r="Z941" s="32" t="str" cm="1">
        <x:f t="array" ref="Z94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941" s="33" t="n">
        <x:f>--OR(WorkforceData[[#This Row],[Status]]="Active",WorkforceData[[#This Row],[Promoted]]="Yes",WorkforceData[[#This Row],[Total Days Worked]]&gt;=121)</x:f>
        <x:v>0</x:v>
      </x:c>
      <x:c r="AB941" s="33" t="n">
        <x:f>IF(AND(Q941="Terminated",R941="",O941=0),1,0)</x:f>
        <x:v>0</x:v>
      </x:c>
      <x:c r="AC941" s="33" t="n">
        <x:f>--OR(WorkforceData[[#This Row],[Status]]="Resigned",WorkforceData[[#This Row],[Status After Training]]="Withdrew")</x:f>
        <x:v>0</x:v>
      </x:c>
      <x:c r="AD941" s="34" t="n">
        <x:f>EOMONTH(WorkforceData[[#This Row],[Training Date]],0)</x:f>
        <x:v>45747</x:v>
      </x:c>
      <x:c r="AE941" s="32" t="str">
        <x:f>IF(M941&lt;H941,"Existing Employee",IF(U941="","No Assignment",IF(V941=0,"0 Days",IF(V941&lt;=7,"1-7 Days",IF(V941&lt;=14,"8-14 Days",IF(V941&lt;=21,"15-21 Days","21+ Days"))))))</x:f>
        <x:v>Existing Employee</x:v>
      </x:c>
      <x:c r="AF94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941" s="33" t="n">
        <x:f>--(WorkforceData[[#This Row],[Total Days Worked]]&gt;=121)</x:f>
        <x:v>0</x:v>
      </x:c>
    </x:row>
    <x:row r="942">
      <x:c r="A942" s="236" t="str">
        <x:v>TRN-0941</x:v>
      </x:c>
      <x:c r="B942" s="243"/>
      <x:c r="C942" s="243"/>
      <x:c r="D942" s="243"/>
      <x:c r="E942" s="243"/>
      <x:c r="F942" s="14" t="str">
        <x:v>Recruiter C</x:v>
      </x:c>
      <x:c r="G942" s="14" t="str">
        <x:v>Training Center A</x:v>
      </x:c>
      <x:c r="H942" s="28">
        <x:v>45734</x:v>
      </x:c>
      <x:c r="I942" s="14">
        <x:v>2025</x:v>
      </x:c>
      <x:c r="J942" s="14" t="s">
        <x:v>130</x:v>
      </x:c>
      <x:c r="K942" s="14">
        <x:v>17</x:v>
      </x:c>
      <x:c r="L942" s="29" t="s">
        <x:v>119</x:v>
      </x:c>
      <x:c r="M942" s="28">
        <x:v>45733</x:v>
      </x:c>
      <x:c r="N942" s="28">
        <x:v>45789</x:v>
      </x:c>
      <x:c r="O942" s="14">
        <x:v>56</x:v>
      </x:c>
      <x:c r="P942" s="14" t="s">
        <x:v>110</x:v>
      </x:c>
      <x:c r="Q942" s="14" t="s">
        <x:v>103</x:v>
      </x:c>
      <x:c r="R942" s="14" t="s">
        <x:v>104</x:v>
      </x:c>
      <x:c r="S942" s="14" t="s">
        <x:v>105</x:v>
      </x:c>
      <x:c r="T942" s="14" t="str">
        <x:v>Region D</x:v>
      </x:c>
      <x:c r="U942" s="28">
        <x:v>45742</x:v>
      </x:c>
      <x:c r="V942" s="30">
        <x:v>8</x:v>
      </x:c>
      <x:c r="W942" s="14" t="s">
        <x:v>45</x:v>
      </x:c>
      <x:c r="X942" s="14" t="s">
        <x:v>106</x:v>
      </x:c>
      <x:c r="Y942" s="32" t="str">
        <x:v>TRN-0941|20250318</x:v>
      </x:c>
      <x:c r="Z942" s="32" t="str" cm="1">
        <x:f t="array" ref="Z94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942" s="33" t="n">
        <x:f>--OR(WorkforceData[[#This Row],[Status]]="Active",WorkforceData[[#This Row],[Promoted]]="Yes",WorkforceData[[#This Row],[Total Days Worked]]&gt;=121)</x:f>
        <x:v>0</x:v>
      </x:c>
      <x:c r="AB942" s="33" t="n">
        <x:f>IF(AND(Q942="Terminated",R942="",O942=0),1,0)</x:f>
        <x:v>0</x:v>
      </x:c>
      <x:c r="AC942" s="33" t="n">
        <x:f>--OR(WorkforceData[[#This Row],[Status]]="Resigned",WorkforceData[[#This Row],[Status After Training]]="Withdrew")</x:f>
        <x:v>1</x:v>
      </x:c>
      <x:c r="AD942" s="34" t="n">
        <x:f>EOMONTH(WorkforceData[[#This Row],[Training Date]],0)</x:f>
        <x:v>45747</x:v>
      </x:c>
      <x:c r="AE942" s="32" t="str">
        <x:f>IF(M942&lt;H942,"Existing Employee",IF(U942="","No Assignment",IF(V942=0,"0 Days",IF(V942&lt;=7,"1-7 Days",IF(V942&lt;=14,"8-14 Days",IF(V942&lt;=21,"15-21 Days","21+ Days"))))))</x:f>
        <x:v>Existing Employee</x:v>
      </x:c>
      <x:c r="AF94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942" s="33" t="n">
        <x:f>--(WorkforceData[[#This Row],[Total Days Worked]]&gt;=121)</x:f>
        <x:v>0</x:v>
      </x:c>
    </x:row>
    <x:row r="943">
      <x:c r="A943" s="236" t="str">
        <x:v>TRN-0942</x:v>
      </x:c>
      <x:c r="B943" s="243"/>
      <x:c r="C943" s="243"/>
      <x:c r="D943" s="243"/>
      <x:c r="E943" s="243"/>
      <x:c r="F943" s="14" t="str">
        <x:v>Recruiter E</x:v>
      </x:c>
      <x:c r="G943" s="14" t="str">
        <x:v>Training Center A</x:v>
      </x:c>
      <x:c r="H943" s="28">
        <x:v>45734</x:v>
      </x:c>
      <x:c r="I943" s="14">
        <x:v>2025</x:v>
      </x:c>
      <x:c r="J943" s="14" t="s">
        <x:v>130</x:v>
      </x:c>
      <x:c r="K943" s="14">
        <x:v>17</x:v>
      </x:c>
      <x:c r="L943" s="29" t="s">
        <x:v>119</x:v>
      </x:c>
      <x:c r="M943" s="28">
        <x:v>45734</x:v>
      </x:c>
      <x:c r="N943" s="14"/>
      <x:c r="O943" s="14">
        <x:v>517</x:v>
      </x:c>
      <x:c r="P943" s="14" t="s">
        <x:v>120</x:v>
      </x:c>
      <x:c r="Q943" s="14" t="s">
        <x:v>25</x:v>
      </x:c>
      <x:c r="R943" s="14"/>
      <x:c r="S943" s="14" t="s">
        <x:v>108</x:v>
      </x:c>
      <x:c r="T943" s="14" t="str">
        <x:v>Region E</x:v>
      </x:c>
      <x:c r="U943" s="28">
        <x:v>45747</x:v>
      </x:c>
      <x:c r="V943" s="30">
        <x:v>13</x:v>
      </x:c>
      <x:c r="W943" s="14" t="s">
        <x:v>45</x:v>
      </x:c>
      <x:c r="X943" s="14" t="s">
        <x:v>106</x:v>
      </x:c>
      <x:c r="Y943" s="32" t="str">
        <x:v>TRN-0942|20250318</x:v>
      </x:c>
      <x:c r="Z943" s="32" t="str" cm="1">
        <x:f t="array" ref="Z94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943" s="33" t="n">
        <x:f>--OR(WorkforceData[[#This Row],[Status]]="Active",WorkforceData[[#This Row],[Promoted]]="Yes",WorkforceData[[#This Row],[Total Days Worked]]&gt;=121)</x:f>
        <x:v>1</x:v>
      </x:c>
      <x:c r="AB943" s="33" t="n">
        <x:f>IF(AND(Q943="Terminated",R943="",O943=0),1,0)</x:f>
        <x:v>0</x:v>
      </x:c>
      <x:c r="AC943" s="33" t="n">
        <x:f>--OR(WorkforceData[[#This Row],[Status]]="Resigned",WorkforceData[[#This Row],[Status After Training]]="Withdrew")</x:f>
        <x:v>0</x:v>
      </x:c>
      <x:c r="AD943" s="34" t="n">
        <x:f>EOMONTH(WorkforceData[[#This Row],[Training Date]],0)</x:f>
        <x:v>45747</x:v>
      </x:c>
      <x:c r="AE943" s="32" t="str">
        <x:f>IF(M943&lt;H943,"Existing Employee",IF(U943="","No Assignment",IF(V943=0,"0 Days",IF(V943&lt;=7,"1-7 Days",IF(V943&lt;=14,"8-14 Days",IF(V943&lt;=21,"15-21 Days","21+ Days"))))))</x:f>
        <x:v>8-14 Days</x:v>
      </x:c>
      <x:c r="AF94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943" s="33" t="n">
        <x:f>--(WorkforceData[[#This Row],[Total Days Worked]]&gt;=121)</x:f>
        <x:v>1</x:v>
      </x:c>
    </x:row>
    <x:row r="944">
      <x:c r="A944" s="236" t="str">
        <x:v>TRN-0943</x:v>
      </x:c>
      <x:c r="B944" s="243"/>
      <x:c r="C944" s="243"/>
      <x:c r="D944" s="243"/>
      <x:c r="E944" s="243"/>
      <x:c r="F944" s="14" t="str">
        <x:v>Recruiter E</x:v>
      </x:c>
      <x:c r="G944" s="14" t="str">
        <x:v>Training Center A</x:v>
      </x:c>
      <x:c r="H944" s="28">
        <x:v>45734</x:v>
      </x:c>
      <x:c r="I944" s="14">
        <x:v>2025</x:v>
      </x:c>
      <x:c r="J944" s="14" t="s">
        <x:v>130</x:v>
      </x:c>
      <x:c r="K944" s="14">
        <x:v>17</x:v>
      </x:c>
      <x:c r="L944" s="29" t="s">
        <x:v>119</x:v>
      </x:c>
      <x:c r="M944" s="28">
        <x:v>45724</x:v>
      </x:c>
      <x:c r="N944" s="14"/>
      <x:c r="O944" s="14">
        <x:v>527</x:v>
      </x:c>
      <x:c r="P944" s="14" t="s">
        <x:v>120</x:v>
      </x:c>
      <x:c r="Q944" s="14" t="s">
        <x:v>25</x:v>
      </x:c>
      <x:c r="R944" s="14"/>
      <x:c r="S944" s="14" t="s">
        <x:v>108</x:v>
      </x:c>
      <x:c r="T944" s="14" t="str">
        <x:v>Region B</x:v>
      </x:c>
      <x:c r="U944" s="28">
        <x:v>45739</x:v>
      </x:c>
      <x:c r="V944" s="30">
        <x:v>5</x:v>
      </x:c>
      <x:c r="W944" s="14" t="s">
        <x:v>109</x:v>
      </x:c>
      <x:c r="X944" s="14" t="s">
        <x:v>106</x:v>
      </x:c>
      <x:c r="Y944" s="32" t="str">
        <x:v>TRN-0943|20250318</x:v>
      </x:c>
      <x:c r="Z944" s="32" t="str" cm="1">
        <x:f t="array" ref="Z94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944" s="33" t="n">
        <x:f>--OR(WorkforceData[[#This Row],[Status]]="Active",WorkforceData[[#This Row],[Promoted]]="Yes",WorkforceData[[#This Row],[Total Days Worked]]&gt;=121)</x:f>
        <x:v>1</x:v>
      </x:c>
      <x:c r="AB944" s="33" t="n">
        <x:f>IF(AND(Q944="Terminated",R944="",O944=0),1,0)</x:f>
        <x:v>0</x:v>
      </x:c>
      <x:c r="AC944" s="33" t="n">
        <x:f>--OR(WorkforceData[[#This Row],[Status]]="Resigned",WorkforceData[[#This Row],[Status After Training]]="Withdrew")</x:f>
        <x:v>0</x:v>
      </x:c>
      <x:c r="AD944" s="34" t="n">
        <x:f>EOMONTH(WorkforceData[[#This Row],[Training Date]],0)</x:f>
        <x:v>45747</x:v>
      </x:c>
      <x:c r="AE944" s="32" t="str">
        <x:f>IF(M944&lt;H944,"Existing Employee",IF(U944="","No Assignment",IF(V944=0,"0 Days",IF(V944&lt;=7,"1-7 Days",IF(V944&lt;=14,"8-14 Days",IF(V944&lt;=21,"15-21 Days","21+ Days"))))))</x:f>
        <x:v>Existing Employee</x:v>
      </x:c>
      <x:c r="AF94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944" s="33" t="n">
        <x:f>--(WorkforceData[[#This Row],[Total Days Worked]]&gt;=121)</x:f>
        <x:v>1</x:v>
      </x:c>
    </x:row>
    <x:row r="945">
      <x:c r="A945" s="236" t="str">
        <x:v>TRN-0944</x:v>
      </x:c>
      <x:c r="B945" s="243"/>
      <x:c r="C945" s="243"/>
      <x:c r="D945" s="243"/>
      <x:c r="E945" s="243"/>
      <x:c r="F945" s="14" t="str">
        <x:v>Recruiter C</x:v>
      </x:c>
      <x:c r="G945" s="14" t="str">
        <x:v>Training Center A</x:v>
      </x:c>
      <x:c r="H945" s="28">
        <x:v>45734</x:v>
      </x:c>
      <x:c r="I945" s="14">
        <x:v>2025</x:v>
      </x:c>
      <x:c r="J945" s="14" t="s">
        <x:v>130</x:v>
      </x:c>
      <x:c r="K945" s="14">
        <x:v>17</x:v>
      </x:c>
      <x:c r="L945" s="29" t="s">
        <x:v>119</x:v>
      </x:c>
      <x:c r="M945" s="28">
        <x:v>45724</x:v>
      </x:c>
      <x:c r="N945" s="14"/>
      <x:c r="O945" s="14">
        <x:v>527</x:v>
      </x:c>
      <x:c r="P945" s="14" t="s">
        <x:v>120</x:v>
      </x:c>
      <x:c r="Q945" s="14" t="s">
        <x:v>38</x:v>
      </x:c>
      <x:c r="R945" s="14"/>
      <x:c r="S945" s="14" t="s">
        <x:v>108</x:v>
      </x:c>
      <x:c r="T945" s="14" t="str">
        <x:v>Region E</x:v>
      </x:c>
      <x:c r="U945" s="28">
        <x:v>45741</x:v>
      </x:c>
      <x:c r="V945" s="30">
        <x:v>7</x:v>
      </x:c>
      <x:c r="W945" s="14" t="s">
        <x:v>109</x:v>
      </x:c>
      <x:c r="X945" s="14" t="s">
        <x:v>106</x:v>
      </x:c>
      <x:c r="Y945" s="32" t="str">
        <x:v>TRN-0944|20250318</x:v>
      </x:c>
      <x:c r="Z945" s="32" t="str" cm="1">
        <x:f t="array" ref="Z94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945" s="33" t="n">
        <x:f>--OR(WorkforceData[[#This Row],[Status]]="Active",WorkforceData[[#This Row],[Promoted]]="Yes",WorkforceData[[#This Row],[Total Days Worked]]&gt;=121)</x:f>
        <x:v>1</x:v>
      </x:c>
      <x:c r="AB945" s="33" t="n">
        <x:f>IF(AND(Q945="Terminated",R945="",O945=0),1,0)</x:f>
        <x:v>0</x:v>
      </x:c>
      <x:c r="AC945" s="33" t="n">
        <x:f>--OR(WorkforceData[[#This Row],[Status]]="Resigned",WorkforceData[[#This Row],[Status After Training]]="Withdrew")</x:f>
        <x:v>0</x:v>
      </x:c>
      <x:c r="AD945" s="34" t="n">
        <x:f>EOMONTH(WorkforceData[[#This Row],[Training Date]],0)</x:f>
        <x:v>45747</x:v>
      </x:c>
      <x:c r="AE945" s="32" t="str">
        <x:f>IF(M945&lt;H945,"Existing Employee",IF(U945="","No Assignment",IF(V945=0,"0 Days",IF(V945&lt;=7,"1-7 Days",IF(V945&lt;=14,"8-14 Days",IF(V945&lt;=21,"15-21 Days","21+ Days"))))))</x:f>
        <x:v>Existing Employee</x:v>
      </x:c>
      <x:c r="AF94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945" s="33" t="n">
        <x:f>--(WorkforceData[[#This Row],[Total Days Worked]]&gt;=121)</x:f>
        <x:v>1</x:v>
      </x:c>
    </x:row>
    <x:row r="946">
      <x:c r="A946" s="236" t="str">
        <x:v>TRN-0945</x:v>
      </x:c>
      <x:c r="B946" s="243"/>
      <x:c r="C946" s="243"/>
      <x:c r="D946" s="243"/>
      <x:c r="E946" s="243"/>
      <x:c r="F946" s="14" t="str">
        <x:v>Recruiter D</x:v>
      </x:c>
      <x:c r="G946" s="14" t="str">
        <x:v>Training Center A</x:v>
      </x:c>
      <x:c r="H946" s="28">
        <x:v>45734</x:v>
      </x:c>
      <x:c r="I946" s="14">
        <x:v>2025</x:v>
      </x:c>
      <x:c r="J946" s="14" t="s">
        <x:v>130</x:v>
      </x:c>
      <x:c r="K946" s="14">
        <x:v>17</x:v>
      </x:c>
      <x:c r="L946" s="29" t="s">
        <x:v>119</x:v>
      </x:c>
      <x:c r="M946" s="28">
        <x:v>45733</x:v>
      </x:c>
      <x:c r="N946" s="28">
        <x:v>46019</x:v>
      </x:c>
      <x:c r="O946" s="14">
        <x:v>286</x:v>
      </x:c>
      <x:c r="P946" s="14" t="s">
        <x:v>107</x:v>
      </x:c>
      <x:c r="Q946" s="14" t="s">
        <x:v>103</x:v>
      </x:c>
      <x:c r="R946" s="14" t="s">
        <x:v>104</x:v>
      </x:c>
      <x:c r="S946" s="14" t="s">
        <x:v>108</x:v>
      </x:c>
      <x:c r="T946" s="14" t="str">
        <x:v>Region B</x:v>
      </x:c>
      <x:c r="U946" s="28">
        <x:v>45752</x:v>
      </x:c>
      <x:c r="V946" s="30">
        <x:v>18</x:v>
      </x:c>
      <x:c r="W946" s="14" t="s">
        <x:v>112</x:v>
      </x:c>
      <x:c r="X946" s="14" t="s">
        <x:v>106</x:v>
      </x:c>
      <x:c r="Y946" s="32" t="str">
        <x:v>TRN-0945|20250318</x:v>
      </x:c>
      <x:c r="Z946" s="32" t="str" cm="1">
        <x:f t="array" ref="Z94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946" s="33" t="n">
        <x:f>--OR(WorkforceData[[#This Row],[Status]]="Active",WorkforceData[[#This Row],[Promoted]]="Yes",WorkforceData[[#This Row],[Total Days Worked]]&gt;=121)</x:f>
        <x:v>1</x:v>
      </x:c>
      <x:c r="AB946" s="33" t="n">
        <x:f>IF(AND(Q946="Terminated",R946="",O946=0),1,0)</x:f>
        <x:v>0</x:v>
      </x:c>
      <x:c r="AC946" s="33" t="n">
        <x:f>--OR(WorkforceData[[#This Row],[Status]]="Resigned",WorkforceData[[#This Row],[Status After Training]]="Withdrew")</x:f>
        <x:v>1</x:v>
      </x:c>
      <x:c r="AD946" s="34" t="n">
        <x:f>EOMONTH(WorkforceData[[#This Row],[Training Date]],0)</x:f>
        <x:v>45747</x:v>
      </x:c>
      <x:c r="AE946" s="32" t="str">
        <x:f>IF(M946&lt;H946,"Existing Employee",IF(U946="","No Assignment",IF(V946=0,"0 Days",IF(V946&lt;=7,"1-7 Days",IF(V946&lt;=14,"8-14 Days",IF(V946&lt;=21,"15-21 Days","21+ Days"))))))</x:f>
        <x:v>Existing Employee</x:v>
      </x:c>
      <x:c r="AF94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946" s="33" t="n">
        <x:f>--(WorkforceData[[#This Row],[Total Days Worked]]&gt;=121)</x:f>
        <x:v>1</x:v>
      </x:c>
    </x:row>
    <x:row r="947">
      <x:c r="A947" s="236" t="str">
        <x:v>TRN-0946</x:v>
      </x:c>
      <x:c r="B947" s="243"/>
      <x:c r="C947" s="243"/>
      <x:c r="D947" s="243"/>
      <x:c r="E947" s="243"/>
      <x:c r="F947" s="14" t="str">
        <x:v>Recruiter D</x:v>
      </x:c>
      <x:c r="G947" s="14" t="str">
        <x:v>Training Center A</x:v>
      </x:c>
      <x:c r="H947" s="28">
        <x:v>45734</x:v>
      </x:c>
      <x:c r="I947" s="14">
        <x:v>2025</x:v>
      </x:c>
      <x:c r="J947" s="14" t="s">
        <x:v>130</x:v>
      </x:c>
      <x:c r="K947" s="14">
        <x:v>17</x:v>
      </x:c>
      <x:c r="L947" s="29" t="s">
        <x:v>119</x:v>
      </x:c>
      <x:c r="M947" s="28">
        <x:v>45732</x:v>
      </x:c>
      <x:c r="N947" s="14"/>
      <x:c r="O947" s="14">
        <x:v>519</x:v>
      </x:c>
      <x:c r="P947" s="14" t="s">
        <x:v>120</x:v>
      </x:c>
      <x:c r="Q947" s="14" t="s">
        <x:v>25</x:v>
      </x:c>
      <x:c r="R947" s="14"/>
      <x:c r="S947" s="14" t="s">
        <x:v>108</x:v>
      </x:c>
      <x:c r="T947" s="14" t="str">
        <x:v>Region E</x:v>
      </x:c>
      <x:c r="U947" s="28">
        <x:v>45740</x:v>
      </x:c>
      <x:c r="V947" s="30">
        <x:v>6</x:v>
      </x:c>
      <x:c r="W947" s="14" t="s">
        <x:v>109</x:v>
      </x:c>
      <x:c r="X947" s="14" t="s">
        <x:v>106</x:v>
      </x:c>
      <x:c r="Y947" s="32" t="str">
        <x:v>TRN-0946|20250318</x:v>
      </x:c>
      <x:c r="Z947" s="32" t="str" cm="1">
        <x:f t="array" ref="Z94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947" s="33" t="n">
        <x:f>--OR(WorkforceData[[#This Row],[Status]]="Active",WorkforceData[[#This Row],[Promoted]]="Yes",WorkforceData[[#This Row],[Total Days Worked]]&gt;=121)</x:f>
        <x:v>1</x:v>
      </x:c>
      <x:c r="AB947" s="33" t="n">
        <x:f>IF(AND(Q947="Terminated",R947="",O947=0),1,0)</x:f>
        <x:v>0</x:v>
      </x:c>
      <x:c r="AC947" s="33" t="n">
        <x:f>--OR(WorkforceData[[#This Row],[Status]]="Resigned",WorkforceData[[#This Row],[Status After Training]]="Withdrew")</x:f>
        <x:v>0</x:v>
      </x:c>
      <x:c r="AD947" s="34" t="n">
        <x:f>EOMONTH(WorkforceData[[#This Row],[Training Date]],0)</x:f>
        <x:v>45747</x:v>
      </x:c>
      <x:c r="AE947" s="32" t="str">
        <x:f>IF(M947&lt;H947,"Existing Employee",IF(U947="","No Assignment",IF(V947=0,"0 Days",IF(V947&lt;=7,"1-7 Days",IF(V947&lt;=14,"8-14 Days",IF(V947&lt;=21,"15-21 Days","21+ Days"))))))</x:f>
        <x:v>Existing Employee</x:v>
      </x:c>
      <x:c r="AF94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947" s="33" t="n">
        <x:f>--(WorkforceData[[#This Row],[Total Days Worked]]&gt;=121)</x:f>
        <x:v>1</x:v>
      </x:c>
    </x:row>
    <x:row r="948">
      <x:c r="A948" s="236" t="str">
        <x:v>TRN-0947</x:v>
      </x:c>
      <x:c r="B948" s="243"/>
      <x:c r="C948" s="243"/>
      <x:c r="D948" s="243"/>
      <x:c r="E948" s="243"/>
      <x:c r="F948" s="14" t="str">
        <x:v>Recruiter B</x:v>
      </x:c>
      <x:c r="G948" s="14" t="str">
        <x:v>Training Center A</x:v>
      </x:c>
      <x:c r="H948" s="28">
        <x:v>45734</x:v>
      </x:c>
      <x:c r="I948" s="14">
        <x:v>2025</x:v>
      </x:c>
      <x:c r="J948" s="14" t="s">
        <x:v>130</x:v>
      </x:c>
      <x:c r="K948" s="14">
        <x:v>17</x:v>
      </x:c>
      <x:c r="L948" s="29" t="s">
        <x:v>119</x:v>
      </x:c>
      <x:c r="M948" s="28">
        <x:v>45734</x:v>
      </x:c>
      <x:c r="N948" s="14"/>
      <x:c r="O948" s="14">
        <x:v>517</x:v>
      </x:c>
      <x:c r="P948" s="14" t="s">
        <x:v>120</x:v>
      </x:c>
      <x:c r="Q948" s="14" t="s">
        <x:v>25</x:v>
      </x:c>
      <x:c r="R948" s="14"/>
      <x:c r="S948" s="14" t="s">
        <x:v>108</x:v>
      </x:c>
      <x:c r="T948" s="14" t="str">
        <x:v>Region B</x:v>
      </x:c>
      <x:c r="U948" s="28">
        <x:v>45831</x:v>
      </x:c>
      <x:c r="V948" s="30">
        <x:v>97</x:v>
      </x:c>
      <x:c r="W948" s="14" t="s">
        <x:v>114</x:v>
      </x:c>
      <x:c r="X948" s="14" t="s">
        <x:v>117</x:v>
      </x:c>
      <x:c r="Y948" s="32" t="str">
        <x:v>TRN-0947|20250318</x:v>
      </x:c>
      <x:c r="Z948" s="32" t="str" cm="1">
        <x:f t="array" ref="Z94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948" s="33" t="n">
        <x:f>--OR(WorkforceData[[#This Row],[Status]]="Active",WorkforceData[[#This Row],[Promoted]]="Yes",WorkforceData[[#This Row],[Total Days Worked]]&gt;=121)</x:f>
        <x:v>1</x:v>
      </x:c>
      <x:c r="AB948" s="33" t="n">
        <x:f>IF(AND(Q948="Terminated",R948="",O948=0),1,0)</x:f>
        <x:v>0</x:v>
      </x:c>
      <x:c r="AC948" s="33" t="n">
        <x:f>--OR(WorkforceData[[#This Row],[Status]]="Resigned",WorkforceData[[#This Row],[Status After Training]]="Withdrew")</x:f>
        <x:v>0</x:v>
      </x:c>
      <x:c r="AD948" s="34" t="n">
        <x:f>EOMONTH(WorkforceData[[#This Row],[Training Date]],0)</x:f>
        <x:v>45747</x:v>
      </x:c>
      <x:c r="AE948" s="32" t="str">
        <x:f>IF(M948&lt;H948,"Existing Employee",IF(U948="","No Assignment",IF(V948=0,"0 Days",IF(V948&lt;=7,"1-7 Days",IF(V948&lt;=14,"8-14 Days",IF(V948&lt;=21,"15-21 Days","21+ Days"))))))</x:f>
        <x:v>21+ Days</x:v>
      </x:c>
      <x:c r="AF94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948" s="33" t="n">
        <x:f>--(WorkforceData[[#This Row],[Total Days Worked]]&gt;=121)</x:f>
        <x:v>1</x:v>
      </x:c>
    </x:row>
    <x:row r="949">
      <x:c r="A949" s="236" t="str">
        <x:v>TRN-0948</x:v>
      </x:c>
      <x:c r="B949" s="243"/>
      <x:c r="C949" s="243"/>
      <x:c r="D949" s="243"/>
      <x:c r="E949" s="243"/>
      <x:c r="F949" s="14" t="str">
        <x:v>Recruiter E</x:v>
      </x:c>
      <x:c r="G949" s="14" t="str">
        <x:v>Training Center A</x:v>
      </x:c>
      <x:c r="H949" s="28">
        <x:v>45595</x:v>
      </x:c>
      <x:c r="I949" s="14">
        <x:v>2024</x:v>
      </x:c>
      <x:c r="J949" s="14" t="s">
        <x:v>100</x:v>
      </x:c>
      <x:c r="K949" s="14">
        <x:v>18</x:v>
      </x:c>
      <x:c r="L949" s="29" t="s">
        <x:v>119</x:v>
      </x:c>
      <x:c r="M949" s="28">
        <x:v>45588</x:v>
      </x:c>
      <x:c r="N949" s="28">
        <x:v>45618</x:v>
      </x:c>
      <x:c r="O949" s="14">
        <x:v>30</x:v>
      </x:c>
      <x:c r="P949" s="14" t="s">
        <x:v>102</x:v>
      </x:c>
      <x:c r="Q949" s="14" t="s">
        <x:v>103</x:v>
      </x:c>
      <x:c r="R949" s="14" t="s">
        <x:v>104</x:v>
      </x:c>
      <x:c r="S949" s="14" t="s">
        <x:v>105</x:v>
      </x:c>
      <x:c r="T949" s="14" t="str">
        <x:v>Region D</x:v>
      </x:c>
      <x:c r="U949" s="28">
        <x:v>45595</x:v>
      </x:c>
      <x:c r="V949" s="30">
        <x:v>0</x:v>
      </x:c>
      <x:c r="W949" s="14" t="s">
        <x:v>109</x:v>
      </x:c>
      <x:c r="X949" s="14" t="s">
        <x:v>106</x:v>
      </x:c>
      <x:c r="Y949" s="32" t="str">
        <x:v>TRN-0948|20241030</x:v>
      </x:c>
      <x:c r="Z949" s="32" t="str" cm="1">
        <x:f t="array" ref="Z94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949" s="33" t="n">
        <x:f>--OR(WorkforceData[[#This Row],[Status]]="Active",WorkforceData[[#This Row],[Promoted]]="Yes",WorkforceData[[#This Row],[Total Days Worked]]&gt;=121)</x:f>
        <x:v>0</x:v>
      </x:c>
      <x:c r="AB949" s="33" t="n">
        <x:f>IF(AND(Q949="Terminated",R949="",O949=0),1,0)</x:f>
        <x:v>0</x:v>
      </x:c>
      <x:c r="AC949" s="33" t="n">
        <x:f>--OR(WorkforceData[[#This Row],[Status]]="Resigned",WorkforceData[[#This Row],[Status After Training]]="Withdrew")</x:f>
        <x:v>1</x:v>
      </x:c>
      <x:c r="AD949" s="34" t="n">
        <x:f>EOMONTH(WorkforceData[[#This Row],[Training Date]],0)</x:f>
        <x:v>45596</x:v>
      </x:c>
      <x:c r="AE949" s="32" t="str">
        <x:f>IF(M949&lt;H949,"Existing Employee",IF(U949="","No Assignment",IF(V949=0,"0 Days",IF(V949&lt;=7,"1-7 Days",IF(V949&lt;=14,"8-14 Days",IF(V949&lt;=21,"15-21 Days","21+ Days"))))))</x:f>
        <x:v>Existing Employee</x:v>
      </x:c>
      <x:c r="AF94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949" s="33" t="n">
        <x:f>--(WorkforceData[[#This Row],[Total Days Worked]]&gt;=121)</x:f>
        <x:v>0</x:v>
      </x:c>
    </x:row>
    <x:row r="950">
      <x:c r="A950" s="236" t="str">
        <x:v>TRN-0949</x:v>
      </x:c>
      <x:c r="B950" s="243"/>
      <x:c r="C950" s="243"/>
      <x:c r="D950" s="243"/>
      <x:c r="E950" s="243"/>
      <x:c r="F950" s="14" t="str">
        <x:v>Recruiter A</x:v>
      </x:c>
      <x:c r="G950" s="14" t="str">
        <x:v>Training Center A</x:v>
      </x:c>
      <x:c r="H950" s="28">
        <x:v>45595</x:v>
      </x:c>
      <x:c r="I950" s="14">
        <x:v>2024</x:v>
      </x:c>
      <x:c r="J950" s="14" t="s">
        <x:v>100</x:v>
      </x:c>
      <x:c r="K950" s="14">
        <x:v>18</x:v>
      </x:c>
      <x:c r="L950" s="29" t="s">
        <x:v>119</x:v>
      </x:c>
      <x:c r="M950" s="28">
        <x:v>45595</x:v>
      </x:c>
      <x:c r="N950" s="14"/>
      <x:c r="O950" s="14">
        <x:v>656</x:v>
      </x:c>
      <x:c r="P950" s="14" t="s">
        <x:v>120</x:v>
      </x:c>
      <x:c r="Q950" s="14" t="s">
        <x:v>25</x:v>
      </x:c>
      <x:c r="R950" s="14"/>
      <x:c r="S950" s="14" t="s">
        <x:v>108</x:v>
      </x:c>
      <x:c r="T950" s="14" t="str">
        <x:v>Region C</x:v>
      </x:c>
      <x:c r="U950" s="28">
        <x:v>45606</x:v>
      </x:c>
      <x:c r="V950" s="30">
        <x:v>11</x:v>
      </x:c>
      <x:c r="W950" s="14" t="s">
        <x:v>45</x:v>
      </x:c>
      <x:c r="X950" s="14" t="s">
        <x:v>106</x:v>
      </x:c>
      <x:c r="Y950" s="32" t="str">
        <x:v>TRN-0949|20241030</x:v>
      </x:c>
      <x:c r="Z950" s="32" t="str" cm="1">
        <x:f t="array" ref="Z95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950" s="33" t="n">
        <x:f>--OR(WorkforceData[[#This Row],[Status]]="Active",WorkforceData[[#This Row],[Promoted]]="Yes",WorkforceData[[#This Row],[Total Days Worked]]&gt;=121)</x:f>
        <x:v>1</x:v>
      </x:c>
      <x:c r="AB950" s="33" t="n">
        <x:f>IF(AND(Q950="Terminated",R950="",O950=0),1,0)</x:f>
        <x:v>0</x:v>
      </x:c>
      <x:c r="AC950" s="33" t="n">
        <x:f>--OR(WorkforceData[[#This Row],[Status]]="Resigned",WorkforceData[[#This Row],[Status After Training]]="Withdrew")</x:f>
        <x:v>0</x:v>
      </x:c>
      <x:c r="AD950" s="34" t="n">
        <x:f>EOMONTH(WorkforceData[[#This Row],[Training Date]],0)</x:f>
        <x:v>45596</x:v>
      </x:c>
      <x:c r="AE950" s="32" t="str">
        <x:f>IF(M950&lt;H950,"Existing Employee",IF(U950="","No Assignment",IF(V950=0,"0 Days",IF(V950&lt;=7,"1-7 Days",IF(V950&lt;=14,"8-14 Days",IF(V950&lt;=21,"15-21 Days","21+ Days"))))))</x:f>
        <x:v>8-14 Days</x:v>
      </x:c>
      <x:c r="AF95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950" s="33" t="n">
        <x:f>--(WorkforceData[[#This Row],[Total Days Worked]]&gt;=121)</x:f>
        <x:v>1</x:v>
      </x:c>
    </x:row>
    <x:row r="951">
      <x:c r="A951" s="236" t="str">
        <x:v>TRN-0950</x:v>
      </x:c>
      <x:c r="B951" s="243"/>
      <x:c r="C951" s="243"/>
      <x:c r="D951" s="243"/>
      <x:c r="E951" s="243"/>
      <x:c r="F951" s="14" t="str">
        <x:v>Recruiter G</x:v>
      </x:c>
      <x:c r="G951" s="14" t="str">
        <x:v>Training Center A</x:v>
      </x:c>
      <x:c r="H951" s="28">
        <x:v>45595</x:v>
      </x:c>
      <x:c r="I951" s="14">
        <x:v>2024</x:v>
      </x:c>
      <x:c r="J951" s="14" t="s">
        <x:v>100</x:v>
      </x:c>
      <x:c r="K951" s="14">
        <x:v>18</x:v>
      </x:c>
      <x:c r="L951" s="29" t="s">
        <x:v>119</x:v>
      </x:c>
      <x:c r="M951" s="28">
        <x:v>45588</x:v>
      </x:c>
      <x:c r="N951" s="14"/>
      <x:c r="O951" s="14">
        <x:v>663</x:v>
      </x:c>
      <x:c r="P951" s="14" t="s">
        <x:v>120</x:v>
      </x:c>
      <x:c r="Q951" s="14" t="s">
        <x:v>25</x:v>
      </x:c>
      <x:c r="R951" s="14"/>
      <x:c r="S951" s="14" t="s">
        <x:v>105</x:v>
      </x:c>
      <x:c r="T951" s="14" t="str">
        <x:v>Region B</x:v>
      </x:c>
      <x:c r="U951" s="28">
        <x:v>45694</x:v>
      </x:c>
      <x:c r="V951" s="30">
        <x:v>99</x:v>
      </x:c>
      <x:c r="W951" s="14" t="s">
        <x:v>114</x:v>
      </x:c>
      <x:c r="X951" s="14" t="s">
        <x:v>115</x:v>
      </x:c>
      <x:c r="Y951" s="32" t="str">
        <x:v>TRN-0950|20241030</x:v>
      </x:c>
      <x:c r="Z951" s="32" t="str" cm="1">
        <x:f t="array" ref="Z95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951" s="33" t="n">
        <x:f>--OR(WorkforceData[[#This Row],[Status]]="Active",WorkforceData[[#This Row],[Promoted]]="Yes",WorkforceData[[#This Row],[Total Days Worked]]&gt;=121)</x:f>
        <x:v>1</x:v>
      </x:c>
      <x:c r="AB951" s="33" t="n">
        <x:f>IF(AND(Q951="Terminated",R951="",O951=0),1,0)</x:f>
        <x:v>0</x:v>
      </x:c>
      <x:c r="AC951" s="33" t="n">
        <x:f>--OR(WorkforceData[[#This Row],[Status]]="Resigned",WorkforceData[[#This Row],[Status After Training]]="Withdrew")</x:f>
        <x:v>1</x:v>
      </x:c>
      <x:c r="AD951" s="34" t="n">
        <x:f>EOMONTH(WorkforceData[[#This Row],[Training Date]],0)</x:f>
        <x:v>45596</x:v>
      </x:c>
      <x:c r="AE951" s="32" t="str">
        <x:f>IF(M951&lt;H951,"Existing Employee",IF(U951="","No Assignment",IF(V951=0,"0 Days",IF(V951&lt;=7,"1-7 Days",IF(V951&lt;=14,"8-14 Days",IF(V951&lt;=21,"15-21 Days","21+ Days"))))))</x:f>
        <x:v>Existing Employee</x:v>
      </x:c>
      <x:c r="AF95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951" s="33" t="n">
        <x:f>--(WorkforceData[[#This Row],[Total Days Worked]]&gt;=121)</x:f>
        <x:v>1</x:v>
      </x:c>
    </x:row>
    <x:row r="952">
      <x:c r="A952" s="236" t="str">
        <x:v>TRN-0951</x:v>
      </x:c>
      <x:c r="B952" s="243"/>
      <x:c r="C952" s="243"/>
      <x:c r="D952" s="243"/>
      <x:c r="E952" s="243"/>
      <x:c r="F952" s="14" t="str">
        <x:v>Recruiter G</x:v>
      </x:c>
      <x:c r="G952" s="14" t="str">
        <x:v>Training Center A</x:v>
      </x:c>
      <x:c r="H952" s="28">
        <x:v>45595</x:v>
      </x:c>
      <x:c r="I952" s="14">
        <x:v>2024</x:v>
      </x:c>
      <x:c r="J952" s="14" t="s">
        <x:v>100</x:v>
      </x:c>
      <x:c r="K952" s="14">
        <x:v>18</x:v>
      </x:c>
      <x:c r="L952" s="29" t="s">
        <x:v>119</x:v>
      </x:c>
      <x:c r="M952" s="28">
        <x:v>45585</x:v>
      </x:c>
      <x:c r="N952" s="28">
        <x:v>45621</x:v>
      </x:c>
      <x:c r="O952" s="14">
        <x:v>36</x:v>
      </x:c>
      <x:c r="P952" s="14" t="s">
        <x:v>110</x:v>
      </x:c>
      <x:c r="Q952" s="14" t="s">
        <x:v>33</x:v>
      </x:c>
      <x:c r="R952" s="14" t="s">
        <x:v>116</x:v>
      </x:c>
      <x:c r="S952" s="14" t="s">
        <x:v>105</x:v>
      </x:c>
      <x:c r="T952" s="14" t="str">
        <x:v>Region D</x:v>
      </x:c>
      <x:c r="U952" s="28">
        <x:v>45599</x:v>
      </x:c>
      <x:c r="V952" s="30">
        <x:v>4</x:v>
      </x:c>
      <x:c r="W952" s="14" t="s">
        <x:v>109</x:v>
      </x:c>
      <x:c r="X952" s="14" t="s">
        <x:v>106</x:v>
      </x:c>
      <x:c r="Y952" s="32" t="str">
        <x:v>TRN-0951|20241030</x:v>
      </x:c>
      <x:c r="Z952" s="32" t="str" cm="1">
        <x:f t="array" ref="Z95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952" s="33" t="n">
        <x:f>--OR(WorkforceData[[#This Row],[Status]]="Active",WorkforceData[[#This Row],[Promoted]]="Yes",WorkforceData[[#This Row],[Total Days Worked]]&gt;=121)</x:f>
        <x:v>0</x:v>
      </x:c>
      <x:c r="AB952" s="33" t="n">
        <x:f>IF(AND(Q952="Terminated",R952="",O952=0),1,0)</x:f>
        <x:v>0</x:v>
      </x:c>
      <x:c r="AC952" s="33" t="n">
        <x:f>--OR(WorkforceData[[#This Row],[Status]]="Resigned",WorkforceData[[#This Row],[Status After Training]]="Withdrew")</x:f>
        <x:v>0</x:v>
      </x:c>
      <x:c r="AD952" s="34" t="n">
        <x:f>EOMONTH(WorkforceData[[#This Row],[Training Date]],0)</x:f>
        <x:v>45596</x:v>
      </x:c>
      <x:c r="AE952" s="32" t="str">
        <x:f>IF(M952&lt;H952,"Existing Employee",IF(U952="","No Assignment",IF(V952=0,"0 Days",IF(V952&lt;=7,"1-7 Days",IF(V952&lt;=14,"8-14 Days",IF(V952&lt;=21,"15-21 Days","21+ Days"))))))</x:f>
        <x:v>Existing Employee</x:v>
      </x:c>
      <x:c r="AF95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952" s="33" t="n">
        <x:f>--(WorkforceData[[#This Row],[Total Days Worked]]&gt;=121)</x:f>
        <x:v>0</x:v>
      </x:c>
    </x:row>
    <x:row r="953">
      <x:c r="A953" s="236" t="str">
        <x:v>TRN-0952</x:v>
      </x:c>
      <x:c r="B953" s="243"/>
      <x:c r="C953" s="243"/>
      <x:c r="D953" s="243"/>
      <x:c r="E953" s="243"/>
      <x:c r="F953" s="14" t="str">
        <x:v>Recruiter G</x:v>
      </x:c>
      <x:c r="G953" s="14" t="str">
        <x:v>Training Center A</x:v>
      </x:c>
      <x:c r="H953" s="28">
        <x:v>45595</x:v>
      </x:c>
      <x:c r="I953" s="14">
        <x:v>2024</x:v>
      </x:c>
      <x:c r="J953" s="14" t="s">
        <x:v>100</x:v>
      </x:c>
      <x:c r="K953" s="14">
        <x:v>18</x:v>
      </x:c>
      <x:c r="L953" s="29" t="s">
        <x:v>119</x:v>
      </x:c>
      <x:c r="M953" s="28">
        <x:v>45594</x:v>
      </x:c>
      <x:c r="N953" s="28">
        <x:v>46042</x:v>
      </x:c>
      <x:c r="O953" s="14">
        <x:v>448</x:v>
      </x:c>
      <x:c r="P953" s="14" t="s">
        <x:v>120</x:v>
      </x:c>
      <x:c r="Q953" s="14" t="s">
        <x:v>103</x:v>
      </x:c>
      <x:c r="R953" s="14" t="s">
        <x:v>104</x:v>
      </x:c>
      <x:c r="S953" s="14" t="s">
        <x:v>108</x:v>
      </x:c>
      <x:c r="T953" s="14" t="str">
        <x:v>Region E</x:v>
      </x:c>
      <x:c r="U953" s="28">
        <x:v>45606</x:v>
      </x:c>
      <x:c r="V953" s="30">
        <x:v>11</x:v>
      </x:c>
      <x:c r="W953" s="14" t="s">
        <x:v>45</x:v>
      </x:c>
      <x:c r="X953" s="14" t="s">
        <x:v>106</x:v>
      </x:c>
      <x:c r="Y953" s="32" t="str">
        <x:v>TRN-0952|20241030</x:v>
      </x:c>
      <x:c r="Z953" s="32" t="str" cm="1">
        <x:f t="array" ref="Z95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953" s="33" t="n">
        <x:f>--OR(WorkforceData[[#This Row],[Status]]="Active",WorkforceData[[#This Row],[Promoted]]="Yes",WorkforceData[[#This Row],[Total Days Worked]]&gt;=121)</x:f>
        <x:v>1</x:v>
      </x:c>
      <x:c r="AB953" s="33" t="n">
        <x:f>IF(AND(Q953="Terminated",R953="",O953=0),1,0)</x:f>
        <x:v>0</x:v>
      </x:c>
      <x:c r="AC953" s="33" t="n">
        <x:f>--OR(WorkforceData[[#This Row],[Status]]="Resigned",WorkforceData[[#This Row],[Status After Training]]="Withdrew")</x:f>
        <x:v>1</x:v>
      </x:c>
      <x:c r="AD953" s="34" t="n">
        <x:f>EOMONTH(WorkforceData[[#This Row],[Training Date]],0)</x:f>
        <x:v>45596</x:v>
      </x:c>
      <x:c r="AE953" s="32" t="str">
        <x:f>IF(M953&lt;H953,"Existing Employee",IF(U953="","No Assignment",IF(V953=0,"0 Days",IF(V953&lt;=7,"1-7 Days",IF(V953&lt;=14,"8-14 Days",IF(V953&lt;=21,"15-21 Days","21+ Days"))))))</x:f>
        <x:v>Existing Employee</x:v>
      </x:c>
      <x:c r="AF95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953" s="33" t="n">
        <x:f>--(WorkforceData[[#This Row],[Total Days Worked]]&gt;=121)</x:f>
        <x:v>1</x:v>
      </x:c>
    </x:row>
    <x:row r="954">
      <x:c r="A954" s="236" t="str">
        <x:v>TRN-0953</x:v>
      </x:c>
      <x:c r="B954" s="243"/>
      <x:c r="C954" s="243"/>
      <x:c r="D954" s="243"/>
      <x:c r="E954" s="243"/>
      <x:c r="F954" s="14" t="str">
        <x:v>Recruiter F</x:v>
      </x:c>
      <x:c r="G954" s="14" t="str">
        <x:v>Training Center A</x:v>
      </x:c>
      <x:c r="H954" s="28">
        <x:v>45595</x:v>
      </x:c>
      <x:c r="I954" s="14">
        <x:v>2024</x:v>
      </x:c>
      <x:c r="J954" s="14" t="s">
        <x:v>100</x:v>
      </x:c>
      <x:c r="K954" s="14">
        <x:v>18</x:v>
      </x:c>
      <x:c r="L954" s="29" t="s">
        <x:v>119</x:v>
      </x:c>
      <x:c r="M954" s="28">
        <x:v>45595</x:v>
      </x:c>
      <x:c r="N954" s="28">
        <x:v>46251</x:v>
      </x:c>
      <x:c r="O954" s="14">
        <x:v>656</x:v>
      </x:c>
      <x:c r="P954" s="14" t="s">
        <x:v>120</x:v>
      </x:c>
      <x:c r="Q954" s="14" t="s">
        <x:v>103</x:v>
      </x:c>
      <x:c r="R954" s="14" t="s">
        <x:v>111</x:v>
      </x:c>
      <x:c r="S954" s="14" t="s">
        <x:v>108</x:v>
      </x:c>
      <x:c r="T954" s="14" t="str">
        <x:v>Region B</x:v>
      </x:c>
      <x:c r="U954" s="28">
        <x:v>45599</x:v>
      </x:c>
      <x:c r="V954" s="30">
        <x:v>4</x:v>
      </x:c>
      <x:c r="W954" s="14" t="s">
        <x:v>109</x:v>
      </x:c>
      <x:c r="X954" s="14" t="s">
        <x:v>106</x:v>
      </x:c>
      <x:c r="Y954" s="32" t="str">
        <x:v>TRN-0953|20241030</x:v>
      </x:c>
      <x:c r="Z954" s="32" t="str" cm="1">
        <x:f t="array" ref="Z95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954" s="33" t="n">
        <x:f>--OR(WorkforceData[[#This Row],[Status]]="Active",WorkforceData[[#This Row],[Promoted]]="Yes",WorkforceData[[#This Row],[Total Days Worked]]&gt;=121)</x:f>
        <x:v>1</x:v>
      </x:c>
      <x:c r="AB954" s="33" t="n">
        <x:f>IF(AND(Q954="Terminated",R954="",O954=0),1,0)</x:f>
        <x:v>0</x:v>
      </x:c>
      <x:c r="AC954" s="33" t="n">
        <x:f>--OR(WorkforceData[[#This Row],[Status]]="Resigned",WorkforceData[[#This Row],[Status After Training]]="Withdrew")</x:f>
        <x:v>1</x:v>
      </x:c>
      <x:c r="AD954" s="34" t="n">
        <x:f>EOMONTH(WorkforceData[[#This Row],[Training Date]],0)</x:f>
        <x:v>45596</x:v>
      </x:c>
      <x:c r="AE954" s="32" t="str">
        <x:f>IF(M954&lt;H954,"Existing Employee",IF(U954="","No Assignment",IF(V954=0,"0 Days",IF(V954&lt;=7,"1-7 Days",IF(V954&lt;=14,"8-14 Days",IF(V954&lt;=21,"15-21 Days","21+ Days"))))))</x:f>
        <x:v>1-7 Days</x:v>
      </x:c>
      <x:c r="AF95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954" s="33" t="n">
        <x:f>--(WorkforceData[[#This Row],[Total Days Worked]]&gt;=121)</x:f>
        <x:v>1</x:v>
      </x:c>
    </x:row>
    <x:row r="955">
      <x:c r="A955" s="236" t="str">
        <x:v>TRN-0954</x:v>
      </x:c>
      <x:c r="B955" s="243"/>
      <x:c r="C955" s="243"/>
      <x:c r="D955" s="243"/>
      <x:c r="E955" s="243"/>
      <x:c r="F955" s="14" t="str">
        <x:v>Recruiter E</x:v>
      </x:c>
      <x:c r="G955" s="14" t="str">
        <x:v>Training Center A</x:v>
      </x:c>
      <x:c r="H955" s="28">
        <x:v>45595</x:v>
      </x:c>
      <x:c r="I955" s="14">
        <x:v>2024</x:v>
      </x:c>
      <x:c r="J955" s="14" t="s">
        <x:v>100</x:v>
      </x:c>
      <x:c r="K955" s="14">
        <x:v>18</x:v>
      </x:c>
      <x:c r="L955" s="29" t="s">
        <x:v>119</x:v>
      </x:c>
      <x:c r="M955" s="28">
        <x:v>45595</x:v>
      </x:c>
      <x:c r="N955" s="14"/>
      <x:c r="O955" s="14">
        <x:v>656</x:v>
      </x:c>
      <x:c r="P955" s="14" t="s">
        <x:v>120</x:v>
      </x:c>
      <x:c r="Q955" s="14" t="s">
        <x:v>25</x:v>
      </x:c>
      <x:c r="R955" s="14"/>
      <x:c r="S955" s="14" t="s">
        <x:v>108</x:v>
      </x:c>
      <x:c r="T955" s="14" t="str">
        <x:v>Region A</x:v>
      </x:c>
      <x:c r="U955" s="28">
        <x:v>45625</x:v>
      </x:c>
      <x:c r="V955" s="30">
        <x:v>30</x:v>
      </x:c>
      <x:c r="W955" s="14" t="s">
        <x:v>112</x:v>
      </x:c>
      <x:c r="X955" s="14" t="s">
        <x:v>106</x:v>
      </x:c>
      <x:c r="Y955" s="32" t="str">
        <x:v>TRN-0954|20241030</x:v>
      </x:c>
      <x:c r="Z955" s="32" t="str" cm="1">
        <x:f t="array" ref="Z95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955" s="33" t="n">
        <x:f>--OR(WorkforceData[[#This Row],[Status]]="Active",WorkforceData[[#This Row],[Promoted]]="Yes",WorkforceData[[#This Row],[Total Days Worked]]&gt;=121)</x:f>
        <x:v>1</x:v>
      </x:c>
      <x:c r="AB955" s="33" t="n">
        <x:f>IF(AND(Q955="Terminated",R955="",O955=0),1,0)</x:f>
        <x:v>0</x:v>
      </x:c>
      <x:c r="AC955" s="33" t="n">
        <x:f>--OR(WorkforceData[[#This Row],[Status]]="Resigned",WorkforceData[[#This Row],[Status After Training]]="Withdrew")</x:f>
        <x:v>0</x:v>
      </x:c>
      <x:c r="AD955" s="34" t="n">
        <x:f>EOMONTH(WorkforceData[[#This Row],[Training Date]],0)</x:f>
        <x:v>45596</x:v>
      </x:c>
      <x:c r="AE955" s="32" t="str">
        <x:f>IF(M955&lt;H955,"Existing Employee",IF(U955="","No Assignment",IF(V955=0,"0 Days",IF(V955&lt;=7,"1-7 Days",IF(V955&lt;=14,"8-14 Days",IF(V955&lt;=21,"15-21 Days","21+ Days"))))))</x:f>
        <x:v>21+ Days</x:v>
      </x:c>
      <x:c r="AF95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955" s="33" t="n">
        <x:f>--(WorkforceData[[#This Row],[Total Days Worked]]&gt;=121)</x:f>
        <x:v>1</x:v>
      </x:c>
    </x:row>
    <x:row r="956">
      <x:c r="A956" s="236" t="str">
        <x:v>TRN-0955</x:v>
      </x:c>
      <x:c r="B956" s="243"/>
      <x:c r="C956" s="243"/>
      <x:c r="D956" s="243"/>
      <x:c r="E956" s="243"/>
      <x:c r="F956" s="14" t="str">
        <x:v>Recruiter A</x:v>
      </x:c>
      <x:c r="G956" s="14" t="str">
        <x:v>Training Center A</x:v>
      </x:c>
      <x:c r="H956" s="28">
        <x:v>45595</x:v>
      </x:c>
      <x:c r="I956" s="14">
        <x:v>2024</x:v>
      </x:c>
      <x:c r="J956" s="14" t="s">
        <x:v>100</x:v>
      </x:c>
      <x:c r="K956" s="14">
        <x:v>18</x:v>
      </x:c>
      <x:c r="L956" s="29" t="s">
        <x:v>119</x:v>
      </x:c>
      <x:c r="M956" s="28">
        <x:v>45592</x:v>
      </x:c>
      <x:c r="N956" s="28">
        <x:v>45645</x:v>
      </x:c>
      <x:c r="O956" s="14">
        <x:v>53</x:v>
      </x:c>
      <x:c r="P956" s="14" t="s">
        <x:v>110</x:v>
      </x:c>
      <x:c r="Q956" s="14" t="s">
        <x:v>103</x:v>
      </x:c>
      <x:c r="R956" s="14" t="s">
        <x:v>111</x:v>
      </x:c>
      <x:c r="S956" s="14" t="s">
        <x:v>105</x:v>
      </x:c>
      <x:c r="T956" s="14"/>
      <x:c r="U956" s="28"/>
      <x:c r="V956" s="30"/>
      <x:c r="W956" s="14"/>
      <x:c r="X956" s="14" t="s">
        <x:v>71</x:v>
      </x:c>
      <x:c r="Y956" s="32" t="str">
        <x:v>TRN-0955|20241030</x:v>
      </x:c>
      <x:c r="Z956" s="32" t="str" cm="1">
        <x:f t="array" ref="Z95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956" s="33" t="n">
        <x:f>--OR(WorkforceData[[#This Row],[Status]]="Active",WorkforceData[[#This Row],[Promoted]]="Yes",WorkforceData[[#This Row],[Total Days Worked]]&gt;=121)</x:f>
        <x:v>0</x:v>
      </x:c>
      <x:c r="AB956" s="33" t="n">
        <x:f>IF(AND(Q956="Terminated",R956="",O956=0),1,0)</x:f>
        <x:v>0</x:v>
      </x:c>
      <x:c r="AC956" s="33" t="n">
        <x:f>--OR(WorkforceData[[#This Row],[Status]]="Resigned",WorkforceData[[#This Row],[Status After Training]]="Withdrew")</x:f>
        <x:v>1</x:v>
      </x:c>
      <x:c r="AD956" s="34" t="n">
        <x:f>EOMONTH(WorkforceData[[#This Row],[Training Date]],0)</x:f>
        <x:v>45596</x:v>
      </x:c>
      <x:c r="AE956" s="32" t="str">
        <x:f>IF(M956&lt;H956,"Existing Employee",IF(U956="","No Assignment",IF(V956=0,"0 Days",IF(V956&lt;=7,"1-7 Days",IF(V956&lt;=14,"8-14 Days",IF(V956&lt;=21,"15-21 Days","21+ Days"))))))</x:f>
        <x:v>Existing Employee</x:v>
      </x:c>
      <x:c r="AF95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956" s="33" t="n">
        <x:f>--(WorkforceData[[#This Row],[Total Days Worked]]&gt;=121)</x:f>
        <x:v>0</x:v>
      </x:c>
    </x:row>
    <x:row r="957">
      <x:c r="A957" s="236" t="str">
        <x:v>TRN-0956</x:v>
      </x:c>
      <x:c r="B957" s="243"/>
      <x:c r="C957" s="243"/>
      <x:c r="D957" s="243"/>
      <x:c r="E957" s="243"/>
      <x:c r="F957" s="14" t="str">
        <x:v>Recruiter B</x:v>
      </x:c>
      <x:c r="G957" s="14" t="str">
        <x:v>Training Center A</x:v>
      </x:c>
      <x:c r="H957" s="28">
        <x:v>45595</x:v>
      </x:c>
      <x:c r="I957" s="14">
        <x:v>2024</x:v>
      </x:c>
      <x:c r="J957" s="14" t="s">
        <x:v>100</x:v>
      </x:c>
      <x:c r="K957" s="14">
        <x:v>18</x:v>
      </x:c>
      <x:c r="L957" s="29" t="s">
        <x:v>119</x:v>
      </x:c>
      <x:c r="M957" s="28">
        <x:v>45590</x:v>
      </x:c>
      <x:c r="N957" s="14"/>
      <x:c r="O957" s="14">
        <x:v>661</x:v>
      </x:c>
      <x:c r="P957" s="14" t="s">
        <x:v>120</x:v>
      </x:c>
      <x:c r="Q957" s="14" t="s">
        <x:v>38</x:v>
      </x:c>
      <x:c r="R957" s="14"/>
      <x:c r="S957" s="14" t="s">
        <x:v>108</x:v>
      </x:c>
      <x:c r="T957" s="14" t="str">
        <x:v>Region A</x:v>
      </x:c>
      <x:c r="U957" s="28">
        <x:v>45701</x:v>
      </x:c>
      <x:c r="V957" s="30">
        <x:v>106</x:v>
      </x:c>
      <x:c r="W957" s="14" t="s">
        <x:v>114</x:v>
      </x:c>
      <x:c r="X957" s="14" t="s">
        <x:v>117</x:v>
      </x:c>
      <x:c r="Y957" s="32" t="str">
        <x:v>TRN-0956|20241030</x:v>
      </x:c>
      <x:c r="Z957" s="32" t="str" cm="1">
        <x:f t="array" ref="Z95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957" s="33" t="n">
        <x:f>--OR(WorkforceData[[#This Row],[Status]]="Active",WorkforceData[[#This Row],[Promoted]]="Yes",WorkforceData[[#This Row],[Total Days Worked]]&gt;=121)</x:f>
        <x:v>1</x:v>
      </x:c>
      <x:c r="AB957" s="33" t="n">
        <x:f>IF(AND(Q957="Terminated",R957="",O957=0),1,0)</x:f>
        <x:v>0</x:v>
      </x:c>
      <x:c r="AC957" s="33" t="n">
        <x:f>--OR(WorkforceData[[#This Row],[Status]]="Resigned",WorkforceData[[#This Row],[Status After Training]]="Withdrew")</x:f>
        <x:v>0</x:v>
      </x:c>
      <x:c r="AD957" s="34" t="n">
        <x:f>EOMONTH(WorkforceData[[#This Row],[Training Date]],0)</x:f>
        <x:v>45596</x:v>
      </x:c>
      <x:c r="AE957" s="32" t="str">
        <x:f>IF(M957&lt;H957,"Existing Employee",IF(U957="","No Assignment",IF(V957=0,"0 Days",IF(V957&lt;=7,"1-7 Days",IF(V957&lt;=14,"8-14 Days",IF(V957&lt;=21,"15-21 Days","21+ Days"))))))</x:f>
        <x:v>Existing Employee</x:v>
      </x:c>
      <x:c r="AF95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957" s="33" t="n">
        <x:f>--(WorkforceData[[#This Row],[Total Days Worked]]&gt;=121)</x:f>
        <x:v>1</x:v>
      </x:c>
    </x:row>
    <x:row r="958">
      <x:c r="A958" s="236" t="str">
        <x:v>TRN-0957</x:v>
      </x:c>
      <x:c r="B958" s="243"/>
      <x:c r="C958" s="243"/>
      <x:c r="D958" s="243"/>
      <x:c r="E958" s="243"/>
      <x:c r="F958" s="14" t="str">
        <x:v>Recruiter A</x:v>
      </x:c>
      <x:c r="G958" s="14" t="str">
        <x:v>Training Center A</x:v>
      </x:c>
      <x:c r="H958" s="28">
        <x:v>45595</x:v>
      </x:c>
      <x:c r="I958" s="14">
        <x:v>2024</x:v>
      </x:c>
      <x:c r="J958" s="14" t="s">
        <x:v>100</x:v>
      </x:c>
      <x:c r="K958" s="14">
        <x:v>18</x:v>
      </x:c>
      <x:c r="L958" s="29" t="s">
        <x:v>119</x:v>
      </x:c>
      <x:c r="M958" s="28">
        <x:v>45592</x:v>
      </x:c>
      <x:c r="N958" s="28">
        <x:v>45599</x:v>
      </x:c>
      <x:c r="O958" s="14">
        <x:v>7</x:v>
      </x:c>
      <x:c r="P958" s="14" t="s">
        <x:v>102</x:v>
      </x:c>
      <x:c r="Q958" s="14" t="s">
        <x:v>103</x:v>
      </x:c>
      <x:c r="R958" s="14" t="s">
        <x:v>104</x:v>
      </x:c>
      <x:c r="S958" s="14" t="s">
        <x:v>105</x:v>
      </x:c>
      <x:c r="T958" s="14" t="str">
        <x:v>Region A</x:v>
      </x:c>
      <x:c r="U958" s="28">
        <x:v>45599</x:v>
      </x:c>
      <x:c r="V958" s="30">
        <x:v>4</x:v>
      </x:c>
      <x:c r="W958" s="14" t="s">
        <x:v>109</x:v>
      </x:c>
      <x:c r="X958" s="14" t="s">
        <x:v>106</x:v>
      </x:c>
      <x:c r="Y958" s="32" t="str">
        <x:v>TRN-0957|20241030</x:v>
      </x:c>
      <x:c r="Z958" s="32" t="str" cm="1">
        <x:f t="array" ref="Z95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958" s="33" t="n">
        <x:f>--OR(WorkforceData[[#This Row],[Status]]="Active",WorkforceData[[#This Row],[Promoted]]="Yes",WorkforceData[[#This Row],[Total Days Worked]]&gt;=121)</x:f>
        <x:v>0</x:v>
      </x:c>
      <x:c r="AB958" s="33" t="n">
        <x:f>IF(AND(Q958="Terminated",R958="",O958=0),1,0)</x:f>
        <x:v>0</x:v>
      </x:c>
      <x:c r="AC958" s="33" t="n">
        <x:f>--OR(WorkforceData[[#This Row],[Status]]="Resigned",WorkforceData[[#This Row],[Status After Training]]="Withdrew")</x:f>
        <x:v>1</x:v>
      </x:c>
      <x:c r="AD958" s="34" t="n">
        <x:f>EOMONTH(WorkforceData[[#This Row],[Training Date]],0)</x:f>
        <x:v>45596</x:v>
      </x:c>
      <x:c r="AE958" s="32" t="str">
        <x:f>IF(M958&lt;H958,"Existing Employee",IF(U958="","No Assignment",IF(V958=0,"0 Days",IF(V958&lt;=7,"1-7 Days",IF(V958&lt;=14,"8-14 Days",IF(V958&lt;=21,"15-21 Days","21+ Days"))))))</x:f>
        <x:v>Existing Employee</x:v>
      </x:c>
      <x:c r="AF95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1-7 Days</x:v>
      </x:c>
      <x:c r="AG958" s="33" t="n">
        <x:f>--(WorkforceData[[#This Row],[Total Days Worked]]&gt;=121)</x:f>
        <x:v>0</x:v>
      </x:c>
    </x:row>
    <x:row r="959">
      <x:c r="A959" s="236" t="str">
        <x:v>TRN-0958</x:v>
      </x:c>
      <x:c r="B959" s="243"/>
      <x:c r="C959" s="243"/>
      <x:c r="D959" s="243"/>
      <x:c r="E959" s="243"/>
      <x:c r="F959" s="14" t="str">
        <x:v>Recruiter B</x:v>
      </x:c>
      <x:c r="G959" s="14" t="str">
        <x:v>Training Center A</x:v>
      </x:c>
      <x:c r="H959" s="28">
        <x:v>45595</x:v>
      </x:c>
      <x:c r="I959" s="14">
        <x:v>2024</x:v>
      </x:c>
      <x:c r="J959" s="14" t="s">
        <x:v>100</x:v>
      </x:c>
      <x:c r="K959" s="14">
        <x:v>18</x:v>
      </x:c>
      <x:c r="L959" s="29" t="s">
        <x:v>119</x:v>
      </x:c>
      <x:c r="M959" s="28">
        <x:v>45594</x:v>
      </x:c>
      <x:c r="N959" s="28">
        <x:v>45603</x:v>
      </x:c>
      <x:c r="O959" s="14">
        <x:v>9</x:v>
      </x:c>
      <x:c r="P959" s="14" t="s">
        <x:v>102</x:v>
      </x:c>
      <x:c r="Q959" s="14" t="s">
        <x:v>103</x:v>
      </x:c>
      <x:c r="R959" s="14" t="s">
        <x:v>104</x:v>
      </x:c>
      <x:c r="S959" s="14" t="s">
        <x:v>105</x:v>
      </x:c>
      <x:c r="T959" s="14" t="str">
        <x:v>Region D</x:v>
      </x:c>
      <x:c r="U959" s="28">
        <x:v>45603</x:v>
      </x:c>
      <x:c r="V959" s="30">
        <x:v>8</x:v>
      </x:c>
      <x:c r="W959" s="14" t="s">
        <x:v>45</x:v>
      </x:c>
      <x:c r="X959" s="14" t="s">
        <x:v>106</x:v>
      </x:c>
      <x:c r="Y959" s="32" t="str">
        <x:v>TRN-0958|20241030</x:v>
      </x:c>
      <x:c r="Z959" s="32" t="str" cm="1">
        <x:f t="array" ref="Z95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959" s="33" t="n">
        <x:f>--OR(WorkforceData[[#This Row],[Status]]="Active",WorkforceData[[#This Row],[Promoted]]="Yes",WorkforceData[[#This Row],[Total Days Worked]]&gt;=121)</x:f>
        <x:v>0</x:v>
      </x:c>
      <x:c r="AB959" s="33" t="n">
        <x:f>IF(AND(Q959="Terminated",R959="",O959=0),1,0)</x:f>
        <x:v>0</x:v>
      </x:c>
      <x:c r="AC959" s="33" t="n">
        <x:f>--OR(WorkforceData[[#This Row],[Status]]="Resigned",WorkforceData[[#This Row],[Status After Training]]="Withdrew")</x:f>
        <x:v>1</x:v>
      </x:c>
      <x:c r="AD959" s="34" t="n">
        <x:f>EOMONTH(WorkforceData[[#This Row],[Training Date]],0)</x:f>
        <x:v>45596</x:v>
      </x:c>
      <x:c r="AE959" s="32" t="str">
        <x:f>IF(M959&lt;H959,"Existing Employee",IF(U959="","No Assignment",IF(V959=0,"0 Days",IF(V959&lt;=7,"1-7 Days",IF(V959&lt;=14,"8-14 Days",IF(V959&lt;=21,"15-21 Days","21+ Days"))))))</x:f>
        <x:v>Existing Employee</x:v>
      </x:c>
      <x:c r="AF95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959" s="33" t="n">
        <x:f>--(WorkforceData[[#This Row],[Total Days Worked]]&gt;=121)</x:f>
        <x:v>0</x:v>
      </x:c>
    </x:row>
    <x:row r="960">
      <x:c r="A960" s="236" t="str">
        <x:v>TRN-0959</x:v>
      </x:c>
      <x:c r="B960" s="243"/>
      <x:c r="C960" s="243"/>
      <x:c r="D960" s="243"/>
      <x:c r="E960" s="243"/>
      <x:c r="F960" s="14" t="str">
        <x:v>Recruiter E</x:v>
      </x:c>
      <x:c r="G960" s="14" t="str">
        <x:v>Training Center A</x:v>
      </x:c>
      <x:c r="H960" s="28">
        <x:v>45595</x:v>
      </x:c>
      <x:c r="I960" s="14">
        <x:v>2024</x:v>
      </x:c>
      <x:c r="J960" s="14" t="s">
        <x:v>100</x:v>
      </x:c>
      <x:c r="K960" s="14">
        <x:v>18</x:v>
      </x:c>
      <x:c r="L960" s="29" t="s">
        <x:v>119</x:v>
      </x:c>
      <x:c r="M960" s="28">
        <x:v>45593</x:v>
      </x:c>
      <x:c r="N960" s="28">
        <x:v>46247</x:v>
      </x:c>
      <x:c r="O960" s="14">
        <x:v>654</x:v>
      </x:c>
      <x:c r="P960" s="14" t="s">
        <x:v>120</x:v>
      </x:c>
      <x:c r="Q960" s="14" t="s">
        <x:v>33</x:v>
      </x:c>
      <x:c r="R960" s="14" t="s">
        <x:v>121</x:v>
      </x:c>
      <x:c r="S960" s="14" t="s">
        <x:v>108</x:v>
      </x:c>
      <x:c r="T960" s="14" t="str">
        <x:v>Region B</x:v>
      </x:c>
      <x:c r="U960" s="28">
        <x:v>45596</x:v>
      </x:c>
      <x:c r="V960" s="30">
        <x:v>1</x:v>
      </x:c>
      <x:c r="W960" s="14" t="s">
        <x:v>109</x:v>
      </x:c>
      <x:c r="X960" s="14" t="s">
        <x:v>106</x:v>
      </x:c>
      <x:c r="Y960" s="32" t="str">
        <x:v>TRN-0959|20241030</x:v>
      </x:c>
      <x:c r="Z960" s="32" t="str" cm="1">
        <x:f t="array" ref="Z96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960" s="33" t="n">
        <x:f>--OR(WorkforceData[[#This Row],[Status]]="Active",WorkforceData[[#This Row],[Promoted]]="Yes",WorkforceData[[#This Row],[Total Days Worked]]&gt;=121)</x:f>
        <x:v>1</x:v>
      </x:c>
      <x:c r="AB960" s="33" t="n">
        <x:f>IF(AND(Q960="Terminated",R960="",O960=0),1,0)</x:f>
        <x:v>0</x:v>
      </x:c>
      <x:c r="AC960" s="33" t="n">
        <x:f>--OR(WorkforceData[[#This Row],[Status]]="Resigned",WorkforceData[[#This Row],[Status After Training]]="Withdrew")</x:f>
        <x:v>0</x:v>
      </x:c>
      <x:c r="AD960" s="34" t="n">
        <x:f>EOMONTH(WorkforceData[[#This Row],[Training Date]],0)</x:f>
        <x:v>45596</x:v>
      </x:c>
      <x:c r="AE960" s="32" t="str">
        <x:f>IF(M960&lt;H960,"Existing Employee",IF(U960="","No Assignment",IF(V960=0,"0 Days",IF(V960&lt;=7,"1-7 Days",IF(V960&lt;=14,"8-14 Days",IF(V960&lt;=21,"15-21 Days","21+ Days"))))))</x:f>
        <x:v>Existing Employee</x:v>
      </x:c>
      <x:c r="AF96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960" s="33" t="n">
        <x:f>--(WorkforceData[[#This Row],[Total Days Worked]]&gt;=121)</x:f>
        <x:v>1</x:v>
      </x:c>
    </x:row>
    <x:row r="961">
      <x:c r="A961" s="236" t="str">
        <x:v>TRN-0960</x:v>
      </x:c>
      <x:c r="B961" s="243"/>
      <x:c r="C961" s="243"/>
      <x:c r="D961" s="243"/>
      <x:c r="E961" s="243"/>
      <x:c r="F961" s="14" t="str">
        <x:v>Recruiter C</x:v>
      </x:c>
      <x:c r="G961" s="14" t="str">
        <x:v>Training Center A</x:v>
      </x:c>
      <x:c r="H961" s="28">
        <x:v>45595</x:v>
      </x:c>
      <x:c r="I961" s="14">
        <x:v>2024</x:v>
      </x:c>
      <x:c r="J961" s="14" t="s">
        <x:v>100</x:v>
      </x:c>
      <x:c r="K961" s="14">
        <x:v>18</x:v>
      </x:c>
      <x:c r="L961" s="29" t="s">
        <x:v>119</x:v>
      </x:c>
      <x:c r="M961" s="28">
        <x:v>45592</x:v>
      </x:c>
      <x:c r="N961" s="28">
        <x:v>45609</x:v>
      </x:c>
      <x:c r="O961" s="14">
        <x:v>17</x:v>
      </x:c>
      <x:c r="P961" s="14" t="s">
        <x:v>102</x:v>
      </x:c>
      <x:c r="Q961" s="14" t="s">
        <x:v>103</x:v>
      </x:c>
      <x:c r="R961" s="14" t="s">
        <x:v>104</x:v>
      </x:c>
      <x:c r="S961" s="14" t="s">
        <x:v>105</x:v>
      </x:c>
      <x:c r="T961" s="14" t="str">
        <x:v>Region B</x:v>
      </x:c>
      <x:c r="U961" s="28">
        <x:v>45595</x:v>
      </x:c>
      <x:c r="V961" s="30">
        <x:v>0</x:v>
      </x:c>
      <x:c r="W961" s="14" t="s">
        <x:v>109</x:v>
      </x:c>
      <x:c r="X961" s="14" t="s">
        <x:v>106</x:v>
      </x:c>
      <x:c r="Y961" s="32" t="str">
        <x:v>TRN-0960|20241030</x:v>
      </x:c>
      <x:c r="Z961" s="32" t="str" cm="1">
        <x:f t="array" ref="Z96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961" s="33" t="n">
        <x:f>--OR(WorkforceData[[#This Row],[Status]]="Active",WorkforceData[[#This Row],[Promoted]]="Yes",WorkforceData[[#This Row],[Total Days Worked]]&gt;=121)</x:f>
        <x:v>0</x:v>
      </x:c>
      <x:c r="AB961" s="33" t="n">
        <x:f>IF(AND(Q961="Terminated",R961="",O961=0),1,0)</x:f>
        <x:v>0</x:v>
      </x:c>
      <x:c r="AC961" s="33" t="n">
        <x:f>--OR(WorkforceData[[#This Row],[Status]]="Resigned",WorkforceData[[#This Row],[Status After Training]]="Withdrew")</x:f>
        <x:v>1</x:v>
      </x:c>
      <x:c r="AD961" s="34" t="n">
        <x:f>EOMONTH(WorkforceData[[#This Row],[Training Date]],0)</x:f>
        <x:v>45596</x:v>
      </x:c>
      <x:c r="AE961" s="32" t="str">
        <x:f>IF(M961&lt;H961,"Existing Employee",IF(U961="","No Assignment",IF(V961=0,"0 Days",IF(V961&lt;=7,"1-7 Days",IF(V961&lt;=14,"8-14 Days",IF(V961&lt;=21,"15-21 Days","21+ Days"))))))</x:f>
        <x:v>Existing Employee</x:v>
      </x:c>
      <x:c r="AF96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961" s="33" t="n">
        <x:f>--(WorkforceData[[#This Row],[Total Days Worked]]&gt;=121)</x:f>
        <x:v>0</x:v>
      </x:c>
    </x:row>
    <x:row r="962">
      <x:c r="A962" s="236" t="str">
        <x:v>TRN-0961</x:v>
      </x:c>
      <x:c r="B962" s="243"/>
      <x:c r="C962" s="243"/>
      <x:c r="D962" s="243"/>
      <x:c r="E962" s="243"/>
      <x:c r="F962" s="14" t="str">
        <x:v>Recruiter C</x:v>
      </x:c>
      <x:c r="G962" s="14" t="str">
        <x:v>Training Center A</x:v>
      </x:c>
      <x:c r="H962" s="28">
        <x:v>45595</x:v>
      </x:c>
      <x:c r="I962" s="14">
        <x:v>2024</x:v>
      </x:c>
      <x:c r="J962" s="14" t="s">
        <x:v>100</x:v>
      </x:c>
      <x:c r="K962" s="14">
        <x:v>18</x:v>
      </x:c>
      <x:c r="L962" s="29" t="s">
        <x:v>119</x:v>
      </x:c>
      <x:c r="M962" s="28">
        <x:v>45593</x:v>
      </x:c>
      <x:c r="N962" s="28">
        <x:v>45609</x:v>
      </x:c>
      <x:c r="O962" s="14">
        <x:v>16</x:v>
      </x:c>
      <x:c r="P962" s="14" t="s">
        <x:v>102</x:v>
      </x:c>
      <x:c r="Q962" s="14" t="s">
        <x:v>33</x:v>
      </x:c>
      <x:c r="R962" s="14" t="s">
        <x:v>116</x:v>
      </x:c>
      <x:c r="S962" s="14" t="s">
        <x:v>105</x:v>
      </x:c>
      <x:c r="T962" s="14"/>
      <x:c r="U962" s="28"/>
      <x:c r="V962" s="30"/>
      <x:c r="W962" s="14"/>
      <x:c r="X962" s="14" t="s">
        <x:v>71</x:v>
      </x:c>
      <x:c r="Y962" s="32" t="str">
        <x:v>TRN-0961|20241030</x:v>
      </x:c>
      <x:c r="Z962" s="32" t="str" cm="1">
        <x:f t="array" ref="Z96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962" s="33" t="n">
        <x:f>--OR(WorkforceData[[#This Row],[Status]]="Active",WorkforceData[[#This Row],[Promoted]]="Yes",WorkforceData[[#This Row],[Total Days Worked]]&gt;=121)</x:f>
        <x:v>0</x:v>
      </x:c>
      <x:c r="AB962" s="33" t="n">
        <x:f>IF(AND(Q962="Terminated",R962="",O962=0),1,0)</x:f>
        <x:v>0</x:v>
      </x:c>
      <x:c r="AC962" s="33" t="n">
        <x:f>--OR(WorkforceData[[#This Row],[Status]]="Resigned",WorkforceData[[#This Row],[Status After Training]]="Withdrew")</x:f>
        <x:v>0</x:v>
      </x:c>
      <x:c r="AD962" s="34" t="n">
        <x:f>EOMONTH(WorkforceData[[#This Row],[Training Date]],0)</x:f>
        <x:v>45596</x:v>
      </x:c>
      <x:c r="AE962" s="32" t="str">
        <x:f>IF(M962&lt;H962,"Existing Employee",IF(U962="","No Assignment",IF(V962=0,"0 Days",IF(V962&lt;=7,"1-7 Days",IF(V962&lt;=14,"8-14 Days",IF(V962&lt;=21,"15-21 Days","21+ Days"))))))</x:f>
        <x:v>Existing Employee</x:v>
      </x:c>
      <x:c r="AF96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962" s="33" t="n">
        <x:f>--(WorkforceData[[#This Row],[Total Days Worked]]&gt;=121)</x:f>
        <x:v>0</x:v>
      </x:c>
    </x:row>
    <x:row r="963">
      <x:c r="A963" s="236" t="str">
        <x:v>TRN-0962</x:v>
      </x:c>
      <x:c r="B963" s="243"/>
      <x:c r="C963" s="243"/>
      <x:c r="D963" s="243"/>
      <x:c r="E963" s="243"/>
      <x:c r="F963" s="14" t="str">
        <x:v>Recruiter D</x:v>
      </x:c>
      <x:c r="G963" s="14" t="str">
        <x:v>Training Center A</x:v>
      </x:c>
      <x:c r="H963" s="28">
        <x:v>45595</x:v>
      </x:c>
      <x:c r="I963" s="14">
        <x:v>2024</x:v>
      </x:c>
      <x:c r="J963" s="14" t="s">
        <x:v>100</x:v>
      </x:c>
      <x:c r="K963" s="14">
        <x:v>18</x:v>
      </x:c>
      <x:c r="L963" s="29" t="s">
        <x:v>119</x:v>
      </x:c>
      <x:c r="M963" s="28">
        <x:v>45593</x:v>
      </x:c>
      <x:c r="N963" s="14"/>
      <x:c r="O963" s="14">
        <x:v>658</x:v>
      </x:c>
      <x:c r="P963" s="14" t="s">
        <x:v>120</x:v>
      </x:c>
      <x:c r="Q963" s="14" t="s">
        <x:v>25</x:v>
      </x:c>
      <x:c r="R963" s="14"/>
      <x:c r="S963" s="14" t="s">
        <x:v>108</x:v>
      </x:c>
      <x:c r="T963" s="14" t="str">
        <x:v>Region B</x:v>
      </x:c>
      <x:c r="U963" s="28">
        <x:v>45605</x:v>
      </x:c>
      <x:c r="V963" s="30">
        <x:v>10</x:v>
      </x:c>
      <x:c r="W963" s="14" t="s">
        <x:v>45</x:v>
      </x:c>
      <x:c r="X963" s="14" t="s">
        <x:v>106</x:v>
      </x:c>
      <x:c r="Y963" s="32" t="str">
        <x:v>TRN-0962|20241030</x:v>
      </x:c>
      <x:c r="Z963" s="32" t="str" cm="1">
        <x:f t="array" ref="Z96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963" s="33" t="n">
        <x:f>--OR(WorkforceData[[#This Row],[Status]]="Active",WorkforceData[[#This Row],[Promoted]]="Yes",WorkforceData[[#This Row],[Total Days Worked]]&gt;=121)</x:f>
        <x:v>1</x:v>
      </x:c>
      <x:c r="AB963" s="33" t="n">
        <x:f>IF(AND(Q963="Terminated",R963="",O963=0),1,0)</x:f>
        <x:v>0</x:v>
      </x:c>
      <x:c r="AC963" s="33" t="n">
        <x:f>--OR(WorkforceData[[#This Row],[Status]]="Resigned",WorkforceData[[#This Row],[Status After Training]]="Withdrew")</x:f>
        <x:v>0</x:v>
      </x:c>
      <x:c r="AD963" s="34" t="n">
        <x:f>EOMONTH(WorkforceData[[#This Row],[Training Date]],0)</x:f>
        <x:v>45596</x:v>
      </x:c>
      <x:c r="AE963" s="32" t="str">
        <x:f>IF(M963&lt;H963,"Existing Employee",IF(U963="","No Assignment",IF(V963=0,"0 Days",IF(V963&lt;=7,"1-7 Days",IF(V963&lt;=14,"8-14 Days",IF(V963&lt;=21,"15-21 Days","21+ Days"))))))</x:f>
        <x:v>Existing Employee</x:v>
      </x:c>
      <x:c r="AF96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963" s="33" t="n">
        <x:f>--(WorkforceData[[#This Row],[Total Days Worked]]&gt;=121)</x:f>
        <x:v>1</x:v>
      </x:c>
    </x:row>
    <x:row r="964">
      <x:c r="A964" s="236" t="str">
        <x:v>TRN-0963</x:v>
      </x:c>
      <x:c r="B964" s="243"/>
      <x:c r="C964" s="243"/>
      <x:c r="D964" s="243"/>
      <x:c r="E964" s="243"/>
      <x:c r="F964" s="14" t="str">
        <x:v>Recruiter H</x:v>
      </x:c>
      <x:c r="G964" s="14" t="str">
        <x:v>Training Center A</x:v>
      </x:c>
      <x:c r="H964" s="28">
        <x:v>45595</x:v>
      </x:c>
      <x:c r="I964" s="14">
        <x:v>2024</x:v>
      </x:c>
      <x:c r="J964" s="14" t="s">
        <x:v>100</x:v>
      </x:c>
      <x:c r="K964" s="14">
        <x:v>18</x:v>
      </x:c>
      <x:c r="L964" s="29" t="s">
        <x:v>119</x:v>
      </x:c>
      <x:c r="M964" s="28">
        <x:v>45595</x:v>
      </x:c>
      <x:c r="N964" s="28">
        <x:v>46251</x:v>
      </x:c>
      <x:c r="O964" s="14">
        <x:v>656</x:v>
      </x:c>
      <x:c r="P964" s="14" t="s">
        <x:v>120</x:v>
      </x:c>
      <x:c r="Q964" s="14" t="s">
        <x:v>103</x:v>
      </x:c>
      <x:c r="R964" s="14" t="s">
        <x:v>104</x:v>
      </x:c>
      <x:c r="S964" s="14" t="s">
        <x:v>105</x:v>
      </x:c>
      <x:c r="T964" s="14"/>
      <x:c r="U964" s="28"/>
      <x:c r="V964" s="30"/>
      <x:c r="W964" s="14"/>
      <x:c r="X964" s="14" t="s">
        <x:v>71</x:v>
      </x:c>
      <x:c r="Y964" s="32" t="str">
        <x:v>TRN-0963|20241030</x:v>
      </x:c>
      <x:c r="Z964" s="32" t="str" cm="1">
        <x:f t="array" ref="Z96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Complete</x:v>
      </x:c>
      <x:c r="AA964" s="33" t="n">
        <x:f>--OR(WorkforceData[[#This Row],[Status]]="Active",WorkforceData[[#This Row],[Promoted]]="Yes",WorkforceData[[#This Row],[Total Days Worked]]&gt;=121)</x:f>
        <x:v>1</x:v>
      </x:c>
      <x:c r="AB964" s="33" t="n">
        <x:f>IF(AND(Q964="Terminated",R964="",O964=0),1,0)</x:f>
        <x:v>0</x:v>
      </x:c>
      <x:c r="AC964" s="33" t="n">
        <x:f>--OR(WorkforceData[[#This Row],[Status]]="Resigned",WorkforceData[[#This Row],[Status After Training]]="Withdrew")</x:f>
        <x:v>1</x:v>
      </x:c>
      <x:c r="AD964" s="34" t="n">
        <x:f>EOMONTH(WorkforceData[[#This Row],[Training Date]],0)</x:f>
        <x:v>45596</x:v>
      </x:c>
      <x:c r="AE964" s="32" t="str">
        <x:f>IF(M964&lt;H964,"Existing Employee",IF(U964="","No Assignment",IF(V964=0,"0 Days",IF(V964&lt;=7,"1-7 Days",IF(V964&lt;=14,"8-14 Days",IF(V964&lt;=21,"15-21 Days","21+ Days"))))))</x:f>
        <x:v>No Assignment</x:v>
      </x:c>
      <x:c r="AF96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964" s="33" t="n">
        <x:f>--(WorkforceData[[#This Row],[Total Days Worked]]&gt;=121)</x:f>
        <x:v>1</x:v>
      </x:c>
    </x:row>
    <x:row r="965">
      <x:c r="A965" s="236" t="str">
        <x:v>TRN-0964</x:v>
      </x:c>
      <x:c r="B965" s="243"/>
      <x:c r="C965" s="243"/>
      <x:c r="D965" s="243"/>
      <x:c r="E965" s="243"/>
      <x:c r="F965" s="14" t="str">
        <x:v>Recruiter F</x:v>
      </x:c>
      <x:c r="G965" s="14" t="str">
        <x:v>Training Center A</x:v>
      </x:c>
      <x:c r="H965" s="28">
        <x:v>45595</x:v>
      </x:c>
      <x:c r="I965" s="14">
        <x:v>2024</x:v>
      </x:c>
      <x:c r="J965" s="14" t="s">
        <x:v>100</x:v>
      </x:c>
      <x:c r="K965" s="14">
        <x:v>18</x:v>
      </x:c>
      <x:c r="L965" s="29" t="s">
        <x:v>119</x:v>
      </x:c>
      <x:c r="M965" s="28">
        <x:v>45593</x:v>
      </x:c>
      <x:c r="N965" s="28">
        <x:v>45594</x:v>
      </x:c>
      <x:c r="O965" s="14">
        <x:v>1</x:v>
      </x:c>
      <x:c r="P965" s="14" t="s">
        <x:v>102</x:v>
      </x:c>
      <x:c r="Q965" s="14" t="s">
        <x:v>103</x:v>
      </x:c>
      <x:c r="R965" s="14" t="s">
        <x:v>104</x:v>
      </x:c>
      <x:c r="S965" s="14" t="s">
        <x:v>105</x:v>
      </x:c>
      <x:c r="T965" s="14"/>
      <x:c r="U965" s="28"/>
      <x:c r="V965" s="30"/>
      <x:c r="W965" s="14"/>
      <x:c r="X965" s="14" t="s">
        <x:v>71</x:v>
      </x:c>
      <x:c r="Y965" s="32" t="str">
        <x:v>TRN-0964|20241030</x:v>
      </x:c>
      <x:c r="Z965" s="32" t="str" cm="1">
        <x:f t="array" ref="Z96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965" s="33" t="n">
        <x:f>--OR(WorkforceData[[#This Row],[Status]]="Active",WorkforceData[[#This Row],[Promoted]]="Yes",WorkforceData[[#This Row],[Total Days Worked]]&gt;=121)</x:f>
        <x:v>0</x:v>
      </x:c>
      <x:c r="AB965" s="33" t="n">
        <x:f>IF(AND(Q965="Terminated",R965="",O965=0),1,0)</x:f>
        <x:v>0</x:v>
      </x:c>
      <x:c r="AC965" s="33" t="n">
        <x:f>--OR(WorkforceData[[#This Row],[Status]]="Resigned",WorkforceData[[#This Row],[Status After Training]]="Withdrew")</x:f>
        <x:v>1</x:v>
      </x:c>
      <x:c r="AD965" s="34" t="n">
        <x:f>EOMONTH(WorkforceData[[#This Row],[Training Date]],0)</x:f>
        <x:v>45596</x:v>
      </x:c>
      <x:c r="AE965" s="32" t="str">
        <x:f>IF(M965&lt;H965,"Existing Employee",IF(U965="","No Assignment",IF(V965=0,"0 Days",IF(V965&lt;=7,"1-7 Days",IF(V965&lt;=14,"8-14 Days",IF(V965&lt;=21,"15-21 Days","21+ Days"))))))</x:f>
        <x:v>Existing Employee</x:v>
      </x:c>
      <x:c r="AF96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1-7 Days</x:v>
      </x:c>
      <x:c r="AG965" s="33" t="n">
        <x:f>--(WorkforceData[[#This Row],[Total Days Worked]]&gt;=121)</x:f>
        <x:v>0</x:v>
      </x:c>
    </x:row>
    <x:row r="966">
      <x:c r="A966" s="236" t="str">
        <x:v>TRN-0965</x:v>
      </x:c>
      <x:c r="B966" s="243"/>
      <x:c r="C966" s="243"/>
      <x:c r="D966" s="243"/>
      <x:c r="E966" s="243"/>
      <x:c r="F966" s="14" t="str">
        <x:v>Recruiter H</x:v>
      </x:c>
      <x:c r="G966" s="14" t="str">
        <x:v>Training Center A</x:v>
      </x:c>
      <x:c r="H966" s="28">
        <x:v>45595</x:v>
      </x:c>
      <x:c r="I966" s="14">
        <x:v>2024</x:v>
      </x:c>
      <x:c r="J966" s="14" t="s">
        <x:v>100</x:v>
      </x:c>
      <x:c r="K966" s="14">
        <x:v>18</x:v>
      </x:c>
      <x:c r="L966" s="29" t="s">
        <x:v>119</x:v>
      </x:c>
      <x:c r="M966" s="28">
        <x:v>45592</x:v>
      </x:c>
      <x:c r="N966" s="14"/>
      <x:c r="O966" s="14">
        <x:v>659</x:v>
      </x:c>
      <x:c r="P966" s="14" t="s">
        <x:v>120</x:v>
      </x:c>
      <x:c r="Q966" s="14" t="s">
        <x:v>38</x:v>
      </x:c>
      <x:c r="R966" s="14"/>
      <x:c r="S966" s="14" t="s">
        <x:v>108</x:v>
      </x:c>
      <x:c r="T966" s="14" t="str">
        <x:v>Region B</x:v>
      </x:c>
      <x:c r="U966" s="28">
        <x:v>45608</x:v>
      </x:c>
      <x:c r="V966" s="30">
        <x:v>13</x:v>
      </x:c>
      <x:c r="W966" s="14" t="s">
        <x:v>45</x:v>
      </x:c>
      <x:c r="X966" s="14" t="s">
        <x:v>106</x:v>
      </x:c>
      <x:c r="Y966" s="32" t="str">
        <x:v>TRN-0965|20241030</x:v>
      </x:c>
      <x:c r="Z966" s="32" t="str" cm="1">
        <x:f t="array" ref="Z96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966" s="33" t="n">
        <x:f>--OR(WorkforceData[[#This Row],[Status]]="Active",WorkforceData[[#This Row],[Promoted]]="Yes",WorkforceData[[#This Row],[Total Days Worked]]&gt;=121)</x:f>
        <x:v>1</x:v>
      </x:c>
      <x:c r="AB966" s="33" t="n">
        <x:f>IF(AND(Q966="Terminated",R966="",O966=0),1,0)</x:f>
        <x:v>0</x:v>
      </x:c>
      <x:c r="AC966" s="33" t="n">
        <x:f>--OR(WorkforceData[[#This Row],[Status]]="Resigned",WorkforceData[[#This Row],[Status After Training]]="Withdrew")</x:f>
        <x:v>0</x:v>
      </x:c>
      <x:c r="AD966" s="34" t="n">
        <x:f>EOMONTH(WorkforceData[[#This Row],[Training Date]],0)</x:f>
        <x:v>45596</x:v>
      </x:c>
      <x:c r="AE966" s="32" t="str">
        <x:f>IF(M966&lt;H966,"Existing Employee",IF(U966="","No Assignment",IF(V966=0,"0 Days",IF(V966&lt;=7,"1-7 Days",IF(V966&lt;=14,"8-14 Days",IF(V966&lt;=21,"15-21 Days","21+ Days"))))))</x:f>
        <x:v>Existing Employee</x:v>
      </x:c>
      <x:c r="AF96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966" s="33" t="n">
        <x:f>--(WorkforceData[[#This Row],[Total Days Worked]]&gt;=121)</x:f>
        <x:v>1</x:v>
      </x:c>
    </x:row>
    <x:row r="967">
      <x:c r="A967" s="236" t="str">
        <x:v>TRN-0966</x:v>
      </x:c>
      <x:c r="B967" s="243"/>
      <x:c r="C967" s="243"/>
      <x:c r="D967" s="243"/>
      <x:c r="E967" s="243"/>
      <x:c r="F967" s="14" t="str">
        <x:v>Recruiter G</x:v>
      </x:c>
      <x:c r="G967" s="14" t="str">
        <x:v>Training Center A</x:v>
      </x:c>
      <x:c r="H967" s="28">
        <x:v>45978</x:v>
      </x:c>
      <x:c r="I967" s="14">
        <x:v>2025</x:v>
      </x:c>
      <x:c r="J967" s="14" t="s">
        <x:v>134</x:v>
      </x:c>
      <x:c r="K967" s="14">
        <x:v>22</x:v>
      </x:c>
      <x:c r="L967" s="29" t="s">
        <x:v>101</x:v>
      </x:c>
      <x:c r="M967" s="28">
        <x:v>45971</x:v>
      </x:c>
      <x:c r="N967" s="28">
        <x:v>45977</x:v>
      </x:c>
      <x:c r="O967" s="14">
        <x:v>6</x:v>
      </x:c>
      <x:c r="P967" s="14" t="s">
        <x:v>102</x:v>
      </x:c>
      <x:c r="Q967" s="14" t="s">
        <x:v>103</x:v>
      </x:c>
      <x:c r="R967" s="14" t="s">
        <x:v>104</x:v>
      </x:c>
      <x:c r="S967" s="14" t="s">
        <x:v>105</x:v>
      </x:c>
      <x:c r="T967" s="14"/>
      <x:c r="U967" s="28"/>
      <x:c r="V967" s="30"/>
      <x:c r="W967" s="14"/>
      <x:c r="X967" s="14" t="s">
        <x:v>71</x:v>
      </x:c>
      <x:c r="Y967" s="32" t="str">
        <x:v>TRN-0966|20251117</x:v>
      </x:c>
      <x:c r="Z967" s="32" t="str" cm="1">
        <x:f t="array" ref="Z96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967" s="33" t="n">
        <x:f>--OR(WorkforceData[[#This Row],[Status]]="Active",WorkforceData[[#This Row],[Promoted]]="Yes",WorkforceData[[#This Row],[Total Days Worked]]&gt;=121)</x:f>
        <x:v>0</x:v>
      </x:c>
      <x:c r="AB967" s="33" t="n">
        <x:f>IF(AND(Q967="Terminated",R967="",O967=0),1,0)</x:f>
        <x:v>0</x:v>
      </x:c>
      <x:c r="AC967" s="33" t="n">
        <x:f>--OR(WorkforceData[[#This Row],[Status]]="Resigned",WorkforceData[[#This Row],[Status After Training]]="Withdrew")</x:f>
        <x:v>1</x:v>
      </x:c>
      <x:c r="AD967" s="34" t="n">
        <x:f>EOMONTH(WorkforceData[[#This Row],[Training Date]],0)</x:f>
        <x:v>45991</x:v>
      </x:c>
      <x:c r="AE967" s="32" t="str">
        <x:f>IF(M967&lt;H967,"Existing Employee",IF(U967="","No Assignment",IF(V967=0,"0 Days",IF(V967&lt;=7,"1-7 Days",IF(V967&lt;=14,"8-14 Days",IF(V967&lt;=21,"15-21 Days","21+ Days"))))))</x:f>
        <x:v>Existing Employee</x:v>
      </x:c>
      <x:c r="AF96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1-7 Days</x:v>
      </x:c>
      <x:c r="AG967" s="33" t="n">
        <x:f>--(WorkforceData[[#This Row],[Total Days Worked]]&gt;=121)</x:f>
        <x:v>0</x:v>
      </x:c>
    </x:row>
    <x:row r="968">
      <x:c r="A968" s="236" t="str">
        <x:v>TRN-0967</x:v>
      </x:c>
      <x:c r="B968" s="243"/>
      <x:c r="C968" s="243"/>
      <x:c r="D968" s="243"/>
      <x:c r="E968" s="243"/>
      <x:c r="F968" s="14" t="str">
        <x:v>Recruiter G</x:v>
      </x:c>
      <x:c r="G968" s="14" t="str">
        <x:v>Training Center A</x:v>
      </x:c>
      <x:c r="H968" s="28">
        <x:v>45978</x:v>
      </x:c>
      <x:c r="I968" s="14">
        <x:v>2025</x:v>
      </x:c>
      <x:c r="J968" s="14" t="s">
        <x:v>134</x:v>
      </x:c>
      <x:c r="K968" s="14">
        <x:v>22</x:v>
      </x:c>
      <x:c r="L968" s="29" t="s">
        <x:v>101</x:v>
      </x:c>
      <x:c r="M968" s="28">
        <x:v>45971</x:v>
      </x:c>
      <x:c r="N968" s="28">
        <x:v>45986</x:v>
      </x:c>
      <x:c r="O968" s="14">
        <x:v>15</x:v>
      </x:c>
      <x:c r="P968" s="14" t="s">
        <x:v>102</x:v>
      </x:c>
      <x:c r="Q968" s="14" t="s">
        <x:v>103</x:v>
      </x:c>
      <x:c r="R968" s="14" t="s">
        <x:v>104</x:v>
      </x:c>
      <x:c r="S968" s="14" t="s">
        <x:v>105</x:v>
      </x:c>
      <x:c r="T968" s="14" t="str">
        <x:v>Region B</x:v>
      </x:c>
      <x:c r="U968" s="28">
        <x:v>45986</x:v>
      </x:c>
      <x:c r="V968" s="30">
        <x:v>8</x:v>
      </x:c>
      <x:c r="W968" s="14" t="s">
        <x:v>45</x:v>
      </x:c>
      <x:c r="X968" s="14" t="s">
        <x:v>106</x:v>
      </x:c>
      <x:c r="Y968" s="32" t="str">
        <x:v>TRN-0967|20251117</x:v>
      </x:c>
      <x:c r="Z968" s="32" t="str" cm="1">
        <x:f t="array" ref="Z96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968" s="33" t="n">
        <x:f>--OR(WorkforceData[[#This Row],[Status]]="Active",WorkforceData[[#This Row],[Promoted]]="Yes",WorkforceData[[#This Row],[Total Days Worked]]&gt;=121)</x:f>
        <x:v>0</x:v>
      </x:c>
      <x:c r="AB968" s="33" t="n">
        <x:f>IF(AND(Q968="Terminated",R968="",O968=0),1,0)</x:f>
        <x:v>0</x:v>
      </x:c>
      <x:c r="AC968" s="33" t="n">
        <x:f>--OR(WorkforceData[[#This Row],[Status]]="Resigned",WorkforceData[[#This Row],[Status After Training]]="Withdrew")</x:f>
        <x:v>1</x:v>
      </x:c>
      <x:c r="AD968" s="34" t="n">
        <x:f>EOMONTH(WorkforceData[[#This Row],[Training Date]],0)</x:f>
        <x:v>45991</x:v>
      </x:c>
      <x:c r="AE968" s="32" t="str">
        <x:f>IF(M968&lt;H968,"Existing Employee",IF(U968="","No Assignment",IF(V968=0,"0 Days",IF(V968&lt;=7,"1-7 Days",IF(V968&lt;=14,"8-14 Days",IF(V968&lt;=21,"15-21 Days","21+ Days"))))))</x:f>
        <x:v>Existing Employee</x:v>
      </x:c>
      <x:c r="AF96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968" s="33" t="n">
        <x:f>--(WorkforceData[[#This Row],[Total Days Worked]]&gt;=121)</x:f>
        <x:v>0</x:v>
      </x:c>
    </x:row>
    <x:row r="969">
      <x:c r="A969" s="236" t="str">
        <x:v>TRN-0968</x:v>
      </x:c>
      <x:c r="B969" s="243"/>
      <x:c r="C969" s="243"/>
      <x:c r="D969" s="243"/>
      <x:c r="E969" s="243"/>
      <x:c r="F969" s="14" t="str">
        <x:v>Recruiter G</x:v>
      </x:c>
      <x:c r="G969" s="14" t="str">
        <x:v>Training Center A</x:v>
      </x:c>
      <x:c r="H969" s="28">
        <x:v>45978</x:v>
      </x:c>
      <x:c r="I969" s="14">
        <x:v>2025</x:v>
      </x:c>
      <x:c r="J969" s="14" t="s">
        <x:v>134</x:v>
      </x:c>
      <x:c r="K969" s="14">
        <x:v>22</x:v>
      </x:c>
      <x:c r="L969" s="29" t="s">
        <x:v>101</x:v>
      </x:c>
      <x:c r="M969" s="28">
        <x:v>45973</x:v>
      </x:c>
      <x:c r="N969" s="14"/>
      <x:c r="O969" s="14">
        <x:v>278</x:v>
      </x:c>
      <x:c r="P969" s="14" t="s">
        <x:v>107</x:v>
      </x:c>
      <x:c r="Q969" s="14" t="s">
        <x:v>25</x:v>
      </x:c>
      <x:c r="R969" s="14"/>
      <x:c r="S969" s="14" t="s">
        <x:v>108</x:v>
      </x:c>
      <x:c r="T969" s="14" t="str">
        <x:v>Region B</x:v>
      </x:c>
      <x:c r="U969" s="28">
        <x:v>46014</x:v>
      </x:c>
      <x:c r="V969" s="30">
        <x:v>36</x:v>
      </x:c>
      <x:c r="W969" s="14" t="s">
        <x:v>63</x:v>
      </x:c>
      <x:c r="X969" s="14" t="s">
        <x:v>117</x:v>
      </x:c>
      <x:c r="Y969" s="32" t="str">
        <x:v>TRN-0968|20251117</x:v>
      </x:c>
      <x:c r="Z969" s="32" t="str" cm="1">
        <x:f t="array" ref="Z96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969" s="33" t="n">
        <x:f>--OR(WorkforceData[[#This Row],[Status]]="Active",WorkforceData[[#This Row],[Promoted]]="Yes",WorkforceData[[#This Row],[Total Days Worked]]&gt;=121)</x:f>
        <x:v>1</x:v>
      </x:c>
      <x:c r="AB969" s="33" t="n">
        <x:f>IF(AND(Q969="Terminated",R969="",O969=0),1,0)</x:f>
        <x:v>0</x:v>
      </x:c>
      <x:c r="AC969" s="33" t="n">
        <x:f>--OR(WorkforceData[[#This Row],[Status]]="Resigned",WorkforceData[[#This Row],[Status After Training]]="Withdrew")</x:f>
        <x:v>0</x:v>
      </x:c>
      <x:c r="AD969" s="34" t="n">
        <x:f>EOMONTH(WorkforceData[[#This Row],[Training Date]],0)</x:f>
        <x:v>45991</x:v>
      </x:c>
      <x:c r="AE969" s="32" t="str">
        <x:f>IF(M969&lt;H969,"Existing Employee",IF(U969="","No Assignment",IF(V969=0,"0 Days",IF(V969&lt;=7,"1-7 Days",IF(V969&lt;=14,"8-14 Days",IF(V969&lt;=21,"15-21 Days","21+ Days"))))))</x:f>
        <x:v>Existing Employee</x:v>
      </x:c>
      <x:c r="AF96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969" s="33" t="n">
        <x:f>--(WorkforceData[[#This Row],[Total Days Worked]]&gt;=121)</x:f>
        <x:v>1</x:v>
      </x:c>
    </x:row>
    <x:row r="970">
      <x:c r="A970" s="236" t="str">
        <x:v>TRN-0969</x:v>
      </x:c>
      <x:c r="B970" s="243"/>
      <x:c r="C970" s="243"/>
      <x:c r="D970" s="243"/>
      <x:c r="E970" s="243"/>
      <x:c r="F970" s="14" t="str">
        <x:v>Recruiter C</x:v>
      </x:c>
      <x:c r="G970" s="14" t="str">
        <x:v>Training Center A</x:v>
      </x:c>
      <x:c r="H970" s="28">
        <x:v>45978</x:v>
      </x:c>
      <x:c r="I970" s="14">
        <x:v>2025</x:v>
      </x:c>
      <x:c r="J970" s="14" t="s">
        <x:v>134</x:v>
      </x:c>
      <x:c r="K970" s="14">
        <x:v>22</x:v>
      </x:c>
      <x:c r="L970" s="29" t="s">
        <x:v>101</x:v>
      </x:c>
      <x:c r="M970" s="28">
        <x:v>45978</x:v>
      </x:c>
      <x:c r="N970" s="28">
        <x:v>46251</x:v>
      </x:c>
      <x:c r="O970" s="14">
        <x:v>273</x:v>
      </x:c>
      <x:c r="P970" s="14" t="s">
        <x:v>107</x:v>
      </x:c>
      <x:c r="Q970" s="14" t="s">
        <x:v>103</x:v>
      </x:c>
      <x:c r="R970" s="14" t="s">
        <x:v>111</x:v>
      </x:c>
      <x:c r="S970" s="14" t="s">
        <x:v>108</x:v>
      </x:c>
      <x:c r="T970" s="14" t="str">
        <x:v>Region B</x:v>
      </x:c>
      <x:c r="U970" s="28">
        <x:v>45978</x:v>
      </x:c>
      <x:c r="V970" s="30">
        <x:v>0</x:v>
      </x:c>
      <x:c r="W970" s="14" t="s">
        <x:v>109</x:v>
      </x:c>
      <x:c r="X970" s="14" t="s">
        <x:v>106</x:v>
      </x:c>
      <x:c r="Y970" s="32" t="str">
        <x:v>TRN-0969|20251117</x:v>
      </x:c>
      <x:c r="Z970" s="32" t="str" cm="1">
        <x:f t="array" ref="Z97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970" s="33" t="n">
        <x:f>--OR(WorkforceData[[#This Row],[Status]]="Active",WorkforceData[[#This Row],[Promoted]]="Yes",WorkforceData[[#This Row],[Total Days Worked]]&gt;=121)</x:f>
        <x:v>1</x:v>
      </x:c>
      <x:c r="AB970" s="33" t="n">
        <x:f>IF(AND(Q970="Terminated",R970="",O970=0),1,0)</x:f>
        <x:v>0</x:v>
      </x:c>
      <x:c r="AC970" s="33" t="n">
        <x:f>--OR(WorkforceData[[#This Row],[Status]]="Resigned",WorkforceData[[#This Row],[Status After Training]]="Withdrew")</x:f>
        <x:v>1</x:v>
      </x:c>
      <x:c r="AD970" s="34" t="n">
        <x:f>EOMONTH(WorkforceData[[#This Row],[Training Date]],0)</x:f>
        <x:v>45991</x:v>
      </x:c>
      <x:c r="AE970" s="32" t="str">
        <x:f>IF(M970&lt;H970,"Existing Employee",IF(U970="","No Assignment",IF(V970=0,"0 Days",IF(V970&lt;=7,"1-7 Days",IF(V970&lt;=14,"8-14 Days",IF(V970&lt;=21,"15-21 Days","21+ Days"))))))</x:f>
        <x:v>0 Days</x:v>
      </x:c>
      <x:c r="AF97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970" s="33" t="n">
        <x:f>--(WorkforceData[[#This Row],[Total Days Worked]]&gt;=121)</x:f>
        <x:v>1</x:v>
      </x:c>
    </x:row>
    <x:row r="971">
      <x:c r="A971" s="236" t="str">
        <x:v>TRN-0970</x:v>
      </x:c>
      <x:c r="B971" s="243"/>
      <x:c r="C971" s="243"/>
      <x:c r="D971" s="243"/>
      <x:c r="E971" s="243"/>
      <x:c r="F971" s="14" t="str">
        <x:v>Recruiter C</x:v>
      </x:c>
      <x:c r="G971" s="14" t="str">
        <x:v>Training Center A</x:v>
      </x:c>
      <x:c r="H971" s="28">
        <x:v>45978</x:v>
      </x:c>
      <x:c r="I971" s="14">
        <x:v>2025</x:v>
      </x:c>
      <x:c r="J971" s="14" t="s">
        <x:v>134</x:v>
      </x:c>
      <x:c r="K971" s="14">
        <x:v>22</x:v>
      </x:c>
      <x:c r="L971" s="29" t="s">
        <x:v>101</x:v>
      </x:c>
      <x:c r="M971" s="28">
        <x:v>45976</x:v>
      </x:c>
      <x:c r="N971" s="14"/>
      <x:c r="O971" s="14">
        <x:v>275</x:v>
      </x:c>
      <x:c r="P971" s="14" t="s">
        <x:v>107</x:v>
      </x:c>
      <x:c r="Q971" s="14" t="s">
        <x:v>25</x:v>
      </x:c>
      <x:c r="R971" s="14"/>
      <x:c r="S971" s="14" t="s">
        <x:v>108</x:v>
      </x:c>
      <x:c r="T971" s="14" t="str">
        <x:v>Region D</x:v>
      </x:c>
      <x:c r="U971" s="28">
        <x:v>45980</x:v>
      </x:c>
      <x:c r="V971" s="30">
        <x:v>2</x:v>
      </x:c>
      <x:c r="W971" s="14" t="s">
        <x:v>109</x:v>
      </x:c>
      <x:c r="X971" s="14" t="s">
        <x:v>106</x:v>
      </x:c>
      <x:c r="Y971" s="32" t="str">
        <x:v>TRN-0970|20251117</x:v>
      </x:c>
      <x:c r="Z971" s="32" t="str" cm="1">
        <x:f t="array" ref="Z97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971" s="33" t="n">
        <x:f>--OR(WorkforceData[[#This Row],[Status]]="Active",WorkforceData[[#This Row],[Promoted]]="Yes",WorkforceData[[#This Row],[Total Days Worked]]&gt;=121)</x:f>
        <x:v>1</x:v>
      </x:c>
      <x:c r="AB971" s="33" t="n">
        <x:f>IF(AND(Q971="Terminated",R971="",O971=0),1,0)</x:f>
        <x:v>0</x:v>
      </x:c>
      <x:c r="AC971" s="33" t="n">
        <x:f>--OR(WorkforceData[[#This Row],[Status]]="Resigned",WorkforceData[[#This Row],[Status After Training]]="Withdrew")</x:f>
        <x:v>0</x:v>
      </x:c>
      <x:c r="AD971" s="34" t="n">
        <x:f>EOMONTH(WorkforceData[[#This Row],[Training Date]],0)</x:f>
        <x:v>45991</x:v>
      </x:c>
      <x:c r="AE971" s="32" t="str">
        <x:f>IF(M971&lt;H971,"Existing Employee",IF(U971="","No Assignment",IF(V971=0,"0 Days",IF(V971&lt;=7,"1-7 Days",IF(V971&lt;=14,"8-14 Days",IF(V971&lt;=21,"15-21 Days","21+ Days"))))))</x:f>
        <x:v>Existing Employee</x:v>
      </x:c>
      <x:c r="AF97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971" s="33" t="n">
        <x:f>--(WorkforceData[[#This Row],[Total Days Worked]]&gt;=121)</x:f>
        <x:v>1</x:v>
      </x:c>
    </x:row>
    <x:row r="972">
      <x:c r="A972" s="236" t="str">
        <x:v>TRN-0971</x:v>
      </x:c>
      <x:c r="B972" s="243"/>
      <x:c r="C972" s="243"/>
      <x:c r="D972" s="243"/>
      <x:c r="E972" s="243"/>
      <x:c r="F972" s="14" t="str">
        <x:v>Recruiter A</x:v>
      </x:c>
      <x:c r="G972" s="14" t="str">
        <x:v>Training Center A</x:v>
      </x:c>
      <x:c r="H972" s="28">
        <x:v>45978</x:v>
      </x:c>
      <x:c r="I972" s="14">
        <x:v>2025</x:v>
      </x:c>
      <x:c r="J972" s="14" t="s">
        <x:v>134</x:v>
      </x:c>
      <x:c r="K972" s="14">
        <x:v>22</x:v>
      </x:c>
      <x:c r="L972" s="29" t="s">
        <x:v>101</x:v>
      </x:c>
      <x:c r="M972" s="28">
        <x:v>45971</x:v>
      </x:c>
      <x:c r="N972" s="14"/>
      <x:c r="O972" s="14">
        <x:v>280</x:v>
      </x:c>
      <x:c r="P972" s="14" t="s">
        <x:v>107</x:v>
      </x:c>
      <x:c r="Q972" s="14" t="s">
        <x:v>25</x:v>
      </x:c>
      <x:c r="R972" s="14"/>
      <x:c r="S972" s="14" t="s">
        <x:v>108</x:v>
      </x:c>
      <x:c r="T972" s="14" t="str">
        <x:v>Region B</x:v>
      </x:c>
      <x:c r="U972" s="28">
        <x:v>45979</x:v>
      </x:c>
      <x:c r="V972" s="30">
        <x:v>1</x:v>
      </x:c>
      <x:c r="W972" s="14" t="s">
        <x:v>109</x:v>
      </x:c>
      <x:c r="X972" s="14" t="s">
        <x:v>106</x:v>
      </x:c>
      <x:c r="Y972" s="32" t="str">
        <x:v>TRN-0971|20251117</x:v>
      </x:c>
      <x:c r="Z972" s="32" t="str" cm="1">
        <x:f t="array" ref="Z97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972" s="33" t="n">
        <x:f>--OR(WorkforceData[[#This Row],[Status]]="Active",WorkforceData[[#This Row],[Promoted]]="Yes",WorkforceData[[#This Row],[Total Days Worked]]&gt;=121)</x:f>
        <x:v>1</x:v>
      </x:c>
      <x:c r="AB972" s="33" t="n">
        <x:f>IF(AND(Q972="Terminated",R972="",O972=0),1,0)</x:f>
        <x:v>0</x:v>
      </x:c>
      <x:c r="AC972" s="33" t="n">
        <x:f>--OR(WorkforceData[[#This Row],[Status]]="Resigned",WorkforceData[[#This Row],[Status After Training]]="Withdrew")</x:f>
        <x:v>0</x:v>
      </x:c>
      <x:c r="AD972" s="34" t="n">
        <x:f>EOMONTH(WorkforceData[[#This Row],[Training Date]],0)</x:f>
        <x:v>45991</x:v>
      </x:c>
      <x:c r="AE972" s="32" t="str">
        <x:f>IF(M972&lt;H972,"Existing Employee",IF(U972="","No Assignment",IF(V972=0,"0 Days",IF(V972&lt;=7,"1-7 Days",IF(V972&lt;=14,"8-14 Days",IF(V972&lt;=21,"15-21 Days","21+ Days"))))))</x:f>
        <x:v>Existing Employee</x:v>
      </x:c>
      <x:c r="AF97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972" s="33" t="n">
        <x:f>--(WorkforceData[[#This Row],[Total Days Worked]]&gt;=121)</x:f>
        <x:v>1</x:v>
      </x:c>
    </x:row>
    <x:row r="973">
      <x:c r="A973" s="236" t="str">
        <x:v>TRN-0972</x:v>
      </x:c>
      <x:c r="B973" s="243"/>
      <x:c r="C973" s="243"/>
      <x:c r="D973" s="243"/>
      <x:c r="E973" s="243"/>
      <x:c r="F973" s="14" t="str">
        <x:v>Recruiter B</x:v>
      </x:c>
      <x:c r="G973" s="14" t="str">
        <x:v>Training Center A</x:v>
      </x:c>
      <x:c r="H973" s="28">
        <x:v>45978</x:v>
      </x:c>
      <x:c r="I973" s="14">
        <x:v>2025</x:v>
      </x:c>
      <x:c r="J973" s="14" t="s">
        <x:v>134</x:v>
      </x:c>
      <x:c r="K973" s="14">
        <x:v>22</x:v>
      </x:c>
      <x:c r="L973" s="29" t="s">
        <x:v>101</x:v>
      </x:c>
      <x:c r="M973" s="28">
        <x:v>45973</x:v>
      </x:c>
      <x:c r="N973" s="28">
        <x:v>46251</x:v>
      </x:c>
      <x:c r="O973" s="14">
        <x:v>278</x:v>
      </x:c>
      <x:c r="P973" s="14" t="s">
        <x:v>107</x:v>
      </x:c>
      <x:c r="Q973" s="14" t="s">
        <x:v>33</x:v>
      </x:c>
      <x:c r="R973" s="14" t="s">
        <x:v>121</x:v>
      </x:c>
      <x:c r="S973" s="14" t="s">
        <x:v>108</x:v>
      </x:c>
      <x:c r="T973" s="14" t="str">
        <x:v>Region A</x:v>
      </x:c>
      <x:c r="U973" s="28">
        <x:v>45989</x:v>
      </x:c>
      <x:c r="V973" s="30">
        <x:v>11</x:v>
      </x:c>
      <x:c r="W973" s="14" t="s">
        <x:v>45</x:v>
      </x:c>
      <x:c r="X973" s="14" t="s">
        <x:v>106</x:v>
      </x:c>
      <x:c r="Y973" s="32" t="str">
        <x:v>TRN-0972|20251117</x:v>
      </x:c>
      <x:c r="Z973" s="32" t="str" cm="1">
        <x:f t="array" ref="Z97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973" s="33" t="n">
        <x:f>--OR(WorkforceData[[#This Row],[Status]]="Active",WorkforceData[[#This Row],[Promoted]]="Yes",WorkforceData[[#This Row],[Total Days Worked]]&gt;=121)</x:f>
        <x:v>1</x:v>
      </x:c>
      <x:c r="AB973" s="33" t="n">
        <x:f>IF(AND(Q973="Terminated",R973="",O973=0),1,0)</x:f>
        <x:v>0</x:v>
      </x:c>
      <x:c r="AC973" s="33" t="n">
        <x:f>--OR(WorkforceData[[#This Row],[Status]]="Resigned",WorkforceData[[#This Row],[Status After Training]]="Withdrew")</x:f>
        <x:v>0</x:v>
      </x:c>
      <x:c r="AD973" s="34" t="n">
        <x:f>EOMONTH(WorkforceData[[#This Row],[Training Date]],0)</x:f>
        <x:v>45991</x:v>
      </x:c>
      <x:c r="AE973" s="32" t="str">
        <x:f>IF(M973&lt;H973,"Existing Employee",IF(U973="","No Assignment",IF(V973=0,"0 Days",IF(V973&lt;=7,"1-7 Days",IF(V973&lt;=14,"8-14 Days",IF(V973&lt;=21,"15-21 Days","21+ Days"))))))</x:f>
        <x:v>Existing Employee</x:v>
      </x:c>
      <x:c r="AF97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973" s="33" t="n">
        <x:f>--(WorkforceData[[#This Row],[Total Days Worked]]&gt;=121)</x:f>
        <x:v>1</x:v>
      </x:c>
    </x:row>
    <x:row r="974">
      <x:c r="A974" s="236" t="str">
        <x:v>TRN-0973</x:v>
      </x:c>
      <x:c r="B974" s="243"/>
      <x:c r="C974" s="243"/>
      <x:c r="D974" s="243"/>
      <x:c r="E974" s="243"/>
      <x:c r="F974" s="14" t="str">
        <x:v>Recruiter A</x:v>
      </x:c>
      <x:c r="G974" s="14" t="str">
        <x:v>Training Center A</x:v>
      </x:c>
      <x:c r="H974" s="28">
        <x:v>45978</x:v>
      </x:c>
      <x:c r="I974" s="14">
        <x:v>2025</x:v>
      </x:c>
      <x:c r="J974" s="14" t="s">
        <x:v>134</x:v>
      </x:c>
      <x:c r="K974" s="14">
        <x:v>22</x:v>
      </x:c>
      <x:c r="L974" s="29" t="s">
        <x:v>101</x:v>
      </x:c>
      <x:c r="M974" s="28">
        <x:v>45977</x:v>
      </x:c>
      <x:c r="N974" s="14"/>
      <x:c r="O974" s="14">
        <x:v>274</x:v>
      </x:c>
      <x:c r="P974" s="14" t="s">
        <x:v>107</x:v>
      </x:c>
      <x:c r="Q974" s="14" t="s">
        <x:v>25</x:v>
      </x:c>
      <x:c r="R974" s="14"/>
      <x:c r="S974" s="14" t="s">
        <x:v>108</x:v>
      </x:c>
      <x:c r="T974" s="14" t="str">
        <x:v>Region C</x:v>
      </x:c>
      <x:c r="U974" s="28">
        <x:v>45980</x:v>
      </x:c>
      <x:c r="V974" s="30">
        <x:v>2</x:v>
      </x:c>
      <x:c r="W974" s="14" t="s">
        <x:v>109</x:v>
      </x:c>
      <x:c r="X974" s="14" t="s">
        <x:v>106</x:v>
      </x:c>
      <x:c r="Y974" s="32" t="str">
        <x:v>TRN-0973|20251117</x:v>
      </x:c>
      <x:c r="Z974" s="32" t="str" cm="1">
        <x:f t="array" ref="Z97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974" s="33" t="n">
        <x:f>--OR(WorkforceData[[#This Row],[Status]]="Active",WorkforceData[[#This Row],[Promoted]]="Yes",WorkforceData[[#This Row],[Total Days Worked]]&gt;=121)</x:f>
        <x:v>1</x:v>
      </x:c>
      <x:c r="AB974" s="33" t="n">
        <x:f>IF(AND(Q974="Terminated",R974="",O974=0),1,0)</x:f>
        <x:v>0</x:v>
      </x:c>
      <x:c r="AC974" s="33" t="n">
        <x:f>--OR(WorkforceData[[#This Row],[Status]]="Resigned",WorkforceData[[#This Row],[Status After Training]]="Withdrew")</x:f>
        <x:v>0</x:v>
      </x:c>
      <x:c r="AD974" s="34" t="n">
        <x:f>EOMONTH(WorkforceData[[#This Row],[Training Date]],0)</x:f>
        <x:v>45991</x:v>
      </x:c>
      <x:c r="AE974" s="32" t="str">
        <x:f>IF(M974&lt;H974,"Existing Employee",IF(U974="","No Assignment",IF(V974=0,"0 Days",IF(V974&lt;=7,"1-7 Days",IF(V974&lt;=14,"8-14 Days",IF(V974&lt;=21,"15-21 Days","21+ Days"))))))</x:f>
        <x:v>Existing Employee</x:v>
      </x:c>
      <x:c r="AF97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974" s="33" t="n">
        <x:f>--(WorkforceData[[#This Row],[Total Days Worked]]&gt;=121)</x:f>
        <x:v>1</x:v>
      </x:c>
    </x:row>
    <x:row r="975">
      <x:c r="A975" s="236" t="str">
        <x:v>TRN-0974</x:v>
      </x:c>
      <x:c r="B975" s="243"/>
      <x:c r="C975" s="243"/>
      <x:c r="D975" s="243"/>
      <x:c r="E975" s="243"/>
      <x:c r="F975" s="14" t="str">
        <x:v>Recruiter B</x:v>
      </x:c>
      <x:c r="G975" s="14" t="str">
        <x:v>Training Center A</x:v>
      </x:c>
      <x:c r="H975" s="28">
        <x:v>45978</x:v>
      </x:c>
      <x:c r="I975" s="14">
        <x:v>2025</x:v>
      </x:c>
      <x:c r="J975" s="14" t="s">
        <x:v>134</x:v>
      </x:c>
      <x:c r="K975" s="14">
        <x:v>22</x:v>
      </x:c>
      <x:c r="L975" s="29" t="s">
        <x:v>101</x:v>
      </x:c>
      <x:c r="M975" s="28">
        <x:v>45977</x:v>
      </x:c>
      <x:c r="N975" s="28">
        <x:v>45979</x:v>
      </x:c>
      <x:c r="O975" s="14">
        <x:v>2</x:v>
      </x:c>
      <x:c r="P975" s="14" t="s">
        <x:v>102</x:v>
      </x:c>
      <x:c r="Q975" s="14" t="s">
        <x:v>33</x:v>
      </x:c>
      <x:c r="R975" s="14" t="s">
        <x:v>116</x:v>
      </x:c>
      <x:c r="S975" s="14" t="s">
        <x:v>105</x:v>
      </x:c>
      <x:c r="T975" s="14" t="str">
        <x:v>Region E</x:v>
      </x:c>
      <x:c r="U975" s="28">
        <x:v>45979</x:v>
      </x:c>
      <x:c r="V975" s="30">
        <x:v>1</x:v>
      </x:c>
      <x:c r="W975" s="14" t="s">
        <x:v>109</x:v>
      </x:c>
      <x:c r="X975" s="14" t="s">
        <x:v>106</x:v>
      </x:c>
      <x:c r="Y975" s="32" t="str">
        <x:v>TRN-0974|20251117</x:v>
      </x:c>
      <x:c r="Z975" s="32" t="str" cm="1">
        <x:f t="array" ref="Z97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975" s="33" t="n">
        <x:f>--OR(WorkforceData[[#This Row],[Status]]="Active",WorkforceData[[#This Row],[Promoted]]="Yes",WorkforceData[[#This Row],[Total Days Worked]]&gt;=121)</x:f>
        <x:v>0</x:v>
      </x:c>
      <x:c r="AB975" s="33" t="n">
        <x:f>IF(AND(Q975="Terminated",R975="",O975=0),1,0)</x:f>
        <x:v>0</x:v>
      </x:c>
      <x:c r="AC975" s="33" t="n">
        <x:f>--OR(WorkforceData[[#This Row],[Status]]="Resigned",WorkforceData[[#This Row],[Status After Training]]="Withdrew")</x:f>
        <x:v>0</x:v>
      </x:c>
      <x:c r="AD975" s="34" t="n">
        <x:f>EOMONTH(WorkforceData[[#This Row],[Training Date]],0)</x:f>
        <x:v>45991</x:v>
      </x:c>
      <x:c r="AE975" s="32" t="str">
        <x:f>IF(M975&lt;H975,"Existing Employee",IF(U975="","No Assignment",IF(V975=0,"0 Days",IF(V975&lt;=7,"1-7 Days",IF(V975&lt;=14,"8-14 Days",IF(V975&lt;=21,"15-21 Days","21+ Days"))))))</x:f>
        <x:v>Existing Employee</x:v>
      </x:c>
      <x:c r="AF97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1-7 Days</x:v>
      </x:c>
      <x:c r="AG975" s="33" t="n">
        <x:f>--(WorkforceData[[#This Row],[Total Days Worked]]&gt;=121)</x:f>
        <x:v>0</x:v>
      </x:c>
    </x:row>
    <x:row r="976">
      <x:c r="A976" s="236" t="str">
        <x:v>TRN-0975</x:v>
      </x:c>
      <x:c r="B976" s="243"/>
      <x:c r="C976" s="243"/>
      <x:c r="D976" s="243"/>
      <x:c r="E976" s="243"/>
      <x:c r="F976" s="14" t="str">
        <x:v>Recruiter A</x:v>
      </x:c>
      <x:c r="G976" s="14" t="str">
        <x:v>Training Center A</x:v>
      </x:c>
      <x:c r="H976" s="28">
        <x:v>45978</x:v>
      </x:c>
      <x:c r="I976" s="14">
        <x:v>2025</x:v>
      </x:c>
      <x:c r="J976" s="14" t="s">
        <x:v>134</x:v>
      </x:c>
      <x:c r="K976" s="14">
        <x:v>22</x:v>
      </x:c>
      <x:c r="L976" s="29" t="s">
        <x:v>101</x:v>
      </x:c>
      <x:c r="M976" s="28">
        <x:v>45976</x:v>
      </x:c>
      <x:c r="N976" s="14"/>
      <x:c r="O976" s="14">
        <x:v>275</x:v>
      </x:c>
      <x:c r="P976" s="14" t="s">
        <x:v>107</x:v>
      </x:c>
      <x:c r="Q976" s="14" t="s">
        <x:v>25</x:v>
      </x:c>
      <x:c r="R976" s="14"/>
      <x:c r="S976" s="14" t="s">
        <x:v>108</x:v>
      </x:c>
      <x:c r="T976" s="14" t="str">
        <x:v>Region E</x:v>
      </x:c>
      <x:c r="U976" s="28">
        <x:v>45998</x:v>
      </x:c>
      <x:c r="V976" s="30">
        <x:v>20</x:v>
      </x:c>
      <x:c r="W976" s="14" t="s">
        <x:v>112</x:v>
      </x:c>
      <x:c r="X976" s="14" t="s">
        <x:v>106</x:v>
      </x:c>
      <x:c r="Y976" s="32" t="str">
        <x:v>TRN-0975|20251117</x:v>
      </x:c>
      <x:c r="Z976" s="32" t="str" cm="1">
        <x:f t="array" ref="Z97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976" s="33" t="n">
        <x:f>--OR(WorkforceData[[#This Row],[Status]]="Active",WorkforceData[[#This Row],[Promoted]]="Yes",WorkforceData[[#This Row],[Total Days Worked]]&gt;=121)</x:f>
        <x:v>1</x:v>
      </x:c>
      <x:c r="AB976" s="33" t="n">
        <x:f>IF(AND(Q976="Terminated",R976="",O976=0),1,0)</x:f>
        <x:v>0</x:v>
      </x:c>
      <x:c r="AC976" s="33" t="n">
        <x:f>--OR(WorkforceData[[#This Row],[Status]]="Resigned",WorkforceData[[#This Row],[Status After Training]]="Withdrew")</x:f>
        <x:v>0</x:v>
      </x:c>
      <x:c r="AD976" s="34" t="n">
        <x:f>EOMONTH(WorkforceData[[#This Row],[Training Date]],0)</x:f>
        <x:v>45991</x:v>
      </x:c>
      <x:c r="AE976" s="32" t="str">
        <x:f>IF(M976&lt;H976,"Existing Employee",IF(U976="","No Assignment",IF(V976=0,"0 Days",IF(V976&lt;=7,"1-7 Days",IF(V976&lt;=14,"8-14 Days",IF(V976&lt;=21,"15-21 Days","21+ Days"))))))</x:f>
        <x:v>Existing Employee</x:v>
      </x:c>
      <x:c r="AF97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976" s="33" t="n">
        <x:f>--(WorkforceData[[#This Row],[Total Days Worked]]&gt;=121)</x:f>
        <x:v>1</x:v>
      </x:c>
    </x:row>
    <x:row r="977">
      <x:c r="A977" s="236" t="str">
        <x:v>TRN-0976</x:v>
      </x:c>
      <x:c r="B977" s="243"/>
      <x:c r="C977" s="243"/>
      <x:c r="D977" s="243"/>
      <x:c r="E977" s="243"/>
      <x:c r="F977" s="14" t="str">
        <x:v>Recruiter B</x:v>
      </x:c>
      <x:c r="G977" s="14" t="str">
        <x:v>Training Center A</x:v>
      </x:c>
      <x:c r="H977" s="28">
        <x:v>45978</x:v>
      </x:c>
      <x:c r="I977" s="14">
        <x:v>2025</x:v>
      </x:c>
      <x:c r="J977" s="14" t="s">
        <x:v>134</x:v>
      </x:c>
      <x:c r="K977" s="14">
        <x:v>22</x:v>
      </x:c>
      <x:c r="L977" s="29" t="s">
        <x:v>101</x:v>
      </x:c>
      <x:c r="M977" s="28">
        <x:v>45973</x:v>
      </x:c>
      <x:c r="N977" s="28">
        <x:v>45990</x:v>
      </x:c>
      <x:c r="O977" s="14">
        <x:v>17</x:v>
      </x:c>
      <x:c r="P977" s="14" t="s">
        <x:v>102</x:v>
      </x:c>
      <x:c r="Q977" s="14" t="s">
        <x:v>103</x:v>
      </x:c>
      <x:c r="R977" s="14" t="s">
        <x:v>111</x:v>
      </x:c>
      <x:c r="S977" s="14" t="s">
        <x:v>105</x:v>
      </x:c>
      <x:c r="T977" s="14" t="str">
        <x:v>Region B</x:v>
      </x:c>
      <x:c r="U977" s="28">
        <x:v>45990</x:v>
      </x:c>
      <x:c r="V977" s="30">
        <x:v>12</x:v>
      </x:c>
      <x:c r="W977" s="14" t="s">
        <x:v>45</x:v>
      </x:c>
      <x:c r="X977" s="14" t="s">
        <x:v>106</x:v>
      </x:c>
      <x:c r="Y977" s="32" t="str">
        <x:v>TRN-0976|20251117</x:v>
      </x:c>
      <x:c r="Z977" s="32" t="str" cm="1">
        <x:f t="array" ref="Z97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977" s="33" t="n">
        <x:f>--OR(WorkforceData[[#This Row],[Status]]="Active",WorkforceData[[#This Row],[Promoted]]="Yes",WorkforceData[[#This Row],[Total Days Worked]]&gt;=121)</x:f>
        <x:v>0</x:v>
      </x:c>
      <x:c r="AB977" s="33" t="n">
        <x:f>IF(AND(Q977="Terminated",R977="",O977=0),1,0)</x:f>
        <x:v>0</x:v>
      </x:c>
      <x:c r="AC977" s="33" t="n">
        <x:f>--OR(WorkforceData[[#This Row],[Status]]="Resigned",WorkforceData[[#This Row],[Status After Training]]="Withdrew")</x:f>
        <x:v>1</x:v>
      </x:c>
      <x:c r="AD977" s="34" t="n">
        <x:f>EOMONTH(WorkforceData[[#This Row],[Training Date]],0)</x:f>
        <x:v>45991</x:v>
      </x:c>
      <x:c r="AE977" s="32" t="str">
        <x:f>IF(M977&lt;H977,"Existing Employee",IF(U977="","No Assignment",IF(V977=0,"0 Days",IF(V977&lt;=7,"1-7 Days",IF(V977&lt;=14,"8-14 Days",IF(V977&lt;=21,"15-21 Days","21+ Days"))))))</x:f>
        <x:v>Existing Employee</x:v>
      </x:c>
      <x:c r="AF97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977" s="33" t="n">
        <x:f>--(WorkforceData[[#This Row],[Total Days Worked]]&gt;=121)</x:f>
        <x:v>0</x:v>
      </x:c>
    </x:row>
    <x:row r="978">
      <x:c r="A978" s="236" t="str">
        <x:v>TRN-0977</x:v>
      </x:c>
      <x:c r="B978" s="243"/>
      <x:c r="C978" s="243"/>
      <x:c r="D978" s="243"/>
      <x:c r="E978" s="243"/>
      <x:c r="F978" s="14" t="str">
        <x:v>Recruiter A</x:v>
      </x:c>
      <x:c r="G978" s="14" t="str">
        <x:v>Training Center A</x:v>
      </x:c>
      <x:c r="H978" s="28">
        <x:v>45978</x:v>
      </x:c>
      <x:c r="I978" s="14">
        <x:v>2025</x:v>
      </x:c>
      <x:c r="J978" s="14" t="s">
        <x:v>134</x:v>
      </x:c>
      <x:c r="K978" s="14">
        <x:v>22</x:v>
      </x:c>
      <x:c r="L978" s="29" t="s">
        <x:v>101</x:v>
      </x:c>
      <x:c r="M978" s="28">
        <x:v>45976</x:v>
      </x:c>
      <x:c r="N978" s="14"/>
      <x:c r="O978" s="14">
        <x:v>275</x:v>
      </x:c>
      <x:c r="P978" s="14" t="s">
        <x:v>107</x:v>
      </x:c>
      <x:c r="Q978" s="14" t="s">
        <x:v>25</x:v>
      </x:c>
      <x:c r="R978" s="14"/>
      <x:c r="S978" s="14" t="s">
        <x:v>108</x:v>
      </x:c>
      <x:c r="T978" s="14" t="str">
        <x:v>Region C</x:v>
      </x:c>
      <x:c r="U978" s="28">
        <x:v>45979</x:v>
      </x:c>
      <x:c r="V978" s="30">
        <x:v>1</x:v>
      </x:c>
      <x:c r="W978" s="14" t="s">
        <x:v>109</x:v>
      </x:c>
      <x:c r="X978" s="14" t="s">
        <x:v>106</x:v>
      </x:c>
      <x:c r="Y978" s="32" t="str">
        <x:v>TRN-0977|20251117</x:v>
      </x:c>
      <x:c r="Z978" s="32" t="str" cm="1">
        <x:f t="array" ref="Z97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978" s="33" t="n">
        <x:f>--OR(WorkforceData[[#This Row],[Status]]="Active",WorkforceData[[#This Row],[Promoted]]="Yes",WorkforceData[[#This Row],[Total Days Worked]]&gt;=121)</x:f>
        <x:v>1</x:v>
      </x:c>
      <x:c r="AB978" s="33" t="n">
        <x:f>IF(AND(Q978="Terminated",R978="",O978=0),1,0)</x:f>
        <x:v>0</x:v>
      </x:c>
      <x:c r="AC978" s="33" t="n">
        <x:f>--OR(WorkforceData[[#This Row],[Status]]="Resigned",WorkforceData[[#This Row],[Status After Training]]="Withdrew")</x:f>
        <x:v>0</x:v>
      </x:c>
      <x:c r="AD978" s="34" t="n">
        <x:f>EOMONTH(WorkforceData[[#This Row],[Training Date]],0)</x:f>
        <x:v>45991</x:v>
      </x:c>
      <x:c r="AE978" s="32" t="str">
        <x:f>IF(M978&lt;H978,"Existing Employee",IF(U978="","No Assignment",IF(V978=0,"0 Days",IF(V978&lt;=7,"1-7 Days",IF(V978&lt;=14,"8-14 Days",IF(V978&lt;=21,"15-21 Days","21+ Days"))))))</x:f>
        <x:v>Existing Employee</x:v>
      </x:c>
      <x:c r="AF97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978" s="33" t="n">
        <x:f>--(WorkforceData[[#This Row],[Total Days Worked]]&gt;=121)</x:f>
        <x:v>1</x:v>
      </x:c>
    </x:row>
    <x:row r="979">
      <x:c r="A979" s="236" t="str">
        <x:v>TRN-0978</x:v>
      </x:c>
      <x:c r="B979" s="243"/>
      <x:c r="C979" s="243"/>
      <x:c r="D979" s="243"/>
      <x:c r="E979" s="243"/>
      <x:c r="F979" s="14" t="str">
        <x:v>Recruiter B</x:v>
      </x:c>
      <x:c r="G979" s="14" t="str">
        <x:v>Training Center A</x:v>
      </x:c>
      <x:c r="H979" s="28">
        <x:v>45978</x:v>
      </x:c>
      <x:c r="I979" s="14">
        <x:v>2025</x:v>
      </x:c>
      <x:c r="J979" s="14" t="s">
        <x:v>134</x:v>
      </x:c>
      <x:c r="K979" s="14">
        <x:v>22</x:v>
      </x:c>
      <x:c r="L979" s="29" t="s">
        <x:v>101</x:v>
      </x:c>
      <x:c r="M979" s="28">
        <x:v>45978</x:v>
      </x:c>
      <x:c r="N979" s="14"/>
      <x:c r="O979" s="14">
        <x:v>273</x:v>
      </x:c>
      <x:c r="P979" s="14" t="s">
        <x:v>107</x:v>
      </x:c>
      <x:c r="Q979" s="14" t="s">
        <x:v>25</x:v>
      </x:c>
      <x:c r="R979" s="14"/>
      <x:c r="S979" s="14" t="s">
        <x:v>108</x:v>
      </x:c>
      <x:c r="T979" s="14" t="str">
        <x:v>Region A</x:v>
      </x:c>
      <x:c r="U979" s="28">
        <x:v>45984</x:v>
      </x:c>
      <x:c r="V979" s="30">
        <x:v>6</x:v>
      </x:c>
      <x:c r="W979" s="14" t="s">
        <x:v>109</x:v>
      </x:c>
      <x:c r="X979" s="14" t="s">
        <x:v>106</x:v>
      </x:c>
      <x:c r="Y979" s="32" t="str">
        <x:v>TRN-0978|20251117</x:v>
      </x:c>
      <x:c r="Z979" s="32" t="str" cm="1">
        <x:f t="array" ref="Z97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979" s="33" t="n">
        <x:f>--OR(WorkforceData[[#This Row],[Status]]="Active",WorkforceData[[#This Row],[Promoted]]="Yes",WorkforceData[[#This Row],[Total Days Worked]]&gt;=121)</x:f>
        <x:v>1</x:v>
      </x:c>
      <x:c r="AB979" s="33" t="n">
        <x:f>IF(AND(Q979="Terminated",R979="",O979=0),1,0)</x:f>
        <x:v>0</x:v>
      </x:c>
      <x:c r="AC979" s="33" t="n">
        <x:f>--OR(WorkforceData[[#This Row],[Status]]="Resigned",WorkforceData[[#This Row],[Status After Training]]="Withdrew")</x:f>
        <x:v>0</x:v>
      </x:c>
      <x:c r="AD979" s="34" t="n">
        <x:f>EOMONTH(WorkforceData[[#This Row],[Training Date]],0)</x:f>
        <x:v>45991</x:v>
      </x:c>
      <x:c r="AE979" s="32" t="str">
        <x:f>IF(M979&lt;H979,"Existing Employee",IF(U979="","No Assignment",IF(V979=0,"0 Days",IF(V979&lt;=7,"1-7 Days",IF(V979&lt;=14,"8-14 Days",IF(V979&lt;=21,"15-21 Days","21+ Days"))))))</x:f>
        <x:v>1-7 Days</x:v>
      </x:c>
      <x:c r="AF97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979" s="33" t="n">
        <x:f>--(WorkforceData[[#This Row],[Total Days Worked]]&gt;=121)</x:f>
        <x:v>1</x:v>
      </x:c>
    </x:row>
    <x:row r="980">
      <x:c r="A980" s="236" t="str">
        <x:v>TRN-0979</x:v>
      </x:c>
      <x:c r="B980" s="243"/>
      <x:c r="C980" s="243"/>
      <x:c r="D980" s="243"/>
      <x:c r="E980" s="243"/>
      <x:c r="F980" s="14" t="str">
        <x:v>Recruiter H</x:v>
      </x:c>
      <x:c r="G980" s="14" t="str">
        <x:v>Training Center A</x:v>
      </x:c>
      <x:c r="H980" s="28">
        <x:v>45978</x:v>
      </x:c>
      <x:c r="I980" s="14">
        <x:v>2025</x:v>
      </x:c>
      <x:c r="J980" s="14" t="s">
        <x:v>134</x:v>
      </x:c>
      <x:c r="K980" s="14">
        <x:v>22</x:v>
      </x:c>
      <x:c r="L980" s="29" t="s">
        <x:v>101</x:v>
      </x:c>
      <x:c r="M980" s="28">
        <x:v>45973</x:v>
      </x:c>
      <x:c r="N980" s="28">
        <x:v>46043</x:v>
      </x:c>
      <x:c r="O980" s="14">
        <x:v>70</x:v>
      </x:c>
      <x:c r="P980" s="14" t="s">
        <x:v>110</x:v>
      </x:c>
      <x:c r="Q980" s="14" t="s">
        <x:v>103</x:v>
      </x:c>
      <x:c r="R980" s="14" t="s">
        <x:v>104</x:v>
      </x:c>
      <x:c r="S980" s="14" t="s">
        <x:v>105</x:v>
      </x:c>
      <x:c r="T980" s="14"/>
      <x:c r="U980" s="28"/>
      <x:c r="V980" s="30"/>
      <x:c r="W980" s="14"/>
      <x:c r="X980" s="14" t="s">
        <x:v>71</x:v>
      </x:c>
      <x:c r="Y980" s="32" t="str">
        <x:v>TRN-0979|20251117</x:v>
      </x:c>
      <x:c r="Z980" s="32" t="str" cm="1">
        <x:f t="array" ref="Z98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980" s="33" t="n">
        <x:f>--OR(WorkforceData[[#This Row],[Status]]="Active",WorkforceData[[#This Row],[Promoted]]="Yes",WorkforceData[[#This Row],[Total Days Worked]]&gt;=121)</x:f>
        <x:v>0</x:v>
      </x:c>
      <x:c r="AB980" s="33" t="n">
        <x:f>IF(AND(Q980="Terminated",R980="",O980=0),1,0)</x:f>
        <x:v>0</x:v>
      </x:c>
      <x:c r="AC980" s="33" t="n">
        <x:f>--OR(WorkforceData[[#This Row],[Status]]="Resigned",WorkforceData[[#This Row],[Status After Training]]="Withdrew")</x:f>
        <x:v>1</x:v>
      </x:c>
      <x:c r="AD980" s="34" t="n">
        <x:f>EOMONTH(WorkforceData[[#This Row],[Training Date]],0)</x:f>
        <x:v>45991</x:v>
      </x:c>
      <x:c r="AE980" s="32" t="str">
        <x:f>IF(M980&lt;H980,"Existing Employee",IF(U980="","No Assignment",IF(V980=0,"0 Days",IF(V980&lt;=7,"1-7 Days",IF(V980&lt;=14,"8-14 Days",IF(V980&lt;=21,"15-21 Days","21+ Days"))))))</x:f>
        <x:v>Existing Employee</x:v>
      </x:c>
      <x:c r="AF98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61-90 Days</x:v>
      </x:c>
      <x:c r="AG980" s="33" t="n">
        <x:f>--(WorkforceData[[#This Row],[Total Days Worked]]&gt;=121)</x:f>
        <x:v>0</x:v>
      </x:c>
    </x:row>
    <x:row r="981">
      <x:c r="A981" s="236" t="str">
        <x:v>TRN-0980</x:v>
      </x:c>
      <x:c r="B981" s="243"/>
      <x:c r="C981" s="243"/>
      <x:c r="D981" s="243"/>
      <x:c r="E981" s="243"/>
      <x:c r="F981" s="14" t="str">
        <x:v>Recruiter E</x:v>
      </x:c>
      <x:c r="G981" s="14" t="str">
        <x:v>Training Center A</x:v>
      </x:c>
      <x:c r="H981" s="28">
        <x:v>45978</x:v>
      </x:c>
      <x:c r="I981" s="14">
        <x:v>2025</x:v>
      </x:c>
      <x:c r="J981" s="14" t="s">
        <x:v>134</x:v>
      </x:c>
      <x:c r="K981" s="14">
        <x:v>22</x:v>
      </x:c>
      <x:c r="L981" s="29" t="s">
        <x:v>101</x:v>
      </x:c>
      <x:c r="M981" s="28">
        <x:v>45973</x:v>
      </x:c>
      <x:c r="N981" s="28">
        <x:v>46000</x:v>
      </x:c>
      <x:c r="O981" s="14">
        <x:v>27</x:v>
      </x:c>
      <x:c r="P981" s="14" t="s">
        <x:v>102</x:v>
      </x:c>
      <x:c r="Q981" s="14" t="s">
        <x:v>33</x:v>
      </x:c>
      <x:c r="R981" s="14" t="s">
        <x:v>124</x:v>
      </x:c>
      <x:c r="S981" s="14" t="s">
        <x:v>105</x:v>
      </x:c>
      <x:c r="T981" s="14" t="str">
        <x:v>Region D</x:v>
      </x:c>
      <x:c r="U981" s="28">
        <x:v>45982</x:v>
      </x:c>
      <x:c r="V981" s="30">
        <x:v>4</x:v>
      </x:c>
      <x:c r="W981" s="14" t="s">
        <x:v>109</x:v>
      </x:c>
      <x:c r="X981" s="14" t="s">
        <x:v>106</x:v>
      </x:c>
      <x:c r="Y981" s="32" t="str">
        <x:v>TRN-0980|20251117</x:v>
      </x:c>
      <x:c r="Z981" s="32" t="str" cm="1">
        <x:f t="array" ref="Z98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981" s="33" t="n">
        <x:f>--OR(WorkforceData[[#This Row],[Status]]="Active",WorkforceData[[#This Row],[Promoted]]="Yes",WorkforceData[[#This Row],[Total Days Worked]]&gt;=121)</x:f>
        <x:v>0</x:v>
      </x:c>
      <x:c r="AB981" s="33" t="n">
        <x:f>IF(AND(Q981="Terminated",R981="",O981=0),1,0)</x:f>
        <x:v>0</x:v>
      </x:c>
      <x:c r="AC981" s="33" t="n">
        <x:f>--OR(WorkforceData[[#This Row],[Status]]="Resigned",WorkforceData[[#This Row],[Status After Training]]="Withdrew")</x:f>
        <x:v>0</x:v>
      </x:c>
      <x:c r="AD981" s="34" t="n">
        <x:f>EOMONTH(WorkforceData[[#This Row],[Training Date]],0)</x:f>
        <x:v>45991</x:v>
      </x:c>
      <x:c r="AE981" s="32" t="str">
        <x:f>IF(M981&lt;H981,"Existing Employee",IF(U981="","No Assignment",IF(V981=0,"0 Days",IF(V981&lt;=7,"1-7 Days",IF(V981&lt;=14,"8-14 Days",IF(V981&lt;=21,"15-21 Days","21+ Days"))))))</x:f>
        <x:v>Existing Employee</x:v>
      </x:c>
      <x:c r="AF98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981" s="33" t="n">
        <x:f>--(WorkforceData[[#This Row],[Total Days Worked]]&gt;=121)</x:f>
        <x:v>0</x:v>
      </x:c>
    </x:row>
    <x:row r="982">
      <x:c r="A982" s="236" t="str">
        <x:v>TRN-0981</x:v>
      </x:c>
      <x:c r="B982" s="243"/>
      <x:c r="C982" s="243"/>
      <x:c r="D982" s="243"/>
      <x:c r="E982" s="243"/>
      <x:c r="F982" s="14" t="str">
        <x:v>Recruiter F</x:v>
      </x:c>
      <x:c r="G982" s="14" t="str">
        <x:v>Training Center A</x:v>
      </x:c>
      <x:c r="H982" s="28">
        <x:v>45978</x:v>
      </x:c>
      <x:c r="I982" s="14">
        <x:v>2025</x:v>
      </x:c>
      <x:c r="J982" s="14" t="s">
        <x:v>134</x:v>
      </x:c>
      <x:c r="K982" s="14">
        <x:v>22</x:v>
      </x:c>
      <x:c r="L982" s="29" t="s">
        <x:v>101</x:v>
      </x:c>
      <x:c r="M982" s="28">
        <x:v>45978</x:v>
      </x:c>
      <x:c r="N982" s="28">
        <x:v>46178</x:v>
      </x:c>
      <x:c r="O982" s="14">
        <x:v>200</x:v>
      </x:c>
      <x:c r="P982" s="14" t="s">
        <x:v>107</x:v>
      </x:c>
      <x:c r="Q982" s="14" t="s">
        <x:v>103</x:v>
      </x:c>
      <x:c r="R982" s="14" t="s">
        <x:v>104</x:v>
      </x:c>
      <x:c r="S982" s="14" t="s">
        <x:v>108</x:v>
      </x:c>
      <x:c r="T982" s="14" t="str">
        <x:v>Region B</x:v>
      </x:c>
      <x:c r="U982" s="28">
        <x:v>46073</x:v>
      </x:c>
      <x:c r="V982" s="30">
        <x:v>95</x:v>
      </x:c>
      <x:c r="W982" s="14" t="s">
        <x:v>114</x:v>
      </x:c>
      <x:c r="X982" s="14" t="s">
        <x:v>117</x:v>
      </x:c>
      <x:c r="Y982" s="32" t="str">
        <x:v>TRN-0981|20251117</x:v>
      </x:c>
      <x:c r="Z982" s="32" t="str" cm="1">
        <x:f t="array" ref="Z98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982" s="33" t="n">
        <x:f>--OR(WorkforceData[[#This Row],[Status]]="Active",WorkforceData[[#This Row],[Promoted]]="Yes",WorkforceData[[#This Row],[Total Days Worked]]&gt;=121)</x:f>
        <x:v>1</x:v>
      </x:c>
      <x:c r="AB982" s="33" t="n">
        <x:f>IF(AND(Q982="Terminated",R982="",O982=0),1,0)</x:f>
        <x:v>0</x:v>
      </x:c>
      <x:c r="AC982" s="33" t="n">
        <x:f>--OR(WorkforceData[[#This Row],[Status]]="Resigned",WorkforceData[[#This Row],[Status After Training]]="Withdrew")</x:f>
        <x:v>1</x:v>
      </x:c>
      <x:c r="AD982" s="34" t="n">
        <x:f>EOMONTH(WorkforceData[[#This Row],[Training Date]],0)</x:f>
        <x:v>45991</x:v>
      </x:c>
      <x:c r="AE982" s="32" t="str">
        <x:f>IF(M982&lt;H982,"Existing Employee",IF(U982="","No Assignment",IF(V982=0,"0 Days",IF(V982&lt;=7,"1-7 Days",IF(V982&lt;=14,"8-14 Days",IF(V982&lt;=21,"15-21 Days","21+ Days"))))))</x:f>
        <x:v>21+ Days</x:v>
      </x:c>
      <x:c r="AF98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982" s="33" t="n">
        <x:f>--(WorkforceData[[#This Row],[Total Days Worked]]&gt;=121)</x:f>
        <x:v>1</x:v>
      </x:c>
    </x:row>
    <x:row r="983">
      <x:c r="A983" s="236" t="str">
        <x:v>TRN-0982</x:v>
      </x:c>
      <x:c r="B983" s="243"/>
      <x:c r="C983" s="243"/>
      <x:c r="D983" s="243"/>
      <x:c r="E983" s="243"/>
      <x:c r="F983" s="14" t="str">
        <x:v>Recruiter H</x:v>
      </x:c>
      <x:c r="G983" s="14" t="str">
        <x:v>Training Center A</x:v>
      </x:c>
      <x:c r="H983" s="28">
        <x:v>45978</x:v>
      </x:c>
      <x:c r="I983" s="14">
        <x:v>2025</x:v>
      </x:c>
      <x:c r="J983" s="14" t="s">
        <x:v>134</x:v>
      </x:c>
      <x:c r="K983" s="14">
        <x:v>22</x:v>
      </x:c>
      <x:c r="L983" s="29" t="s">
        <x:v>101</x:v>
      </x:c>
      <x:c r="M983" s="28">
        <x:v>45978</x:v>
      </x:c>
      <x:c r="N983" s="28">
        <x:v>46251</x:v>
      </x:c>
      <x:c r="O983" s="14">
        <x:v>273</x:v>
      </x:c>
      <x:c r="P983" s="14" t="s">
        <x:v>107</x:v>
      </x:c>
      <x:c r="Q983" s="14" t="s">
        <x:v>103</x:v>
      </x:c>
      <x:c r="R983" s="14" t="s">
        <x:v>104</x:v>
      </x:c>
      <x:c r="S983" s="14" t="s">
        <x:v>108</x:v>
      </x:c>
      <x:c r="T983" s="14" t="str">
        <x:v>Region B</x:v>
      </x:c>
      <x:c r="U983" s="28">
        <x:v>45983</x:v>
      </x:c>
      <x:c r="V983" s="30">
        <x:v>5</x:v>
      </x:c>
      <x:c r="W983" s="14" t="s">
        <x:v>109</x:v>
      </x:c>
      <x:c r="X983" s="14" t="s">
        <x:v>106</x:v>
      </x:c>
      <x:c r="Y983" s="32" t="str">
        <x:v>TRN-0982|20251117</x:v>
      </x:c>
      <x:c r="Z983" s="32" t="str" cm="1">
        <x:f t="array" ref="Z98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983" s="33" t="n">
        <x:f>--OR(WorkforceData[[#This Row],[Status]]="Active",WorkforceData[[#This Row],[Promoted]]="Yes",WorkforceData[[#This Row],[Total Days Worked]]&gt;=121)</x:f>
        <x:v>1</x:v>
      </x:c>
      <x:c r="AB983" s="33" t="n">
        <x:f>IF(AND(Q983="Terminated",R983="",O983=0),1,0)</x:f>
        <x:v>0</x:v>
      </x:c>
      <x:c r="AC983" s="33" t="n">
        <x:f>--OR(WorkforceData[[#This Row],[Status]]="Resigned",WorkforceData[[#This Row],[Status After Training]]="Withdrew")</x:f>
        <x:v>1</x:v>
      </x:c>
      <x:c r="AD983" s="34" t="n">
        <x:f>EOMONTH(WorkforceData[[#This Row],[Training Date]],0)</x:f>
        <x:v>45991</x:v>
      </x:c>
      <x:c r="AE983" s="32" t="str">
        <x:f>IF(M983&lt;H983,"Existing Employee",IF(U983="","No Assignment",IF(V983=0,"0 Days",IF(V983&lt;=7,"1-7 Days",IF(V983&lt;=14,"8-14 Days",IF(V983&lt;=21,"15-21 Days","21+ Days"))))))</x:f>
        <x:v>1-7 Days</x:v>
      </x:c>
      <x:c r="AF98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983" s="33" t="n">
        <x:f>--(WorkforceData[[#This Row],[Total Days Worked]]&gt;=121)</x:f>
        <x:v>1</x:v>
      </x:c>
    </x:row>
    <x:row r="984">
      <x:c r="A984" s="236" t="str">
        <x:v>TRN-0983</x:v>
      </x:c>
      <x:c r="B984" s="243"/>
      <x:c r="C984" s="243"/>
      <x:c r="D984" s="243"/>
      <x:c r="E984" s="243"/>
      <x:c r="F984" s="14" t="str">
        <x:v>Recruiter G</x:v>
      </x:c>
      <x:c r="G984" s="14" t="str">
        <x:v>Training Center A</x:v>
      </x:c>
      <x:c r="H984" s="28">
        <x:v>45978</x:v>
      </x:c>
      <x:c r="I984" s="14">
        <x:v>2025</x:v>
      </x:c>
      <x:c r="J984" s="14" t="s">
        <x:v>134</x:v>
      </x:c>
      <x:c r="K984" s="14">
        <x:v>22</x:v>
      </x:c>
      <x:c r="L984" s="29" t="s">
        <x:v>101</x:v>
      </x:c>
      <x:c r="M984" s="28">
        <x:v>45973</x:v>
      </x:c>
      <x:c r="N984" s="28">
        <x:v>46064</x:v>
      </x:c>
      <x:c r="O984" s="14">
        <x:v>91</x:v>
      </x:c>
      <x:c r="P984" s="14" t="s">
        <x:v>113</x:v>
      </x:c>
      <x:c r="Q984" s="14" t="s">
        <x:v>103</x:v>
      </x:c>
      <x:c r="R984" s="14" t="s">
        <x:v>111</x:v>
      </x:c>
      <x:c r="S984" s="14" t="s">
        <x:v>105</x:v>
      </x:c>
      <x:c r="T984" s="14"/>
      <x:c r="U984" s="28"/>
      <x:c r="V984" s="30"/>
      <x:c r="W984" s="14"/>
      <x:c r="X984" s="14" t="s">
        <x:v>71</x:v>
      </x:c>
      <x:c r="Y984" s="32" t="str">
        <x:v>TRN-0983|20251117</x:v>
      </x:c>
      <x:c r="Z984" s="32" t="str" cm="1">
        <x:f t="array" ref="Z98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984" s="33" t="n">
        <x:f>--OR(WorkforceData[[#This Row],[Status]]="Active",WorkforceData[[#This Row],[Promoted]]="Yes",WorkforceData[[#This Row],[Total Days Worked]]&gt;=121)</x:f>
        <x:v>0</x:v>
      </x:c>
      <x:c r="AB984" s="33" t="n">
        <x:f>IF(AND(Q984="Terminated",R984="",O984=0),1,0)</x:f>
        <x:v>0</x:v>
      </x:c>
      <x:c r="AC984" s="33" t="n">
        <x:f>--OR(WorkforceData[[#This Row],[Status]]="Resigned",WorkforceData[[#This Row],[Status After Training]]="Withdrew")</x:f>
        <x:v>1</x:v>
      </x:c>
      <x:c r="AD984" s="34" t="n">
        <x:f>EOMONTH(WorkforceData[[#This Row],[Training Date]],0)</x:f>
        <x:v>45991</x:v>
      </x:c>
      <x:c r="AE984" s="32" t="str">
        <x:f>IF(M984&lt;H984,"Existing Employee",IF(U984="","No Assignment",IF(V984=0,"0 Days",IF(V984&lt;=7,"1-7 Days",IF(V984&lt;=14,"8-14 Days",IF(V984&lt;=21,"15-21 Days","21+ Days"))))))</x:f>
        <x:v>Existing Employee</x:v>
      </x:c>
      <x:c r="AF98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91-120 Days</x:v>
      </x:c>
      <x:c r="AG984" s="33" t="n">
        <x:f>--(WorkforceData[[#This Row],[Total Days Worked]]&gt;=121)</x:f>
        <x:v>0</x:v>
      </x:c>
    </x:row>
    <x:row r="985">
      <x:c r="A985" s="236" t="str">
        <x:v>TRN-0984</x:v>
      </x:c>
      <x:c r="B985" s="243"/>
      <x:c r="C985" s="243"/>
      <x:c r="D985" s="243"/>
      <x:c r="E985" s="243"/>
      <x:c r="F985" s="14" t="str">
        <x:v>Recruiter B</x:v>
      </x:c>
      <x:c r="G985" s="14" t="str">
        <x:v>Training Center A</x:v>
      </x:c>
      <x:c r="H985" s="28">
        <x:v>45978</x:v>
      </x:c>
      <x:c r="I985" s="14">
        <x:v>2025</x:v>
      </x:c>
      <x:c r="J985" s="14" t="s">
        <x:v>134</x:v>
      </x:c>
      <x:c r="K985" s="14">
        <x:v>22</x:v>
      </x:c>
      <x:c r="L985" s="29" t="s">
        <x:v>101</x:v>
      </x:c>
      <x:c r="M985" s="28">
        <x:v>45977</x:v>
      </x:c>
      <x:c r="N985" s="28">
        <x:v>45983</x:v>
      </x:c>
      <x:c r="O985" s="14">
        <x:v>6</x:v>
      </x:c>
      <x:c r="P985" s="14" t="s">
        <x:v>102</x:v>
      </x:c>
      <x:c r="Q985" s="14" t="s">
        <x:v>103</x:v>
      </x:c>
      <x:c r="R985" s="14" t="s">
        <x:v>104</x:v>
      </x:c>
      <x:c r="S985" s="14" t="s">
        <x:v>105</x:v>
      </x:c>
      <x:c r="T985" s="14" t="str">
        <x:v>Region A</x:v>
      </x:c>
      <x:c r="U985" s="28">
        <x:v>45983</x:v>
      </x:c>
      <x:c r="V985" s="30">
        <x:v>5</x:v>
      </x:c>
      <x:c r="W985" s="14" t="s">
        <x:v>109</x:v>
      </x:c>
      <x:c r="X985" s="14" t="s">
        <x:v>106</x:v>
      </x:c>
      <x:c r="Y985" s="32" t="str">
        <x:v>TRN-0984|20251117</x:v>
      </x:c>
      <x:c r="Z985" s="32" t="str" cm="1">
        <x:f t="array" ref="Z98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985" s="33" t="n">
        <x:f>--OR(WorkforceData[[#This Row],[Status]]="Active",WorkforceData[[#This Row],[Promoted]]="Yes",WorkforceData[[#This Row],[Total Days Worked]]&gt;=121)</x:f>
        <x:v>0</x:v>
      </x:c>
      <x:c r="AB985" s="33" t="n">
        <x:f>IF(AND(Q985="Terminated",R985="",O985=0),1,0)</x:f>
        <x:v>0</x:v>
      </x:c>
      <x:c r="AC985" s="33" t="n">
        <x:f>--OR(WorkforceData[[#This Row],[Status]]="Resigned",WorkforceData[[#This Row],[Status After Training]]="Withdrew")</x:f>
        <x:v>1</x:v>
      </x:c>
      <x:c r="AD985" s="34" t="n">
        <x:f>EOMONTH(WorkforceData[[#This Row],[Training Date]],0)</x:f>
        <x:v>45991</x:v>
      </x:c>
      <x:c r="AE985" s="32" t="str">
        <x:f>IF(M985&lt;H985,"Existing Employee",IF(U985="","No Assignment",IF(V985=0,"0 Days",IF(V985&lt;=7,"1-7 Days",IF(V985&lt;=14,"8-14 Days",IF(V985&lt;=21,"15-21 Days","21+ Days"))))))</x:f>
        <x:v>Existing Employee</x:v>
      </x:c>
      <x:c r="AF98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1-7 Days</x:v>
      </x:c>
      <x:c r="AG985" s="33" t="n">
        <x:f>--(WorkforceData[[#This Row],[Total Days Worked]]&gt;=121)</x:f>
        <x:v>0</x:v>
      </x:c>
    </x:row>
    <x:row r="986">
      <x:c r="A986" s="236" t="str">
        <x:v>TRN-0985</x:v>
      </x:c>
      <x:c r="B986" s="243"/>
      <x:c r="C986" s="243"/>
      <x:c r="D986" s="243"/>
      <x:c r="E986" s="243"/>
      <x:c r="F986" s="14" t="str">
        <x:v>Recruiter E</x:v>
      </x:c>
      <x:c r="G986" s="14" t="str">
        <x:v>Training Center A</x:v>
      </x:c>
      <x:c r="H986" s="28">
        <x:v>45978</x:v>
      </x:c>
      <x:c r="I986" s="14">
        <x:v>2025</x:v>
      </x:c>
      <x:c r="J986" s="14" t="s">
        <x:v>134</x:v>
      </x:c>
      <x:c r="K986" s="14">
        <x:v>22</x:v>
      </x:c>
      <x:c r="L986" s="29" t="s">
        <x:v>101</x:v>
      </x:c>
      <x:c r="M986" s="28">
        <x:v>45968</x:v>
      </x:c>
      <x:c r="N986" s="28">
        <x:v>46251</x:v>
      </x:c>
      <x:c r="O986" s="14">
        <x:v>283</x:v>
      </x:c>
      <x:c r="P986" s="14" t="s">
        <x:v>107</x:v>
      </x:c>
      <x:c r="Q986" s="14" t="s">
        <x:v>33</x:v>
      </x:c>
      <x:c r="R986" s="14" t="s">
        <x:v>121</x:v>
      </x:c>
      <x:c r="S986" s="14" t="s">
        <x:v>108</x:v>
      </x:c>
      <x:c r="T986" s="14" t="str">
        <x:v>Region B</x:v>
      </x:c>
      <x:c r="U986" s="28">
        <x:v>45987</x:v>
      </x:c>
      <x:c r="V986" s="30">
        <x:v>9</x:v>
      </x:c>
      <x:c r="W986" s="14" t="s">
        <x:v>45</x:v>
      </x:c>
      <x:c r="X986" s="14" t="s">
        <x:v>106</x:v>
      </x:c>
      <x:c r="Y986" s="32" t="str">
        <x:v>TRN-0985|20251117</x:v>
      </x:c>
      <x:c r="Z986" s="32" t="str" cm="1">
        <x:f t="array" ref="Z98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986" s="33" t="n">
        <x:f>--OR(WorkforceData[[#This Row],[Status]]="Active",WorkforceData[[#This Row],[Promoted]]="Yes",WorkforceData[[#This Row],[Total Days Worked]]&gt;=121)</x:f>
        <x:v>1</x:v>
      </x:c>
      <x:c r="AB986" s="33" t="n">
        <x:f>IF(AND(Q986="Terminated",R986="",O986=0),1,0)</x:f>
        <x:v>0</x:v>
      </x:c>
      <x:c r="AC986" s="33" t="n">
        <x:f>--OR(WorkforceData[[#This Row],[Status]]="Resigned",WorkforceData[[#This Row],[Status After Training]]="Withdrew")</x:f>
        <x:v>0</x:v>
      </x:c>
      <x:c r="AD986" s="34" t="n">
        <x:f>EOMONTH(WorkforceData[[#This Row],[Training Date]],0)</x:f>
        <x:v>45991</x:v>
      </x:c>
      <x:c r="AE986" s="32" t="str">
        <x:f>IF(M986&lt;H986,"Existing Employee",IF(U986="","No Assignment",IF(V986=0,"0 Days",IF(V986&lt;=7,"1-7 Days",IF(V986&lt;=14,"8-14 Days",IF(V986&lt;=21,"15-21 Days","21+ Days"))))))</x:f>
        <x:v>Existing Employee</x:v>
      </x:c>
      <x:c r="AF98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986" s="33" t="n">
        <x:f>--(WorkforceData[[#This Row],[Total Days Worked]]&gt;=121)</x:f>
        <x:v>1</x:v>
      </x:c>
    </x:row>
    <x:row r="987">
      <x:c r="A987" s="236" t="str">
        <x:v>TRN-0986</x:v>
      </x:c>
      <x:c r="B987" s="243"/>
      <x:c r="C987" s="243"/>
      <x:c r="D987" s="243"/>
      <x:c r="E987" s="243"/>
      <x:c r="F987" s="14" t="str">
        <x:v>Recruiter B</x:v>
      </x:c>
      <x:c r="G987" s="14" t="str">
        <x:v>Training Center A</x:v>
      </x:c>
      <x:c r="H987" s="28">
        <x:v>45978</x:v>
      </x:c>
      <x:c r="I987" s="14">
        <x:v>2025</x:v>
      </x:c>
      <x:c r="J987" s="14" t="s">
        <x:v>134</x:v>
      </x:c>
      <x:c r="K987" s="14">
        <x:v>22</x:v>
      </x:c>
      <x:c r="L987" s="29" t="s">
        <x:v>101</x:v>
      </x:c>
      <x:c r="M987" s="28">
        <x:v>45977</x:v>
      </x:c>
      <x:c r="N987" s="28">
        <x:v>46251</x:v>
      </x:c>
      <x:c r="O987" s="14">
        <x:v>274</x:v>
      </x:c>
      <x:c r="P987" s="14" t="s">
        <x:v>107</x:v>
      </x:c>
      <x:c r="Q987" s="14" t="s">
        <x:v>103</x:v>
      </x:c>
      <x:c r="R987" s="14" t="s">
        <x:v>104</x:v>
      </x:c>
      <x:c r="S987" s="14" t="s">
        <x:v>108</x:v>
      </x:c>
      <x:c r="T987" s="14" t="str">
        <x:v>Region A</x:v>
      </x:c>
      <x:c r="U987" s="28">
        <x:v>45995</x:v>
      </x:c>
      <x:c r="V987" s="30">
        <x:v>17</x:v>
      </x:c>
      <x:c r="W987" s="14" t="s">
        <x:v>112</x:v>
      </x:c>
      <x:c r="X987" s="14" t="s">
        <x:v>106</x:v>
      </x:c>
      <x:c r="Y987" s="32" t="str">
        <x:v>TRN-0986|20251117</x:v>
      </x:c>
      <x:c r="Z987" s="32" t="str" cm="1">
        <x:f t="array" ref="Z98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987" s="33" t="n">
        <x:f>--OR(WorkforceData[[#This Row],[Status]]="Active",WorkforceData[[#This Row],[Promoted]]="Yes",WorkforceData[[#This Row],[Total Days Worked]]&gt;=121)</x:f>
        <x:v>1</x:v>
      </x:c>
      <x:c r="AB987" s="33" t="n">
        <x:f>IF(AND(Q987="Terminated",R987="",O987=0),1,0)</x:f>
        <x:v>0</x:v>
      </x:c>
      <x:c r="AC987" s="33" t="n">
        <x:f>--OR(WorkforceData[[#This Row],[Status]]="Resigned",WorkforceData[[#This Row],[Status After Training]]="Withdrew")</x:f>
        <x:v>1</x:v>
      </x:c>
      <x:c r="AD987" s="34" t="n">
        <x:f>EOMONTH(WorkforceData[[#This Row],[Training Date]],0)</x:f>
        <x:v>45991</x:v>
      </x:c>
      <x:c r="AE987" s="32" t="str">
        <x:f>IF(M987&lt;H987,"Existing Employee",IF(U987="","No Assignment",IF(V987=0,"0 Days",IF(V987&lt;=7,"1-7 Days",IF(V987&lt;=14,"8-14 Days",IF(V987&lt;=21,"15-21 Days","21+ Days"))))))</x:f>
        <x:v>Existing Employee</x:v>
      </x:c>
      <x:c r="AF98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987" s="33" t="n">
        <x:f>--(WorkforceData[[#This Row],[Total Days Worked]]&gt;=121)</x:f>
        <x:v>1</x:v>
      </x:c>
    </x:row>
    <x:row r="988">
      <x:c r="A988" s="236" t="str">
        <x:v>TRN-0987</x:v>
      </x:c>
      <x:c r="B988" s="243"/>
      <x:c r="C988" s="243"/>
      <x:c r="D988" s="243"/>
      <x:c r="E988" s="243"/>
      <x:c r="F988" s="14" t="str">
        <x:v>Recruiter H</x:v>
      </x:c>
      <x:c r="G988" s="14" t="str">
        <x:v>Training Center A</x:v>
      </x:c>
      <x:c r="H988" s="28">
        <x:v>45978</x:v>
      </x:c>
      <x:c r="I988" s="14">
        <x:v>2025</x:v>
      </x:c>
      <x:c r="J988" s="14" t="s">
        <x:v>134</x:v>
      </x:c>
      <x:c r="K988" s="14">
        <x:v>22</x:v>
      </x:c>
      <x:c r="L988" s="29" t="s">
        <x:v>101</x:v>
      </x:c>
      <x:c r="M988" s="28">
        <x:v>45968</x:v>
      </x:c>
      <x:c r="N988" s="28">
        <x:v>46102</x:v>
      </x:c>
      <x:c r="O988" s="14">
        <x:v>134</x:v>
      </x:c>
      <x:c r="P988" s="14" t="s">
        <x:v>113</x:v>
      </x:c>
      <x:c r="Q988" s="14" t="s">
        <x:v>103</x:v>
      </x:c>
      <x:c r="R988" s="14" t="s">
        <x:v>104</x:v>
      </x:c>
      <x:c r="S988" s="14" t="s">
        <x:v>105</x:v>
      </x:c>
      <x:c r="T988" s="14"/>
      <x:c r="U988" s="28"/>
      <x:c r="V988" s="30"/>
      <x:c r="W988" s="14"/>
      <x:c r="X988" s="14" t="s">
        <x:v>71</x:v>
      </x:c>
      <x:c r="Y988" s="32" t="str">
        <x:v>TRN-0987|20251117</x:v>
      </x:c>
      <x:c r="Z988" s="32" t="str" cm="1">
        <x:f t="array" ref="Z98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Complete</x:v>
      </x:c>
      <x:c r="AA988" s="33" t="n">
        <x:f>--OR(WorkforceData[[#This Row],[Status]]="Active",WorkforceData[[#This Row],[Promoted]]="Yes",WorkforceData[[#This Row],[Total Days Worked]]&gt;=121)</x:f>
        <x:v>1</x:v>
      </x:c>
      <x:c r="AB988" s="33" t="n">
        <x:f>IF(AND(Q988="Terminated",R988="",O988=0),1,0)</x:f>
        <x:v>0</x:v>
      </x:c>
      <x:c r="AC988" s="33" t="n">
        <x:f>--OR(WorkforceData[[#This Row],[Status]]="Resigned",WorkforceData[[#This Row],[Status After Training]]="Withdrew")</x:f>
        <x:v>1</x:v>
      </x:c>
      <x:c r="AD988" s="34" t="n">
        <x:f>EOMONTH(WorkforceData[[#This Row],[Training Date]],0)</x:f>
        <x:v>45991</x:v>
      </x:c>
      <x:c r="AE988" s="32" t="str">
        <x:f>IF(M988&lt;H988,"Existing Employee",IF(U988="","No Assignment",IF(V988=0,"0 Days",IF(V988&lt;=7,"1-7 Days",IF(V988&lt;=14,"8-14 Days",IF(V988&lt;=21,"15-21 Days","21+ Days"))))))</x:f>
        <x:v>Existing Employee</x:v>
      </x:c>
      <x:c r="AF98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988" s="33" t="n">
        <x:f>--(WorkforceData[[#This Row],[Total Days Worked]]&gt;=121)</x:f>
        <x:v>1</x:v>
      </x:c>
    </x:row>
    <x:row r="989">
      <x:c r="A989" s="236" t="str">
        <x:v>TRN-0988</x:v>
      </x:c>
      <x:c r="B989" s="243"/>
      <x:c r="C989" s="243"/>
      <x:c r="D989" s="243"/>
      <x:c r="E989" s="243"/>
      <x:c r="F989" s="14" t="str">
        <x:v>Recruiter D</x:v>
      </x:c>
      <x:c r="G989" s="14" t="str">
        <x:v>Training Center B</x:v>
      </x:c>
      <x:c r="H989" s="28">
        <x:v>46165</x:v>
      </x:c>
      <x:c r="I989" s="14">
        <x:v>2026</x:v>
      </x:c>
      <x:c r="J989" s="14" t="s">
        <x:v>118</x:v>
      </x:c>
      <x:c r="K989" s="14">
        <x:v>13</x:v>
      </x:c>
      <x:c r="L989" s="29" t="s">
        <x:v>119</x:v>
      </x:c>
      <x:c r="M989" s="28">
        <x:v>46155</x:v>
      </x:c>
      <x:c r="N989" s="14"/>
      <x:c r="O989" s="14">
        <x:v>96</x:v>
      </x:c>
      <x:c r="P989" s="14" t="s">
        <x:v>113</x:v>
      </x:c>
      <x:c r="Q989" s="14" t="s">
        <x:v>25</x:v>
      </x:c>
      <x:c r="R989" s="14"/>
      <x:c r="S989" s="14" t="s">
        <x:v>105</x:v>
      </x:c>
      <x:c r="T989" s="14" t="str">
        <x:v>Region A</x:v>
      </x:c>
      <x:c r="U989" s="28">
        <x:v>46171</x:v>
      </x:c>
      <x:c r="V989" s="30">
        <x:v>6</x:v>
      </x:c>
      <x:c r="W989" s="14" t="s">
        <x:v>109</x:v>
      </x:c>
      <x:c r="X989" s="14" t="s">
        <x:v>106</x:v>
      </x:c>
      <x:c r="Y989" s="32" t="str">
        <x:v>TRN-0988|20260523</x:v>
      </x:c>
      <x:c r="Z989" s="32" t="str" cm="1">
        <x:f t="array" ref="Z98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989" s="33" t="n">
        <x:f>--OR(WorkforceData[[#This Row],[Status]]="Active",WorkforceData[[#This Row],[Promoted]]="Yes",WorkforceData[[#This Row],[Total Days Worked]]&gt;=121)</x:f>
        <x:v>1</x:v>
      </x:c>
      <x:c r="AB989" s="33" t="n">
        <x:f>IF(AND(Q989="Terminated",R989="",O989=0),1,0)</x:f>
        <x:v>0</x:v>
      </x:c>
      <x:c r="AC989" s="33" t="n">
        <x:f>--OR(WorkforceData[[#This Row],[Status]]="Resigned",WorkforceData[[#This Row],[Status After Training]]="Withdrew")</x:f>
        <x:v>0</x:v>
      </x:c>
      <x:c r="AD989" s="34" t="n">
        <x:f>EOMONTH(WorkforceData[[#This Row],[Training Date]],0)</x:f>
        <x:v>46173</x:v>
      </x:c>
      <x:c r="AE989" s="32" t="str">
        <x:f>IF(M989&lt;H989,"Existing Employee",IF(U989="","No Assignment",IF(V989=0,"0 Days",IF(V989&lt;=7,"1-7 Days",IF(V989&lt;=14,"8-14 Days",IF(V989&lt;=21,"15-21 Days","21+ Days"))))))</x:f>
        <x:v>Existing Employee</x:v>
      </x:c>
      <x:c r="AF98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91-120 Days</x:v>
      </x:c>
      <x:c r="AG989" s="33" t="n">
        <x:f>--(WorkforceData[[#This Row],[Total Days Worked]]&gt;=121)</x:f>
        <x:v>0</x:v>
      </x:c>
    </x:row>
    <x:row r="990">
      <x:c r="A990" s="236" t="str">
        <x:v>TRN-0989</x:v>
      </x:c>
      <x:c r="B990" s="243"/>
      <x:c r="C990" s="243"/>
      <x:c r="D990" s="243"/>
      <x:c r="E990" s="243"/>
      <x:c r="F990" s="14" t="str">
        <x:v>Recruiter B</x:v>
      </x:c>
      <x:c r="G990" s="14" t="str">
        <x:v>Training Center B</x:v>
      </x:c>
      <x:c r="H990" s="28">
        <x:v>46165</x:v>
      </x:c>
      <x:c r="I990" s="14">
        <x:v>2026</x:v>
      </x:c>
      <x:c r="J990" s="14" t="s">
        <x:v>118</x:v>
      </x:c>
      <x:c r="K990" s="14">
        <x:v>13</x:v>
      </x:c>
      <x:c r="L990" s="29" t="s">
        <x:v>119</x:v>
      </x:c>
      <x:c r="M990" s="28">
        <x:v>46164</x:v>
      </x:c>
      <x:c r="N990" s="28">
        <x:v>46175</x:v>
      </x:c>
      <x:c r="O990" s="14">
        <x:v>11</x:v>
      </x:c>
      <x:c r="P990" s="14" t="s">
        <x:v>102</x:v>
      </x:c>
      <x:c r="Q990" s="14" t="s">
        <x:v>103</x:v>
      </x:c>
      <x:c r="R990" s="14" t="s">
        <x:v>111</x:v>
      </x:c>
      <x:c r="S990" s="14" t="s">
        <x:v>105</x:v>
      </x:c>
      <x:c r="T990" s="14" t="str">
        <x:v>Region D</x:v>
      </x:c>
      <x:c r="U990" s="28">
        <x:v>46170</x:v>
      </x:c>
      <x:c r="V990" s="30">
        <x:v>5</x:v>
      </x:c>
      <x:c r="W990" s="14" t="s">
        <x:v>109</x:v>
      </x:c>
      <x:c r="X990" s="14" t="s">
        <x:v>106</x:v>
      </x:c>
      <x:c r="Y990" s="32" t="str">
        <x:v>TRN-0989|20260523</x:v>
      </x:c>
      <x:c r="Z990" s="32" t="str" cm="1">
        <x:f t="array" ref="Z99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990" s="33" t="n">
        <x:f>--OR(WorkforceData[[#This Row],[Status]]="Active",WorkforceData[[#This Row],[Promoted]]="Yes",WorkforceData[[#This Row],[Total Days Worked]]&gt;=121)</x:f>
        <x:v>0</x:v>
      </x:c>
      <x:c r="AB990" s="33" t="n">
        <x:f>IF(AND(Q990="Terminated",R990="",O990=0),1,0)</x:f>
        <x:v>0</x:v>
      </x:c>
      <x:c r="AC990" s="33" t="n">
        <x:f>--OR(WorkforceData[[#This Row],[Status]]="Resigned",WorkforceData[[#This Row],[Status After Training]]="Withdrew")</x:f>
        <x:v>1</x:v>
      </x:c>
      <x:c r="AD990" s="34" t="n">
        <x:f>EOMONTH(WorkforceData[[#This Row],[Training Date]],0)</x:f>
        <x:v>46173</x:v>
      </x:c>
      <x:c r="AE990" s="32" t="str">
        <x:f>IF(M990&lt;H990,"Existing Employee",IF(U990="","No Assignment",IF(V990=0,"0 Days",IF(V990&lt;=7,"1-7 Days",IF(V990&lt;=14,"8-14 Days",IF(V990&lt;=21,"15-21 Days","21+ Days"))))))</x:f>
        <x:v>Existing Employee</x:v>
      </x:c>
      <x:c r="AF99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990" s="33" t="n">
        <x:f>--(WorkforceData[[#This Row],[Total Days Worked]]&gt;=121)</x:f>
        <x:v>0</x:v>
      </x:c>
    </x:row>
    <x:row r="991">
      <x:c r="A991" s="236" t="str">
        <x:v>TRN-0990</x:v>
      </x:c>
      <x:c r="B991" s="243"/>
      <x:c r="C991" s="243"/>
      <x:c r="D991" s="243"/>
      <x:c r="E991" s="243"/>
      <x:c r="F991" s="14" t="str">
        <x:v>Recruiter G</x:v>
      </x:c>
      <x:c r="G991" s="14" t="str">
        <x:v>Training Center B</x:v>
      </x:c>
      <x:c r="H991" s="28">
        <x:v>46165</x:v>
      </x:c>
      <x:c r="I991" s="14">
        <x:v>2026</x:v>
      </x:c>
      <x:c r="J991" s="14" t="s">
        <x:v>118</x:v>
      </x:c>
      <x:c r="K991" s="14">
        <x:v>13</x:v>
      </x:c>
      <x:c r="L991" s="29" t="s">
        <x:v>119</x:v>
      </x:c>
      <x:c r="M991" s="28">
        <x:v>46165</x:v>
      </x:c>
      <x:c r="N991" s="14"/>
      <x:c r="O991" s="14">
        <x:v>86</x:v>
      </x:c>
      <x:c r="P991" s="14" t="s">
        <x:v>110</x:v>
      </x:c>
      <x:c r="Q991" s="14" t="s">
        <x:v>25</x:v>
      </x:c>
      <x:c r="R991" s="14"/>
      <x:c r="S991" s="14" t="s">
        <x:v>105</x:v>
      </x:c>
      <x:c r="T991" s="14" t="str">
        <x:v>Region E</x:v>
      </x:c>
      <x:c r="U991" s="28">
        <x:v>46177</x:v>
      </x:c>
      <x:c r="V991" s="30">
        <x:v>12</x:v>
      </x:c>
      <x:c r="W991" s="14" t="s">
        <x:v>45</x:v>
      </x:c>
      <x:c r="X991" s="14" t="s">
        <x:v>106</x:v>
      </x:c>
      <x:c r="Y991" s="32" t="str">
        <x:v>TRN-0990|20260523</x:v>
      </x:c>
      <x:c r="Z991" s="32" t="str" cm="1">
        <x:f t="array" ref="Z99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991" s="33" t="n">
        <x:f>--OR(WorkforceData[[#This Row],[Status]]="Active",WorkforceData[[#This Row],[Promoted]]="Yes",WorkforceData[[#This Row],[Total Days Worked]]&gt;=121)</x:f>
        <x:v>1</x:v>
      </x:c>
      <x:c r="AB991" s="33" t="n">
        <x:f>IF(AND(Q991="Terminated",R991="",O991=0),1,0)</x:f>
        <x:v>0</x:v>
      </x:c>
      <x:c r="AC991" s="33" t="n">
        <x:f>--OR(WorkforceData[[#This Row],[Status]]="Resigned",WorkforceData[[#This Row],[Status After Training]]="Withdrew")</x:f>
        <x:v>0</x:v>
      </x:c>
      <x:c r="AD991" s="34" t="n">
        <x:f>EOMONTH(WorkforceData[[#This Row],[Training Date]],0)</x:f>
        <x:v>46173</x:v>
      </x:c>
      <x:c r="AE991" s="32" t="str">
        <x:f>IF(M991&lt;H991,"Existing Employee",IF(U991="","No Assignment",IF(V991=0,"0 Days",IF(V991&lt;=7,"1-7 Days",IF(V991&lt;=14,"8-14 Days",IF(V991&lt;=21,"15-21 Days","21+ Days"))))))</x:f>
        <x:v>8-14 Days</x:v>
      </x:c>
      <x:c r="AF99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61-90 Days</x:v>
      </x:c>
      <x:c r="AG991" s="33" t="n">
        <x:f>--(WorkforceData[[#This Row],[Total Days Worked]]&gt;=121)</x:f>
        <x:v>0</x:v>
      </x:c>
    </x:row>
    <x:row r="992">
      <x:c r="A992" s="236" t="str">
        <x:v>TRN-0991</x:v>
      </x:c>
      <x:c r="B992" s="243"/>
      <x:c r="C992" s="243"/>
      <x:c r="D992" s="243"/>
      <x:c r="E992" s="243"/>
      <x:c r="F992" s="14" t="str">
        <x:v>Recruiter B</x:v>
      </x:c>
      <x:c r="G992" s="14" t="str">
        <x:v>Training Center B</x:v>
      </x:c>
      <x:c r="H992" s="28">
        <x:v>46165</x:v>
      </x:c>
      <x:c r="I992" s="14">
        <x:v>2026</x:v>
      </x:c>
      <x:c r="J992" s="14" t="s">
        <x:v>118</x:v>
      </x:c>
      <x:c r="K992" s="14">
        <x:v>13</x:v>
      </x:c>
      <x:c r="L992" s="29" t="s">
        <x:v>119</x:v>
      </x:c>
      <x:c r="M992" s="28">
        <x:v>46160</x:v>
      </x:c>
      <x:c r="N992" s="14"/>
      <x:c r="O992" s="14">
        <x:v>91</x:v>
      </x:c>
      <x:c r="P992" s="14" t="s">
        <x:v>113</x:v>
      </x:c>
      <x:c r="Q992" s="14" t="s">
        <x:v>25</x:v>
      </x:c>
      <x:c r="R992" s="14"/>
      <x:c r="S992" s="14" t="s">
        <x:v>105</x:v>
      </x:c>
      <x:c r="T992" s="14" t="str">
        <x:v>Region A</x:v>
      </x:c>
      <x:c r="U992" s="28">
        <x:v>46166</x:v>
      </x:c>
      <x:c r="V992" s="30">
        <x:v>1</x:v>
      </x:c>
      <x:c r="W992" s="14" t="s">
        <x:v>109</x:v>
      </x:c>
      <x:c r="X992" s="14" t="s">
        <x:v>106</x:v>
      </x:c>
      <x:c r="Y992" s="32" t="str">
        <x:v>TRN-0991|20260523</x:v>
      </x:c>
      <x:c r="Z992" s="32" t="str" cm="1">
        <x:f t="array" ref="Z99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992" s="33" t="n">
        <x:f>--OR(WorkforceData[[#This Row],[Status]]="Active",WorkforceData[[#This Row],[Promoted]]="Yes",WorkforceData[[#This Row],[Total Days Worked]]&gt;=121)</x:f>
        <x:v>1</x:v>
      </x:c>
      <x:c r="AB992" s="33" t="n">
        <x:f>IF(AND(Q992="Terminated",R992="",O992=0),1,0)</x:f>
        <x:v>0</x:v>
      </x:c>
      <x:c r="AC992" s="33" t="n">
        <x:f>--OR(WorkforceData[[#This Row],[Status]]="Resigned",WorkforceData[[#This Row],[Status After Training]]="Withdrew")</x:f>
        <x:v>0</x:v>
      </x:c>
      <x:c r="AD992" s="34" t="n">
        <x:f>EOMONTH(WorkforceData[[#This Row],[Training Date]],0)</x:f>
        <x:v>46173</x:v>
      </x:c>
      <x:c r="AE992" s="32" t="str">
        <x:f>IF(M992&lt;H992,"Existing Employee",IF(U992="","No Assignment",IF(V992=0,"0 Days",IF(V992&lt;=7,"1-7 Days",IF(V992&lt;=14,"8-14 Days",IF(V992&lt;=21,"15-21 Days","21+ Days"))))))</x:f>
        <x:v>Existing Employee</x:v>
      </x:c>
      <x:c r="AF99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91-120 Days</x:v>
      </x:c>
      <x:c r="AG992" s="33" t="n">
        <x:f>--(WorkforceData[[#This Row],[Total Days Worked]]&gt;=121)</x:f>
        <x:v>0</x:v>
      </x:c>
    </x:row>
    <x:row r="993">
      <x:c r="A993" s="236" t="str">
        <x:v>TRN-0992</x:v>
      </x:c>
      <x:c r="B993" s="243"/>
      <x:c r="C993" s="243"/>
      <x:c r="D993" s="243"/>
      <x:c r="E993" s="243"/>
      <x:c r="F993" s="14" t="str">
        <x:v>Recruiter G</x:v>
      </x:c>
      <x:c r="G993" s="14" t="str">
        <x:v>Training Center B</x:v>
      </x:c>
      <x:c r="H993" s="28">
        <x:v>46165</x:v>
      </x:c>
      <x:c r="I993" s="14">
        <x:v>2026</x:v>
      </x:c>
      <x:c r="J993" s="14" t="s">
        <x:v>118</x:v>
      </x:c>
      <x:c r="K993" s="14">
        <x:v>13</x:v>
      </x:c>
      <x:c r="L993" s="29" t="s">
        <x:v>119</x:v>
      </x:c>
      <x:c r="M993" s="28">
        <x:v>46162</x:v>
      </x:c>
      <x:c r="N993" s="14"/>
      <x:c r="O993" s="14">
        <x:v>89</x:v>
      </x:c>
      <x:c r="P993" s="14" t="s">
        <x:v>110</x:v>
      </x:c>
      <x:c r="Q993" s="14" t="s">
        <x:v>25</x:v>
      </x:c>
      <x:c r="R993" s="14"/>
      <x:c r="S993" s="14" t="s">
        <x:v>105</x:v>
      </x:c>
      <x:c r="T993" s="14" t="str">
        <x:v>Region C</x:v>
      </x:c>
      <x:c r="U993" s="28">
        <x:v>46177</x:v>
      </x:c>
      <x:c r="V993" s="30">
        <x:v>12</x:v>
      </x:c>
      <x:c r="W993" s="14" t="s">
        <x:v>45</x:v>
      </x:c>
      <x:c r="X993" s="14" t="s">
        <x:v>106</x:v>
      </x:c>
      <x:c r="Y993" s="32" t="str">
        <x:v>TRN-0992|20260523</x:v>
      </x:c>
      <x:c r="Z993" s="32" t="str" cm="1">
        <x:f t="array" ref="Z99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993" s="33" t="n">
        <x:f>--OR(WorkforceData[[#This Row],[Status]]="Active",WorkforceData[[#This Row],[Promoted]]="Yes",WorkforceData[[#This Row],[Total Days Worked]]&gt;=121)</x:f>
        <x:v>1</x:v>
      </x:c>
      <x:c r="AB993" s="33" t="n">
        <x:f>IF(AND(Q993="Terminated",R993="",O993=0),1,0)</x:f>
        <x:v>0</x:v>
      </x:c>
      <x:c r="AC993" s="33" t="n">
        <x:f>--OR(WorkforceData[[#This Row],[Status]]="Resigned",WorkforceData[[#This Row],[Status After Training]]="Withdrew")</x:f>
        <x:v>0</x:v>
      </x:c>
      <x:c r="AD993" s="34" t="n">
        <x:f>EOMONTH(WorkforceData[[#This Row],[Training Date]],0)</x:f>
        <x:v>46173</x:v>
      </x:c>
      <x:c r="AE993" s="32" t="str">
        <x:f>IF(M993&lt;H993,"Existing Employee",IF(U993="","No Assignment",IF(V993=0,"0 Days",IF(V993&lt;=7,"1-7 Days",IF(V993&lt;=14,"8-14 Days",IF(V993&lt;=21,"15-21 Days","21+ Days"))))))</x:f>
        <x:v>Existing Employee</x:v>
      </x:c>
      <x:c r="AF99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61-90 Days</x:v>
      </x:c>
      <x:c r="AG993" s="33" t="n">
        <x:f>--(WorkforceData[[#This Row],[Total Days Worked]]&gt;=121)</x:f>
        <x:v>0</x:v>
      </x:c>
    </x:row>
    <x:row r="994">
      <x:c r="A994" s="236" t="str">
        <x:v>TRN-0993</x:v>
      </x:c>
      <x:c r="B994" s="243"/>
      <x:c r="C994" s="243"/>
      <x:c r="D994" s="243"/>
      <x:c r="E994" s="243"/>
      <x:c r="F994" s="14" t="str">
        <x:v>Recruiter G</x:v>
      </x:c>
      <x:c r="G994" s="14" t="str">
        <x:v>Training Center B</x:v>
      </x:c>
      <x:c r="H994" s="28">
        <x:v>46165</x:v>
      </x:c>
      <x:c r="I994" s="14">
        <x:v>2026</x:v>
      </x:c>
      <x:c r="J994" s="14" t="s">
        <x:v>118</x:v>
      </x:c>
      <x:c r="K994" s="14">
        <x:v>13</x:v>
      </x:c>
      <x:c r="L994" s="29" t="s">
        <x:v>119</x:v>
      </x:c>
      <x:c r="M994" s="28">
        <x:v>46164</x:v>
      </x:c>
      <x:c r="N994" s="14"/>
      <x:c r="O994" s="14">
        <x:v>87</x:v>
      </x:c>
      <x:c r="P994" s="14" t="s">
        <x:v>110</x:v>
      </x:c>
      <x:c r="Q994" s="14" t="s">
        <x:v>25</x:v>
      </x:c>
      <x:c r="R994" s="14"/>
      <x:c r="S994" s="14" t="s">
        <x:v>105</x:v>
      </x:c>
      <x:c r="T994" s="14" t="str">
        <x:v>Region A</x:v>
      </x:c>
      <x:c r="U994" s="28">
        <x:v>46205</x:v>
      </x:c>
      <x:c r="V994" s="30">
        <x:v>40</x:v>
      </x:c>
      <x:c r="W994" s="14" t="s">
        <x:v>63</x:v>
      </x:c>
      <x:c r="X994" s="14" t="s">
        <x:v>117</x:v>
      </x:c>
      <x:c r="Y994" s="32" t="str">
        <x:v>TRN-0993|20260523</x:v>
      </x:c>
      <x:c r="Z994" s="32" t="str" cm="1">
        <x:f t="array" ref="Z99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994" s="33" t="n">
        <x:f>--OR(WorkforceData[[#This Row],[Status]]="Active",WorkforceData[[#This Row],[Promoted]]="Yes",WorkforceData[[#This Row],[Total Days Worked]]&gt;=121)</x:f>
        <x:v>1</x:v>
      </x:c>
      <x:c r="AB994" s="33" t="n">
        <x:f>IF(AND(Q994="Terminated",R994="",O994=0),1,0)</x:f>
        <x:v>0</x:v>
      </x:c>
      <x:c r="AC994" s="33" t="n">
        <x:f>--OR(WorkforceData[[#This Row],[Status]]="Resigned",WorkforceData[[#This Row],[Status After Training]]="Withdrew")</x:f>
        <x:v>0</x:v>
      </x:c>
      <x:c r="AD994" s="34" t="n">
        <x:f>EOMONTH(WorkforceData[[#This Row],[Training Date]],0)</x:f>
        <x:v>46173</x:v>
      </x:c>
      <x:c r="AE994" s="32" t="str">
        <x:f>IF(M994&lt;H994,"Existing Employee",IF(U994="","No Assignment",IF(V994=0,"0 Days",IF(V994&lt;=7,"1-7 Days",IF(V994&lt;=14,"8-14 Days",IF(V994&lt;=21,"15-21 Days","21+ Days"))))))</x:f>
        <x:v>Existing Employee</x:v>
      </x:c>
      <x:c r="AF99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61-90 Days</x:v>
      </x:c>
      <x:c r="AG994" s="33" t="n">
        <x:f>--(WorkforceData[[#This Row],[Total Days Worked]]&gt;=121)</x:f>
        <x:v>0</x:v>
      </x:c>
    </x:row>
    <x:row r="995">
      <x:c r="A995" s="236" t="str">
        <x:v>TRN-0994</x:v>
      </x:c>
      <x:c r="B995" s="243"/>
      <x:c r="C995" s="243"/>
      <x:c r="D995" s="243"/>
      <x:c r="E995" s="243"/>
      <x:c r="F995" s="14" t="str">
        <x:v>Recruiter E</x:v>
      </x:c>
      <x:c r="G995" s="14" t="str">
        <x:v>Training Center B</x:v>
      </x:c>
      <x:c r="H995" s="28">
        <x:v>46165</x:v>
      </x:c>
      <x:c r="I995" s="14">
        <x:v>2026</x:v>
      </x:c>
      <x:c r="J995" s="14" t="s">
        <x:v>118</x:v>
      </x:c>
      <x:c r="K995" s="14">
        <x:v>13</x:v>
      </x:c>
      <x:c r="L995" s="29" t="s">
        <x:v>119</x:v>
      </x:c>
      <x:c r="M995" s="28">
        <x:v>46165</x:v>
      </x:c>
      <x:c r="N995" s="14"/>
      <x:c r="O995" s="14">
        <x:v>86</x:v>
      </x:c>
      <x:c r="P995" s="14" t="s">
        <x:v>110</x:v>
      </x:c>
      <x:c r="Q995" s="14" t="s">
        <x:v>25</x:v>
      </x:c>
      <x:c r="R995" s="14"/>
      <x:c r="S995" s="14" t="s">
        <x:v>105</x:v>
      </x:c>
      <x:c r="T995" s="14" t="str">
        <x:v>Region D</x:v>
      </x:c>
      <x:c r="U995" s="28">
        <x:v>46194</x:v>
      </x:c>
      <x:c r="V995" s="30">
        <x:v>29</x:v>
      </x:c>
      <x:c r="W995" s="14" t="s">
        <x:v>112</x:v>
      </x:c>
      <x:c r="X995" s="14" t="s">
        <x:v>106</x:v>
      </x:c>
      <x:c r="Y995" s="32" t="str">
        <x:v>TRN-0994|20260523</x:v>
      </x:c>
      <x:c r="Z995" s="32" t="str" cm="1">
        <x:f t="array" ref="Z99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995" s="33" t="n">
        <x:f>--OR(WorkforceData[[#This Row],[Status]]="Active",WorkforceData[[#This Row],[Promoted]]="Yes",WorkforceData[[#This Row],[Total Days Worked]]&gt;=121)</x:f>
        <x:v>1</x:v>
      </x:c>
      <x:c r="AB995" s="33" t="n">
        <x:f>IF(AND(Q995="Terminated",R995="",O995=0),1,0)</x:f>
        <x:v>0</x:v>
      </x:c>
      <x:c r="AC995" s="33" t="n">
        <x:f>--OR(WorkforceData[[#This Row],[Status]]="Resigned",WorkforceData[[#This Row],[Status After Training]]="Withdrew")</x:f>
        <x:v>0</x:v>
      </x:c>
      <x:c r="AD995" s="34" t="n">
        <x:f>EOMONTH(WorkforceData[[#This Row],[Training Date]],0)</x:f>
        <x:v>46173</x:v>
      </x:c>
      <x:c r="AE995" s="32" t="str">
        <x:f>IF(M995&lt;H995,"Existing Employee",IF(U995="","No Assignment",IF(V995=0,"0 Days",IF(V995&lt;=7,"1-7 Days",IF(V995&lt;=14,"8-14 Days",IF(V995&lt;=21,"15-21 Days","21+ Days"))))))</x:f>
        <x:v>21+ Days</x:v>
      </x:c>
      <x:c r="AF99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61-90 Days</x:v>
      </x:c>
      <x:c r="AG995" s="33" t="n">
        <x:f>--(WorkforceData[[#This Row],[Total Days Worked]]&gt;=121)</x:f>
        <x:v>0</x:v>
      </x:c>
    </x:row>
    <x:row r="996">
      <x:c r="A996" s="236" t="str">
        <x:v>TRN-0995</x:v>
      </x:c>
      <x:c r="B996" s="243"/>
      <x:c r="C996" s="243"/>
      <x:c r="D996" s="243"/>
      <x:c r="E996" s="243"/>
      <x:c r="F996" s="14" t="str">
        <x:v>Recruiter G</x:v>
      </x:c>
      <x:c r="G996" s="14" t="str">
        <x:v>Training Center B</x:v>
      </x:c>
      <x:c r="H996" s="28">
        <x:v>46165</x:v>
      </x:c>
      <x:c r="I996" s="14">
        <x:v>2026</x:v>
      </x:c>
      <x:c r="J996" s="14" t="s">
        <x:v>118</x:v>
      </x:c>
      <x:c r="K996" s="14">
        <x:v>13</x:v>
      </x:c>
      <x:c r="L996" s="29" t="s">
        <x:v>119</x:v>
      </x:c>
      <x:c r="M996" s="28">
        <x:v>46160</x:v>
      </x:c>
      <x:c r="N996" s="14"/>
      <x:c r="O996" s="14">
        <x:v>91</x:v>
      </x:c>
      <x:c r="P996" s="14" t="s">
        <x:v>113</x:v>
      </x:c>
      <x:c r="Q996" s="14" t="s">
        <x:v>25</x:v>
      </x:c>
      <x:c r="R996" s="14"/>
      <x:c r="S996" s="14" t="s">
        <x:v>105</x:v>
      </x:c>
      <x:c r="T996" s="14" t="str">
        <x:v>Region B</x:v>
      </x:c>
      <x:c r="U996" s="28">
        <x:v>46177</x:v>
      </x:c>
      <x:c r="V996" s="30">
        <x:v>12</x:v>
      </x:c>
      <x:c r="W996" s="14" t="s">
        <x:v>45</x:v>
      </x:c>
      <x:c r="X996" s="14" t="s">
        <x:v>106</x:v>
      </x:c>
      <x:c r="Y996" s="32" t="str">
        <x:v>TRN-0995|20260523</x:v>
      </x:c>
      <x:c r="Z996" s="32" t="str" cm="1">
        <x:f t="array" ref="Z99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996" s="33" t="n">
        <x:f>--OR(WorkforceData[[#This Row],[Status]]="Active",WorkforceData[[#This Row],[Promoted]]="Yes",WorkforceData[[#This Row],[Total Days Worked]]&gt;=121)</x:f>
        <x:v>1</x:v>
      </x:c>
      <x:c r="AB996" s="33" t="n">
        <x:f>IF(AND(Q996="Terminated",R996="",O996=0),1,0)</x:f>
        <x:v>0</x:v>
      </x:c>
      <x:c r="AC996" s="33" t="n">
        <x:f>--OR(WorkforceData[[#This Row],[Status]]="Resigned",WorkforceData[[#This Row],[Status After Training]]="Withdrew")</x:f>
        <x:v>0</x:v>
      </x:c>
      <x:c r="AD996" s="34" t="n">
        <x:f>EOMONTH(WorkforceData[[#This Row],[Training Date]],0)</x:f>
        <x:v>46173</x:v>
      </x:c>
      <x:c r="AE996" s="32" t="str">
        <x:f>IF(M996&lt;H996,"Existing Employee",IF(U996="","No Assignment",IF(V996=0,"0 Days",IF(V996&lt;=7,"1-7 Days",IF(V996&lt;=14,"8-14 Days",IF(V996&lt;=21,"15-21 Days","21+ Days"))))))</x:f>
        <x:v>Existing Employee</x:v>
      </x:c>
      <x:c r="AF99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91-120 Days</x:v>
      </x:c>
      <x:c r="AG996" s="33" t="n">
        <x:f>--(WorkforceData[[#This Row],[Total Days Worked]]&gt;=121)</x:f>
        <x:v>0</x:v>
      </x:c>
    </x:row>
    <x:row r="997">
      <x:c r="A997" s="236" t="str">
        <x:v>TRN-0996</x:v>
      </x:c>
      <x:c r="B997" s="243"/>
      <x:c r="C997" s="243"/>
      <x:c r="D997" s="243"/>
      <x:c r="E997" s="243"/>
      <x:c r="F997" s="14" t="str">
        <x:v>Recruiter A</x:v>
      </x:c>
      <x:c r="G997" s="14" t="str">
        <x:v>Training Center B</x:v>
      </x:c>
      <x:c r="H997" s="28">
        <x:v>46165</x:v>
      </x:c>
      <x:c r="I997" s="14">
        <x:v>2026</x:v>
      </x:c>
      <x:c r="J997" s="14" t="s">
        <x:v>118</x:v>
      </x:c>
      <x:c r="K997" s="14">
        <x:v>13</x:v>
      </x:c>
      <x:c r="L997" s="29" t="s">
        <x:v>119</x:v>
      </x:c>
      <x:c r="M997" s="28">
        <x:v>46162</x:v>
      </x:c>
      <x:c r="N997" s="14"/>
      <x:c r="O997" s="14">
        <x:v>89</x:v>
      </x:c>
      <x:c r="P997" s="14" t="s">
        <x:v>110</x:v>
      </x:c>
      <x:c r="Q997" s="14" t="s">
        <x:v>25</x:v>
      </x:c>
      <x:c r="R997" s="14"/>
      <x:c r="S997" s="14" t="s">
        <x:v>105</x:v>
      </x:c>
      <x:c r="T997" s="14" t="str">
        <x:v>Region D</x:v>
      </x:c>
      <x:c r="U997" s="28">
        <x:v>46167</x:v>
      </x:c>
      <x:c r="V997" s="30">
        <x:v>2</x:v>
      </x:c>
      <x:c r="W997" s="14" t="s">
        <x:v>109</x:v>
      </x:c>
      <x:c r="X997" s="14" t="s">
        <x:v>106</x:v>
      </x:c>
      <x:c r="Y997" s="32" t="str">
        <x:v>TRN-0996|20260523</x:v>
      </x:c>
      <x:c r="Z997" s="32" t="str" cm="1">
        <x:f t="array" ref="Z99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997" s="33" t="n">
        <x:f>--OR(WorkforceData[[#This Row],[Status]]="Active",WorkforceData[[#This Row],[Promoted]]="Yes",WorkforceData[[#This Row],[Total Days Worked]]&gt;=121)</x:f>
        <x:v>1</x:v>
      </x:c>
      <x:c r="AB997" s="33" t="n">
        <x:f>IF(AND(Q997="Terminated",R997="",O997=0),1,0)</x:f>
        <x:v>0</x:v>
      </x:c>
      <x:c r="AC997" s="33" t="n">
        <x:f>--OR(WorkforceData[[#This Row],[Status]]="Resigned",WorkforceData[[#This Row],[Status After Training]]="Withdrew")</x:f>
        <x:v>0</x:v>
      </x:c>
      <x:c r="AD997" s="34" t="n">
        <x:f>EOMONTH(WorkforceData[[#This Row],[Training Date]],0)</x:f>
        <x:v>46173</x:v>
      </x:c>
      <x:c r="AE997" s="32" t="str">
        <x:f>IF(M997&lt;H997,"Existing Employee",IF(U997="","No Assignment",IF(V997=0,"0 Days",IF(V997&lt;=7,"1-7 Days",IF(V997&lt;=14,"8-14 Days",IF(V997&lt;=21,"15-21 Days","21+ Days"))))))</x:f>
        <x:v>Existing Employee</x:v>
      </x:c>
      <x:c r="AF99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61-90 Days</x:v>
      </x:c>
      <x:c r="AG997" s="33" t="n">
        <x:f>--(WorkforceData[[#This Row],[Total Days Worked]]&gt;=121)</x:f>
        <x:v>0</x:v>
      </x:c>
    </x:row>
    <x:row r="998">
      <x:c r="A998" s="236" t="str">
        <x:v>TRN-0997</x:v>
      </x:c>
      <x:c r="B998" s="243"/>
      <x:c r="C998" s="243"/>
      <x:c r="D998" s="243"/>
      <x:c r="E998" s="243"/>
      <x:c r="F998" s="14" t="str">
        <x:v>Recruiter D</x:v>
      </x:c>
      <x:c r="G998" s="14" t="str">
        <x:v>Training Center B</x:v>
      </x:c>
      <x:c r="H998" s="28">
        <x:v>46165</x:v>
      </x:c>
      <x:c r="I998" s="14">
        <x:v>2026</x:v>
      </x:c>
      <x:c r="J998" s="14" t="s">
        <x:v>118</x:v>
      </x:c>
      <x:c r="K998" s="14">
        <x:v>13</x:v>
      </x:c>
      <x:c r="L998" s="29" t="s">
        <x:v>119</x:v>
      </x:c>
      <x:c r="M998" s="28">
        <x:v>46165</x:v>
      </x:c>
      <x:c r="N998" s="28">
        <x:v>46251</x:v>
      </x:c>
      <x:c r="O998" s="14">
        <x:v>86</x:v>
      </x:c>
      <x:c r="P998" s="14" t="s">
        <x:v>110</x:v>
      </x:c>
      <x:c r="Q998" s="14" t="s">
        <x:v>103</x:v>
      </x:c>
      <x:c r="R998" s="14" t="s">
        <x:v>104</x:v>
      </x:c>
      <x:c r="S998" s="14" t="s">
        <x:v>105</x:v>
      </x:c>
      <x:c r="T998" s="14" t="str">
        <x:v>Region A</x:v>
      </x:c>
      <x:c r="U998" s="28">
        <x:v>46168</x:v>
      </x:c>
      <x:c r="V998" s="30">
        <x:v>3</x:v>
      </x:c>
      <x:c r="W998" s="14" t="s">
        <x:v>109</x:v>
      </x:c>
      <x:c r="X998" s="14" t="s">
        <x:v>106</x:v>
      </x:c>
      <x:c r="Y998" s="32" t="str">
        <x:v>TRN-0997|20260523</x:v>
      </x:c>
      <x:c r="Z998" s="32" t="str" cm="1">
        <x:f t="array" ref="Z99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998" s="33" t="n">
        <x:f>--OR(WorkforceData[[#This Row],[Status]]="Active",WorkforceData[[#This Row],[Promoted]]="Yes",WorkforceData[[#This Row],[Total Days Worked]]&gt;=121)</x:f>
        <x:v>0</x:v>
      </x:c>
      <x:c r="AB998" s="33" t="n">
        <x:f>IF(AND(Q998="Terminated",R998="",O998=0),1,0)</x:f>
        <x:v>0</x:v>
      </x:c>
      <x:c r="AC998" s="33" t="n">
        <x:f>--OR(WorkforceData[[#This Row],[Status]]="Resigned",WorkforceData[[#This Row],[Status After Training]]="Withdrew")</x:f>
        <x:v>1</x:v>
      </x:c>
      <x:c r="AD998" s="34" t="n">
        <x:f>EOMONTH(WorkforceData[[#This Row],[Training Date]],0)</x:f>
        <x:v>46173</x:v>
      </x:c>
      <x:c r="AE998" s="32" t="str">
        <x:f>IF(M998&lt;H998,"Existing Employee",IF(U998="","No Assignment",IF(V998=0,"0 Days",IF(V998&lt;=7,"1-7 Days",IF(V998&lt;=14,"8-14 Days",IF(V998&lt;=21,"15-21 Days","21+ Days"))))))</x:f>
        <x:v>1-7 Days</x:v>
      </x:c>
      <x:c r="AF99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61-90 Days</x:v>
      </x:c>
      <x:c r="AG998" s="33" t="n">
        <x:f>--(WorkforceData[[#This Row],[Total Days Worked]]&gt;=121)</x:f>
        <x:v>0</x:v>
      </x:c>
    </x:row>
    <x:row r="999">
      <x:c r="A999" s="236" t="str">
        <x:v>TRN-0998</x:v>
      </x:c>
      <x:c r="B999" s="243"/>
      <x:c r="C999" s="243"/>
      <x:c r="D999" s="243"/>
      <x:c r="E999" s="243"/>
      <x:c r="F999" s="14" t="str">
        <x:v>Recruiter H</x:v>
      </x:c>
      <x:c r="G999" s="14" t="str">
        <x:v>Training Center B</x:v>
      </x:c>
      <x:c r="H999" s="28">
        <x:v>46165</x:v>
      </x:c>
      <x:c r="I999" s="14">
        <x:v>2026</x:v>
      </x:c>
      <x:c r="J999" s="14" t="s">
        <x:v>118</x:v>
      </x:c>
      <x:c r="K999" s="14">
        <x:v>13</x:v>
      </x:c>
      <x:c r="L999" s="29" t="s">
        <x:v>119</x:v>
      </x:c>
      <x:c r="M999" s="28">
        <x:v>46164</x:v>
      </x:c>
      <x:c r="N999" s="14"/>
      <x:c r="O999" s="14">
        <x:v>87</x:v>
      </x:c>
      <x:c r="P999" s="14" t="s">
        <x:v>110</x:v>
      </x:c>
      <x:c r="Q999" s="14" t="s">
        <x:v>25</x:v>
      </x:c>
      <x:c r="R999" s="14"/>
      <x:c r="S999" s="14" t="s">
        <x:v>105</x:v>
      </x:c>
      <x:c r="T999" s="14" t="str">
        <x:v>Region D</x:v>
      </x:c>
      <x:c r="U999" s="28">
        <x:v>46172</x:v>
      </x:c>
      <x:c r="V999" s="30">
        <x:v>7</x:v>
      </x:c>
      <x:c r="W999" s="14" t="s">
        <x:v>109</x:v>
      </x:c>
      <x:c r="X999" s="14" t="s">
        <x:v>106</x:v>
      </x:c>
      <x:c r="Y999" s="32" t="str">
        <x:v>TRN-0998|20260523</x:v>
      </x:c>
      <x:c r="Z999" s="32" t="str" cm="1">
        <x:f t="array" ref="Z99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999" s="33" t="n">
        <x:f>--OR(WorkforceData[[#This Row],[Status]]="Active",WorkforceData[[#This Row],[Promoted]]="Yes",WorkforceData[[#This Row],[Total Days Worked]]&gt;=121)</x:f>
        <x:v>1</x:v>
      </x:c>
      <x:c r="AB999" s="33" t="n">
        <x:f>IF(AND(Q999="Terminated",R999="",O999=0),1,0)</x:f>
        <x:v>0</x:v>
      </x:c>
      <x:c r="AC999" s="33" t="n">
        <x:f>--OR(WorkforceData[[#This Row],[Status]]="Resigned",WorkforceData[[#This Row],[Status After Training]]="Withdrew")</x:f>
        <x:v>0</x:v>
      </x:c>
      <x:c r="AD999" s="34" t="n">
        <x:f>EOMONTH(WorkforceData[[#This Row],[Training Date]],0)</x:f>
        <x:v>46173</x:v>
      </x:c>
      <x:c r="AE999" s="32" t="str">
        <x:f>IF(M999&lt;H999,"Existing Employee",IF(U999="","No Assignment",IF(V999=0,"0 Days",IF(V999&lt;=7,"1-7 Days",IF(V999&lt;=14,"8-14 Days",IF(V999&lt;=21,"15-21 Days","21+ Days"))))))</x:f>
        <x:v>Existing Employee</x:v>
      </x:c>
      <x:c r="AF99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61-90 Days</x:v>
      </x:c>
      <x:c r="AG999" s="33" t="n">
        <x:f>--(WorkforceData[[#This Row],[Total Days Worked]]&gt;=121)</x:f>
        <x:v>0</x:v>
      </x:c>
    </x:row>
    <x:row r="1000">
      <x:c r="A1000" s="236" t="str">
        <x:v>TRN-0999</x:v>
      </x:c>
      <x:c r="B1000" s="243"/>
      <x:c r="C1000" s="243"/>
      <x:c r="D1000" s="243"/>
      <x:c r="E1000" s="243"/>
      <x:c r="F1000" s="14" t="str">
        <x:v>Recruiter D</x:v>
      </x:c>
      <x:c r="G1000" s="14" t="str">
        <x:v>Training Center B</x:v>
      </x:c>
      <x:c r="H1000" s="28">
        <x:v>46165</x:v>
      </x:c>
      <x:c r="I1000" s="14">
        <x:v>2026</x:v>
      </x:c>
      <x:c r="J1000" s="14" t="s">
        <x:v>118</x:v>
      </x:c>
      <x:c r="K1000" s="14">
        <x:v>13</x:v>
      </x:c>
      <x:c r="L1000" s="29" t="s">
        <x:v>119</x:v>
      </x:c>
      <x:c r="M1000" s="28">
        <x:v>46158</x:v>
      </x:c>
      <x:c r="N1000" s="28">
        <x:v>46251</x:v>
      </x:c>
      <x:c r="O1000" s="14">
        <x:v>93</x:v>
      </x:c>
      <x:c r="P1000" s="14" t="s">
        <x:v>113</x:v>
      </x:c>
      <x:c r="Q1000" s="14" t="s">
        <x:v>103</x:v>
      </x:c>
      <x:c r="R1000" s="14" t="s">
        <x:v>111</x:v>
      </x:c>
      <x:c r="S1000" s="14" t="s">
        <x:v>105</x:v>
      </x:c>
      <x:c r="T1000" s="14" t="str">
        <x:v>Region C</x:v>
      </x:c>
      <x:c r="U1000" s="28">
        <x:v>46166</x:v>
      </x:c>
      <x:c r="V1000" s="30">
        <x:v>1</x:v>
      </x:c>
      <x:c r="W1000" s="14" t="s">
        <x:v>109</x:v>
      </x:c>
      <x:c r="X1000" s="14" t="s">
        <x:v>106</x:v>
      </x:c>
      <x:c r="Y1000" s="32" t="str">
        <x:v>TRN-0999|20260523</x:v>
      </x:c>
      <x:c r="Z1000" s="32" t="str" cm="1">
        <x:f t="array" ref="Z100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1000" s="33" t="n">
        <x:f>--OR(WorkforceData[[#This Row],[Status]]="Active",WorkforceData[[#This Row],[Promoted]]="Yes",WorkforceData[[#This Row],[Total Days Worked]]&gt;=121)</x:f>
        <x:v>0</x:v>
      </x:c>
      <x:c r="AB1000" s="33" t="n">
        <x:f>IF(AND(Q1000="Terminated",R1000="",O1000=0),1,0)</x:f>
        <x:v>0</x:v>
      </x:c>
      <x:c r="AC1000" s="33" t="n">
        <x:f>--OR(WorkforceData[[#This Row],[Status]]="Resigned",WorkforceData[[#This Row],[Status After Training]]="Withdrew")</x:f>
        <x:v>1</x:v>
      </x:c>
      <x:c r="AD1000" s="34" t="n">
        <x:f>EOMONTH(WorkforceData[[#This Row],[Training Date]],0)</x:f>
        <x:v>46173</x:v>
      </x:c>
      <x:c r="AE1000" s="32" t="str">
        <x:f>IF(M1000&lt;H1000,"Existing Employee",IF(U1000="","No Assignment",IF(V1000=0,"0 Days",IF(V1000&lt;=7,"1-7 Days",IF(V1000&lt;=14,"8-14 Days",IF(V1000&lt;=21,"15-21 Days","21+ Days"))))))</x:f>
        <x:v>Existing Employee</x:v>
      </x:c>
      <x:c r="AF100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91-120 Days</x:v>
      </x:c>
      <x:c r="AG1000" s="33" t="n">
        <x:f>--(WorkforceData[[#This Row],[Total Days Worked]]&gt;=121)</x:f>
        <x:v>0</x:v>
      </x:c>
    </x:row>
    <x:row r="1001">
      <x:c r="A1001" s="236" t="str">
        <x:v>TRN-1000</x:v>
      </x:c>
      <x:c r="B1001" s="243"/>
      <x:c r="C1001" s="243"/>
      <x:c r="D1001" s="243"/>
      <x:c r="E1001" s="243"/>
      <x:c r="F1001" s="14" t="str">
        <x:v>Recruiter B</x:v>
      </x:c>
      <x:c r="G1001" s="14" t="str">
        <x:v>Training Center B</x:v>
      </x:c>
      <x:c r="H1001" s="28">
        <x:v>46165</x:v>
      </x:c>
      <x:c r="I1001" s="14">
        <x:v>2026</x:v>
      </x:c>
      <x:c r="J1001" s="14" t="s">
        <x:v>118</x:v>
      </x:c>
      <x:c r="K1001" s="14">
        <x:v>13</x:v>
      </x:c>
      <x:c r="L1001" s="29" t="s">
        <x:v>119</x:v>
      </x:c>
      <x:c r="M1001" s="28">
        <x:v>46155</x:v>
      </x:c>
      <x:c r="N1001" s="14"/>
      <x:c r="O1001" s="14">
        <x:v>96</x:v>
      </x:c>
      <x:c r="P1001" s="14" t="s">
        <x:v>113</x:v>
      </x:c>
      <x:c r="Q1001" s="14" t="s">
        <x:v>25</x:v>
      </x:c>
      <x:c r="R1001" s="14"/>
      <x:c r="S1001" s="14" t="s">
        <x:v>105</x:v>
      </x:c>
      <x:c r="T1001" s="14" t="str">
        <x:v>Region C</x:v>
      </x:c>
      <x:c r="U1001" s="28">
        <x:v>46172</x:v>
      </x:c>
      <x:c r="V1001" s="30">
        <x:v>7</x:v>
      </x:c>
      <x:c r="W1001" s="14" t="s">
        <x:v>109</x:v>
      </x:c>
      <x:c r="X1001" s="14" t="s">
        <x:v>106</x:v>
      </x:c>
      <x:c r="Y1001" s="32" t="str">
        <x:v>TRN-1000|20260523</x:v>
      </x:c>
      <x:c r="Z1001" s="32" t="str" cm="1">
        <x:f t="array" ref="Z100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001" s="33" t="n">
        <x:f>--OR(WorkforceData[[#This Row],[Status]]="Active",WorkforceData[[#This Row],[Promoted]]="Yes",WorkforceData[[#This Row],[Total Days Worked]]&gt;=121)</x:f>
        <x:v>1</x:v>
      </x:c>
      <x:c r="AB1001" s="33" t="n">
        <x:f>IF(AND(Q1001="Terminated",R1001="",O1001=0),1,0)</x:f>
        <x:v>0</x:v>
      </x:c>
      <x:c r="AC1001" s="33" t="n">
        <x:f>--OR(WorkforceData[[#This Row],[Status]]="Resigned",WorkforceData[[#This Row],[Status After Training]]="Withdrew")</x:f>
        <x:v>0</x:v>
      </x:c>
      <x:c r="AD1001" s="34" t="n">
        <x:f>EOMONTH(WorkforceData[[#This Row],[Training Date]],0)</x:f>
        <x:v>46173</x:v>
      </x:c>
      <x:c r="AE1001" s="32" t="str">
        <x:f>IF(M1001&lt;H1001,"Existing Employee",IF(U1001="","No Assignment",IF(V1001=0,"0 Days",IF(V1001&lt;=7,"1-7 Days",IF(V1001&lt;=14,"8-14 Days",IF(V1001&lt;=21,"15-21 Days","21+ Days"))))))</x:f>
        <x:v>Existing Employee</x:v>
      </x:c>
      <x:c r="AF100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91-120 Days</x:v>
      </x:c>
      <x:c r="AG1001" s="33" t="n">
        <x:f>--(WorkforceData[[#This Row],[Total Days Worked]]&gt;=121)</x:f>
        <x:v>0</x:v>
      </x:c>
    </x:row>
    <x:row r="1002">
      <x:c r="A1002" s="236" t="str">
        <x:v>TRN-1001</x:v>
      </x:c>
      <x:c r="B1002" s="243"/>
      <x:c r="C1002" s="243"/>
      <x:c r="D1002" s="243"/>
      <x:c r="E1002" s="243"/>
      <x:c r="F1002" s="14" t="str">
        <x:v>Recruiter G</x:v>
      </x:c>
      <x:c r="G1002" s="14" t="str">
        <x:v>Training Center B</x:v>
      </x:c>
      <x:c r="H1002" s="28">
        <x:v>46063</x:v>
      </x:c>
      <x:c r="I1002" s="14">
        <x:v>2026</x:v>
      </x:c>
      <x:c r="J1002" s="14" t="s">
        <x:v>136</x:v>
      </x:c>
      <x:c r="K1002" s="14">
        <x:v>15</x:v>
      </x:c>
      <x:c r="L1002" s="29" t="s">
        <x:v>119</x:v>
      </x:c>
      <x:c r="M1002" s="28">
        <x:v>46053</x:v>
      </x:c>
      <x:c r="N1002" s="14"/>
      <x:c r="O1002" s="14">
        <x:v>198</x:v>
      </x:c>
      <x:c r="P1002" s="14" t="s">
        <x:v>107</x:v>
      </x:c>
      <x:c r="Q1002" s="14" t="s">
        <x:v>25</x:v>
      </x:c>
      <x:c r="R1002" s="14"/>
      <x:c r="S1002" s="14" t="s">
        <x:v>108</x:v>
      </x:c>
      <x:c r="T1002" s="14" t="str">
        <x:v>Region A</x:v>
      </x:c>
      <x:c r="U1002" s="28">
        <x:v>46074</x:v>
      </x:c>
      <x:c r="V1002" s="30">
        <x:v>11</x:v>
      </x:c>
      <x:c r="W1002" s="14" t="s">
        <x:v>45</x:v>
      </x:c>
      <x:c r="X1002" s="14" t="s">
        <x:v>106</x:v>
      </x:c>
      <x:c r="Y1002" s="32" t="str">
        <x:v>TRN-1001|20260210</x:v>
      </x:c>
      <x:c r="Z1002" s="32" t="str" cm="1">
        <x:f t="array" ref="Z100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002" s="33" t="n">
        <x:f>--OR(WorkforceData[[#This Row],[Status]]="Active",WorkforceData[[#This Row],[Promoted]]="Yes",WorkforceData[[#This Row],[Total Days Worked]]&gt;=121)</x:f>
        <x:v>1</x:v>
      </x:c>
      <x:c r="AB1002" s="33" t="n">
        <x:f>IF(AND(Q1002="Terminated",R1002="",O1002=0),1,0)</x:f>
        <x:v>0</x:v>
      </x:c>
      <x:c r="AC1002" s="33" t="n">
        <x:f>--OR(WorkforceData[[#This Row],[Status]]="Resigned",WorkforceData[[#This Row],[Status After Training]]="Withdrew")</x:f>
        <x:v>0</x:v>
      </x:c>
      <x:c r="AD1002" s="34" t="n">
        <x:f>EOMONTH(WorkforceData[[#This Row],[Training Date]],0)</x:f>
        <x:v>46081</x:v>
      </x:c>
      <x:c r="AE1002" s="32" t="str">
        <x:f>IF(M1002&lt;H1002,"Existing Employee",IF(U1002="","No Assignment",IF(V1002=0,"0 Days",IF(V1002&lt;=7,"1-7 Days",IF(V1002&lt;=14,"8-14 Days",IF(V1002&lt;=21,"15-21 Days","21+ Days"))))))</x:f>
        <x:v>Existing Employee</x:v>
      </x:c>
      <x:c r="AF100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002" s="33" t="n">
        <x:f>--(WorkforceData[[#This Row],[Total Days Worked]]&gt;=121)</x:f>
        <x:v>1</x:v>
      </x:c>
    </x:row>
    <x:row r="1003">
      <x:c r="A1003" s="236" t="str">
        <x:v>TRN-1002</x:v>
      </x:c>
      <x:c r="B1003" s="243"/>
      <x:c r="C1003" s="243"/>
      <x:c r="D1003" s="243"/>
      <x:c r="E1003" s="243"/>
      <x:c r="F1003" s="14" t="str">
        <x:v>Recruiter C</x:v>
      </x:c>
      <x:c r="G1003" s="14" t="str">
        <x:v>Training Center B</x:v>
      </x:c>
      <x:c r="H1003" s="28">
        <x:v>46063</x:v>
      </x:c>
      <x:c r="I1003" s="14">
        <x:v>2026</x:v>
      </x:c>
      <x:c r="J1003" s="14" t="s">
        <x:v>136</x:v>
      </x:c>
      <x:c r="K1003" s="14">
        <x:v>15</x:v>
      </x:c>
      <x:c r="L1003" s="29" t="s">
        <x:v>119</x:v>
      </x:c>
      <x:c r="M1003" s="28">
        <x:v>46060</x:v>
      </x:c>
      <x:c r="N1003" s="14"/>
      <x:c r="O1003" s="14">
        <x:v>191</x:v>
      </x:c>
      <x:c r="P1003" s="14" t="s">
        <x:v>107</x:v>
      </x:c>
      <x:c r="Q1003" s="14" t="s">
        <x:v>25</x:v>
      </x:c>
      <x:c r="R1003" s="14"/>
      <x:c r="S1003" s="14" t="s">
        <x:v>108</x:v>
      </x:c>
      <x:c r="T1003" s="14" t="str">
        <x:v>Region B</x:v>
      </x:c>
      <x:c r="U1003" s="28">
        <x:v>46085</x:v>
      </x:c>
      <x:c r="V1003" s="30">
        <x:v>22</x:v>
      </x:c>
      <x:c r="W1003" s="14" t="s">
        <x:v>112</x:v>
      </x:c>
      <x:c r="X1003" s="14" t="s">
        <x:v>106</x:v>
      </x:c>
      <x:c r="Y1003" s="32" t="str">
        <x:v>TRN-1002|20260210</x:v>
      </x:c>
      <x:c r="Z1003" s="32" t="str" cm="1">
        <x:f t="array" ref="Z100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003" s="33" t="n">
        <x:f>--OR(WorkforceData[[#This Row],[Status]]="Active",WorkforceData[[#This Row],[Promoted]]="Yes",WorkforceData[[#This Row],[Total Days Worked]]&gt;=121)</x:f>
        <x:v>1</x:v>
      </x:c>
      <x:c r="AB1003" s="33" t="n">
        <x:f>IF(AND(Q1003="Terminated",R1003="",O1003=0),1,0)</x:f>
        <x:v>0</x:v>
      </x:c>
      <x:c r="AC1003" s="33" t="n">
        <x:f>--OR(WorkforceData[[#This Row],[Status]]="Resigned",WorkforceData[[#This Row],[Status After Training]]="Withdrew")</x:f>
        <x:v>0</x:v>
      </x:c>
      <x:c r="AD1003" s="34" t="n">
        <x:f>EOMONTH(WorkforceData[[#This Row],[Training Date]],0)</x:f>
        <x:v>46081</x:v>
      </x:c>
      <x:c r="AE1003" s="32" t="str">
        <x:f>IF(M1003&lt;H1003,"Existing Employee",IF(U1003="","No Assignment",IF(V1003=0,"0 Days",IF(V1003&lt;=7,"1-7 Days",IF(V1003&lt;=14,"8-14 Days",IF(V1003&lt;=21,"15-21 Days","21+ Days"))))))</x:f>
        <x:v>Existing Employee</x:v>
      </x:c>
      <x:c r="AF100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003" s="33" t="n">
        <x:f>--(WorkforceData[[#This Row],[Total Days Worked]]&gt;=121)</x:f>
        <x:v>1</x:v>
      </x:c>
    </x:row>
    <x:row r="1004">
      <x:c r="A1004" s="236" t="str">
        <x:v>TRN-1003</x:v>
      </x:c>
      <x:c r="B1004" s="243"/>
      <x:c r="C1004" s="243"/>
      <x:c r="D1004" s="243"/>
      <x:c r="E1004" s="243"/>
      <x:c r="F1004" s="14" t="str">
        <x:v>Recruiter H</x:v>
      </x:c>
      <x:c r="G1004" s="14" t="str">
        <x:v>Training Center B</x:v>
      </x:c>
      <x:c r="H1004" s="28">
        <x:v>46063</x:v>
      </x:c>
      <x:c r="I1004" s="14">
        <x:v>2026</x:v>
      </x:c>
      <x:c r="J1004" s="14" t="s">
        <x:v>136</x:v>
      </x:c>
      <x:c r="K1004" s="14">
        <x:v>15</x:v>
      </x:c>
      <x:c r="L1004" s="29" t="s">
        <x:v>119</x:v>
      </x:c>
      <x:c r="M1004" s="28">
        <x:v>46056</x:v>
      </x:c>
      <x:c r="N1004" s="28">
        <x:v>46242</x:v>
      </x:c>
      <x:c r="O1004" s="14">
        <x:v>186</x:v>
      </x:c>
      <x:c r="P1004" s="14" t="s">
        <x:v>107</x:v>
      </x:c>
      <x:c r="Q1004" s="14" t="s">
        <x:v>33</x:v>
      </x:c>
      <x:c r="R1004" s="14" t="s">
        <x:v>121</x:v>
      </x:c>
      <x:c r="S1004" s="14" t="s">
        <x:v>108</x:v>
      </x:c>
      <x:c r="T1004" s="14" t="str">
        <x:v>Region C</x:v>
      </x:c>
      <x:c r="U1004" s="28">
        <x:v>46067</x:v>
      </x:c>
      <x:c r="V1004" s="30">
        <x:v>4</x:v>
      </x:c>
      <x:c r="W1004" s="14" t="s">
        <x:v>109</x:v>
      </x:c>
      <x:c r="X1004" s="14" t="s">
        <x:v>106</x:v>
      </x:c>
      <x:c r="Y1004" s="32" t="str">
        <x:v>TRN-1003|20260210</x:v>
      </x:c>
      <x:c r="Z1004" s="32" t="str" cm="1">
        <x:f t="array" ref="Z100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1004" s="33" t="n">
        <x:f>--OR(WorkforceData[[#This Row],[Status]]="Active",WorkforceData[[#This Row],[Promoted]]="Yes",WorkforceData[[#This Row],[Total Days Worked]]&gt;=121)</x:f>
        <x:v>1</x:v>
      </x:c>
      <x:c r="AB1004" s="33" t="n">
        <x:f>IF(AND(Q1004="Terminated",R1004="",O1004=0),1,0)</x:f>
        <x:v>0</x:v>
      </x:c>
      <x:c r="AC1004" s="33" t="n">
        <x:f>--OR(WorkforceData[[#This Row],[Status]]="Resigned",WorkforceData[[#This Row],[Status After Training]]="Withdrew")</x:f>
        <x:v>0</x:v>
      </x:c>
      <x:c r="AD1004" s="34" t="n">
        <x:f>EOMONTH(WorkforceData[[#This Row],[Training Date]],0)</x:f>
        <x:v>46081</x:v>
      </x:c>
      <x:c r="AE1004" s="32" t="str">
        <x:f>IF(M1004&lt;H1004,"Existing Employee",IF(U1004="","No Assignment",IF(V1004=0,"0 Days",IF(V1004&lt;=7,"1-7 Days",IF(V1004&lt;=14,"8-14 Days",IF(V1004&lt;=21,"15-21 Days","21+ Days"))))))</x:f>
        <x:v>Existing Employee</x:v>
      </x:c>
      <x:c r="AF100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004" s="33" t="n">
        <x:f>--(WorkforceData[[#This Row],[Total Days Worked]]&gt;=121)</x:f>
        <x:v>1</x:v>
      </x:c>
    </x:row>
    <x:row r="1005">
      <x:c r="A1005" s="236" t="str">
        <x:v>TRN-1004</x:v>
      </x:c>
      <x:c r="B1005" s="243"/>
      <x:c r="C1005" s="243"/>
      <x:c r="D1005" s="243"/>
      <x:c r="E1005" s="243"/>
      <x:c r="F1005" s="14" t="str">
        <x:v>Recruiter C</x:v>
      </x:c>
      <x:c r="G1005" s="14" t="str">
        <x:v>Training Center B</x:v>
      </x:c>
      <x:c r="H1005" s="28">
        <x:v>46063</x:v>
      </x:c>
      <x:c r="I1005" s="14">
        <x:v>2026</x:v>
      </x:c>
      <x:c r="J1005" s="14" t="s">
        <x:v>136</x:v>
      </x:c>
      <x:c r="K1005" s="14">
        <x:v>15</x:v>
      </x:c>
      <x:c r="L1005" s="29" t="s">
        <x:v>119</x:v>
      </x:c>
      <x:c r="M1005" s="28">
        <x:v>46053</x:v>
      </x:c>
      <x:c r="N1005" s="14"/>
      <x:c r="O1005" s="14">
        <x:v>198</x:v>
      </x:c>
      <x:c r="P1005" s="14" t="s">
        <x:v>107</x:v>
      </x:c>
      <x:c r="Q1005" s="14" t="s">
        <x:v>25</x:v>
      </x:c>
      <x:c r="R1005" s="14"/>
      <x:c r="S1005" s="14" t="s">
        <x:v>108</x:v>
      </x:c>
      <x:c r="T1005" s="14" t="str">
        <x:v>Region C</x:v>
      </x:c>
      <x:c r="U1005" s="28">
        <x:v>46066</x:v>
      </x:c>
      <x:c r="V1005" s="30">
        <x:v>3</x:v>
      </x:c>
      <x:c r="W1005" s="14" t="s">
        <x:v>109</x:v>
      </x:c>
      <x:c r="X1005" s="14" t="s">
        <x:v>106</x:v>
      </x:c>
      <x:c r="Y1005" s="32" t="str">
        <x:v>TRN-1004|20260210</x:v>
      </x:c>
      <x:c r="Z1005" s="32" t="str" cm="1">
        <x:f t="array" ref="Z100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005" s="33" t="n">
        <x:f>--OR(WorkforceData[[#This Row],[Status]]="Active",WorkforceData[[#This Row],[Promoted]]="Yes",WorkforceData[[#This Row],[Total Days Worked]]&gt;=121)</x:f>
        <x:v>1</x:v>
      </x:c>
      <x:c r="AB1005" s="33" t="n">
        <x:f>IF(AND(Q1005="Terminated",R1005="",O1005=0),1,0)</x:f>
        <x:v>0</x:v>
      </x:c>
      <x:c r="AC1005" s="33" t="n">
        <x:f>--OR(WorkforceData[[#This Row],[Status]]="Resigned",WorkforceData[[#This Row],[Status After Training]]="Withdrew")</x:f>
        <x:v>0</x:v>
      </x:c>
      <x:c r="AD1005" s="34" t="n">
        <x:f>EOMONTH(WorkforceData[[#This Row],[Training Date]],0)</x:f>
        <x:v>46081</x:v>
      </x:c>
      <x:c r="AE1005" s="32" t="str">
        <x:f>IF(M1005&lt;H1005,"Existing Employee",IF(U1005="","No Assignment",IF(V1005=0,"0 Days",IF(V1005&lt;=7,"1-7 Days",IF(V1005&lt;=14,"8-14 Days",IF(V1005&lt;=21,"15-21 Days","21+ Days"))))))</x:f>
        <x:v>Existing Employee</x:v>
      </x:c>
      <x:c r="AF100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005" s="33" t="n">
        <x:f>--(WorkforceData[[#This Row],[Total Days Worked]]&gt;=121)</x:f>
        <x:v>1</x:v>
      </x:c>
    </x:row>
    <x:row r="1006">
      <x:c r="A1006" s="236" t="str">
        <x:v>TRN-1005</x:v>
      </x:c>
      <x:c r="B1006" s="243"/>
      <x:c r="C1006" s="243"/>
      <x:c r="D1006" s="243"/>
      <x:c r="E1006" s="243"/>
      <x:c r="F1006" s="14" t="str">
        <x:v>Recruiter H</x:v>
      </x:c>
      <x:c r="G1006" s="14" t="str">
        <x:v>Training Center B</x:v>
      </x:c>
      <x:c r="H1006" s="28">
        <x:v>46063</x:v>
      </x:c>
      <x:c r="I1006" s="14">
        <x:v>2026</x:v>
      </x:c>
      <x:c r="J1006" s="14" t="s">
        <x:v>136</x:v>
      </x:c>
      <x:c r="K1006" s="14">
        <x:v>15</x:v>
      </x:c>
      <x:c r="L1006" s="29" t="s">
        <x:v>119</x:v>
      </x:c>
      <x:c r="M1006" s="28">
        <x:v>46056</x:v>
      </x:c>
      <x:c r="N1006" s="14"/>
      <x:c r="O1006" s="14">
        <x:v>195</x:v>
      </x:c>
      <x:c r="P1006" s="14" t="s">
        <x:v>107</x:v>
      </x:c>
      <x:c r="Q1006" s="14" t="s">
        <x:v>25</x:v>
      </x:c>
      <x:c r="R1006" s="14"/>
      <x:c r="S1006" s="14" t="s">
        <x:v>108</x:v>
      </x:c>
      <x:c r="T1006" s="14" t="str">
        <x:v>Region C</x:v>
      </x:c>
      <x:c r="U1006" s="28">
        <x:v>46065</x:v>
      </x:c>
      <x:c r="V1006" s="30">
        <x:v>2</x:v>
      </x:c>
      <x:c r="W1006" s="14" t="s">
        <x:v>109</x:v>
      </x:c>
      <x:c r="X1006" s="14" t="s">
        <x:v>106</x:v>
      </x:c>
      <x:c r="Y1006" s="32" t="str">
        <x:v>TRN-1005|20260210</x:v>
      </x:c>
      <x:c r="Z1006" s="32" t="str" cm="1">
        <x:f t="array" ref="Z100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006" s="33" t="n">
        <x:f>--OR(WorkforceData[[#This Row],[Status]]="Active",WorkforceData[[#This Row],[Promoted]]="Yes",WorkforceData[[#This Row],[Total Days Worked]]&gt;=121)</x:f>
        <x:v>1</x:v>
      </x:c>
      <x:c r="AB1006" s="33" t="n">
        <x:f>IF(AND(Q1006="Terminated",R1006="",O1006=0),1,0)</x:f>
        <x:v>0</x:v>
      </x:c>
      <x:c r="AC1006" s="33" t="n">
        <x:f>--OR(WorkforceData[[#This Row],[Status]]="Resigned",WorkforceData[[#This Row],[Status After Training]]="Withdrew")</x:f>
        <x:v>0</x:v>
      </x:c>
      <x:c r="AD1006" s="34" t="n">
        <x:f>EOMONTH(WorkforceData[[#This Row],[Training Date]],0)</x:f>
        <x:v>46081</x:v>
      </x:c>
      <x:c r="AE1006" s="32" t="str">
        <x:f>IF(M1006&lt;H1006,"Existing Employee",IF(U1006="","No Assignment",IF(V1006=0,"0 Days",IF(V1006&lt;=7,"1-7 Days",IF(V1006&lt;=14,"8-14 Days",IF(V1006&lt;=21,"15-21 Days","21+ Days"))))))</x:f>
        <x:v>Existing Employee</x:v>
      </x:c>
      <x:c r="AF100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006" s="33" t="n">
        <x:f>--(WorkforceData[[#This Row],[Total Days Worked]]&gt;=121)</x:f>
        <x:v>1</x:v>
      </x:c>
    </x:row>
    <x:row r="1007">
      <x:c r="A1007" s="236" t="str">
        <x:v>TRN-1006</x:v>
      </x:c>
      <x:c r="B1007" s="243"/>
      <x:c r="C1007" s="243"/>
      <x:c r="D1007" s="243"/>
      <x:c r="E1007" s="243"/>
      <x:c r="F1007" s="14" t="str">
        <x:v>Recruiter D</x:v>
      </x:c>
      <x:c r="G1007" s="14" t="str">
        <x:v>Training Center B</x:v>
      </x:c>
      <x:c r="H1007" s="28">
        <x:v>46063</x:v>
      </x:c>
      <x:c r="I1007" s="14">
        <x:v>2026</x:v>
      </x:c>
      <x:c r="J1007" s="14" t="s">
        <x:v>136</x:v>
      </x:c>
      <x:c r="K1007" s="14">
        <x:v>15</x:v>
      </x:c>
      <x:c r="L1007" s="29" t="s">
        <x:v>119</x:v>
      </x:c>
      <x:c r="M1007" s="28">
        <x:v>46061</x:v>
      </x:c>
      <x:c r="N1007" s="28">
        <x:v>46251</x:v>
      </x:c>
      <x:c r="O1007" s="14">
        <x:v>190</x:v>
      </x:c>
      <x:c r="P1007" s="14" t="s">
        <x:v>107</x:v>
      </x:c>
      <x:c r="Q1007" s="14" t="s">
        <x:v>103</x:v>
      </x:c>
      <x:c r="R1007" s="14" t="s">
        <x:v>104</x:v>
      </x:c>
      <x:c r="S1007" s="14" t="s">
        <x:v>108</x:v>
      </x:c>
      <x:c r="T1007" s="14" t="str">
        <x:v>Region B</x:v>
      </x:c>
      <x:c r="U1007" s="28">
        <x:v>46063</x:v>
      </x:c>
      <x:c r="V1007" s="30">
        <x:v>0</x:v>
      </x:c>
      <x:c r="W1007" s="14" t="s">
        <x:v>109</x:v>
      </x:c>
      <x:c r="X1007" s="14" t="s">
        <x:v>106</x:v>
      </x:c>
      <x:c r="Y1007" s="32" t="str">
        <x:v>TRN-1006|20260210</x:v>
      </x:c>
      <x:c r="Z1007" s="32" t="str" cm="1">
        <x:f t="array" ref="Z100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1007" s="33" t="n">
        <x:f>--OR(WorkforceData[[#This Row],[Status]]="Active",WorkforceData[[#This Row],[Promoted]]="Yes",WorkforceData[[#This Row],[Total Days Worked]]&gt;=121)</x:f>
        <x:v>1</x:v>
      </x:c>
      <x:c r="AB1007" s="33" t="n">
        <x:f>IF(AND(Q1007="Terminated",R1007="",O1007=0),1,0)</x:f>
        <x:v>0</x:v>
      </x:c>
      <x:c r="AC1007" s="33" t="n">
        <x:f>--OR(WorkforceData[[#This Row],[Status]]="Resigned",WorkforceData[[#This Row],[Status After Training]]="Withdrew")</x:f>
        <x:v>1</x:v>
      </x:c>
      <x:c r="AD1007" s="34" t="n">
        <x:f>EOMONTH(WorkforceData[[#This Row],[Training Date]],0)</x:f>
        <x:v>46081</x:v>
      </x:c>
      <x:c r="AE1007" s="32" t="str">
        <x:f>IF(M1007&lt;H1007,"Existing Employee",IF(U1007="","No Assignment",IF(V1007=0,"0 Days",IF(V1007&lt;=7,"1-7 Days",IF(V1007&lt;=14,"8-14 Days",IF(V1007&lt;=21,"15-21 Days","21+ Days"))))))</x:f>
        <x:v>Existing Employee</x:v>
      </x:c>
      <x:c r="AF100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007" s="33" t="n">
        <x:f>--(WorkforceData[[#This Row],[Total Days Worked]]&gt;=121)</x:f>
        <x:v>1</x:v>
      </x:c>
    </x:row>
    <x:row r="1008">
      <x:c r="A1008" s="236" t="str">
        <x:v>TRN-1007</x:v>
      </x:c>
      <x:c r="B1008" s="243"/>
      <x:c r="C1008" s="243"/>
      <x:c r="D1008" s="243"/>
      <x:c r="E1008" s="243"/>
      <x:c r="F1008" s="14" t="str">
        <x:v>Recruiter C</x:v>
      </x:c>
      <x:c r="G1008" s="14" t="str">
        <x:v>Training Center B</x:v>
      </x:c>
      <x:c r="H1008" s="28">
        <x:v>46063</x:v>
      </x:c>
      <x:c r="I1008" s="14">
        <x:v>2026</x:v>
      </x:c>
      <x:c r="J1008" s="14" t="s">
        <x:v>136</x:v>
      </x:c>
      <x:c r="K1008" s="14">
        <x:v>15</x:v>
      </x:c>
      <x:c r="L1008" s="29" t="s">
        <x:v>119</x:v>
      </x:c>
      <x:c r="M1008" s="28">
        <x:v>46053</x:v>
      </x:c>
      <x:c r="N1008" s="14"/>
      <x:c r="O1008" s="14">
        <x:v>198</x:v>
      </x:c>
      <x:c r="P1008" s="14" t="s">
        <x:v>107</x:v>
      </x:c>
      <x:c r="Q1008" s="14" t="s">
        <x:v>25</x:v>
      </x:c>
      <x:c r="R1008" s="14"/>
      <x:c r="S1008" s="14" t="s">
        <x:v>108</x:v>
      </x:c>
      <x:c r="T1008" s="14" t="str">
        <x:v>Region C</x:v>
      </x:c>
      <x:c r="U1008" s="28">
        <x:v>46093</x:v>
      </x:c>
      <x:c r="V1008" s="30">
        <x:v>30</x:v>
      </x:c>
      <x:c r="W1008" s="14" t="s">
        <x:v>112</x:v>
      </x:c>
      <x:c r="X1008" s="14" t="s">
        <x:v>106</x:v>
      </x:c>
      <x:c r="Y1008" s="32" t="str">
        <x:v>TRN-1007|20260210</x:v>
      </x:c>
      <x:c r="Z1008" s="32" t="str" cm="1">
        <x:f t="array" ref="Z100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008" s="33" t="n">
        <x:f>--OR(WorkforceData[[#This Row],[Status]]="Active",WorkforceData[[#This Row],[Promoted]]="Yes",WorkforceData[[#This Row],[Total Days Worked]]&gt;=121)</x:f>
        <x:v>1</x:v>
      </x:c>
      <x:c r="AB1008" s="33" t="n">
        <x:f>IF(AND(Q1008="Terminated",R1008="",O1008=0),1,0)</x:f>
        <x:v>0</x:v>
      </x:c>
      <x:c r="AC1008" s="33" t="n">
        <x:f>--OR(WorkforceData[[#This Row],[Status]]="Resigned",WorkforceData[[#This Row],[Status After Training]]="Withdrew")</x:f>
        <x:v>0</x:v>
      </x:c>
      <x:c r="AD1008" s="34" t="n">
        <x:f>EOMONTH(WorkforceData[[#This Row],[Training Date]],0)</x:f>
        <x:v>46081</x:v>
      </x:c>
      <x:c r="AE1008" s="32" t="str">
        <x:f>IF(M1008&lt;H1008,"Existing Employee",IF(U1008="","No Assignment",IF(V1008=0,"0 Days",IF(V1008&lt;=7,"1-7 Days",IF(V1008&lt;=14,"8-14 Days",IF(V1008&lt;=21,"15-21 Days","21+ Days"))))))</x:f>
        <x:v>Existing Employee</x:v>
      </x:c>
      <x:c r="AF100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008" s="33" t="n">
        <x:f>--(WorkforceData[[#This Row],[Total Days Worked]]&gt;=121)</x:f>
        <x:v>1</x:v>
      </x:c>
    </x:row>
    <x:row r="1009">
      <x:c r="A1009" s="236" t="str">
        <x:v>TRN-1008</x:v>
      </x:c>
      <x:c r="B1009" s="243"/>
      <x:c r="C1009" s="243"/>
      <x:c r="D1009" s="243"/>
      <x:c r="E1009" s="243"/>
      <x:c r="F1009" s="14" t="str">
        <x:v>Recruiter A</x:v>
      </x:c>
      <x:c r="G1009" s="14" t="str">
        <x:v>Training Center B</x:v>
      </x:c>
      <x:c r="H1009" s="28">
        <x:v>46063</x:v>
      </x:c>
      <x:c r="I1009" s="14">
        <x:v>2026</x:v>
      </x:c>
      <x:c r="J1009" s="14" t="s">
        <x:v>136</x:v>
      </x:c>
      <x:c r="K1009" s="14">
        <x:v>15</x:v>
      </x:c>
      <x:c r="L1009" s="29" t="s">
        <x:v>119</x:v>
      </x:c>
      <x:c r="M1009" s="28">
        <x:v>46063</x:v>
      </x:c>
      <x:c r="N1009" s="28">
        <x:v>46101</x:v>
      </x:c>
      <x:c r="O1009" s="14">
        <x:v>38</x:v>
      </x:c>
      <x:c r="P1009" s="14" t="s">
        <x:v>110</x:v>
      </x:c>
      <x:c r="Q1009" s="14" t="s">
        <x:v>33</x:v>
      </x:c>
      <x:c r="R1009" s="14" t="s">
        <x:v>116</x:v>
      </x:c>
      <x:c r="S1009" s="14" t="s">
        <x:v>105</x:v>
      </x:c>
      <x:c r="T1009" s="14" t="str">
        <x:v>Region B</x:v>
      </x:c>
      <x:c r="U1009" s="28">
        <x:v>46067</x:v>
      </x:c>
      <x:c r="V1009" s="30">
        <x:v>4</x:v>
      </x:c>
      <x:c r="W1009" s="14" t="s">
        <x:v>109</x:v>
      </x:c>
      <x:c r="X1009" s="14" t="s">
        <x:v>106</x:v>
      </x:c>
      <x:c r="Y1009" s="32" t="str">
        <x:v>TRN-1008|20260210</x:v>
      </x:c>
      <x:c r="Z1009" s="32" t="str" cm="1">
        <x:f t="array" ref="Z100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1009" s="33" t="n">
        <x:f>--OR(WorkforceData[[#This Row],[Status]]="Active",WorkforceData[[#This Row],[Promoted]]="Yes",WorkforceData[[#This Row],[Total Days Worked]]&gt;=121)</x:f>
        <x:v>0</x:v>
      </x:c>
      <x:c r="AB1009" s="33" t="n">
        <x:f>IF(AND(Q1009="Terminated",R1009="",O1009=0),1,0)</x:f>
        <x:v>0</x:v>
      </x:c>
      <x:c r="AC1009" s="33" t="n">
        <x:f>--OR(WorkforceData[[#This Row],[Status]]="Resigned",WorkforceData[[#This Row],[Status After Training]]="Withdrew")</x:f>
        <x:v>0</x:v>
      </x:c>
      <x:c r="AD1009" s="34" t="n">
        <x:f>EOMONTH(WorkforceData[[#This Row],[Training Date]],0)</x:f>
        <x:v>46081</x:v>
      </x:c>
      <x:c r="AE1009" s="32" t="str">
        <x:f>IF(M1009&lt;H1009,"Existing Employee",IF(U1009="","No Assignment",IF(V1009=0,"0 Days",IF(V1009&lt;=7,"1-7 Days",IF(V1009&lt;=14,"8-14 Days",IF(V1009&lt;=21,"15-21 Days","21+ Days"))))))</x:f>
        <x:v>1-7 Days</x:v>
      </x:c>
      <x:c r="AF100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1009" s="33" t="n">
        <x:f>--(WorkforceData[[#This Row],[Total Days Worked]]&gt;=121)</x:f>
        <x:v>0</x:v>
      </x:c>
    </x:row>
    <x:row r="1010">
      <x:c r="A1010" s="236" t="str">
        <x:v>TRN-1009</x:v>
      </x:c>
      <x:c r="B1010" s="243"/>
      <x:c r="C1010" s="243"/>
      <x:c r="D1010" s="243"/>
      <x:c r="E1010" s="243"/>
      <x:c r="F1010" s="14" t="str">
        <x:v>Recruiter D</x:v>
      </x:c>
      <x:c r="G1010" s="14" t="str">
        <x:v>Training Center B</x:v>
      </x:c>
      <x:c r="H1010" s="28">
        <x:v>46063</x:v>
      </x:c>
      <x:c r="I1010" s="14">
        <x:v>2026</x:v>
      </x:c>
      <x:c r="J1010" s="14" t="s">
        <x:v>136</x:v>
      </x:c>
      <x:c r="K1010" s="14">
        <x:v>15</x:v>
      </x:c>
      <x:c r="L1010" s="29" t="s">
        <x:v>119</x:v>
      </x:c>
      <x:c r="M1010" s="28">
        <x:v>46062</x:v>
      </x:c>
      <x:c r="N1010" s="14"/>
      <x:c r="O1010" s="14">
        <x:v>189</x:v>
      </x:c>
      <x:c r="P1010" s="14" t="s">
        <x:v>107</x:v>
      </x:c>
      <x:c r="Q1010" s="14" t="s">
        <x:v>25</x:v>
      </x:c>
      <x:c r="R1010" s="14"/>
      <x:c r="S1010" s="14" t="s">
        <x:v>108</x:v>
      </x:c>
      <x:c r="T1010" s="14" t="str">
        <x:v>Region D</x:v>
      </x:c>
      <x:c r="U1010" s="28">
        <x:v>46063</x:v>
      </x:c>
      <x:c r="V1010" s="30">
        <x:v>0</x:v>
      </x:c>
      <x:c r="W1010" s="14" t="s">
        <x:v>109</x:v>
      </x:c>
      <x:c r="X1010" s="14" t="s">
        <x:v>106</x:v>
      </x:c>
      <x:c r="Y1010" s="32" t="str">
        <x:v>TRN-1009|20260210</x:v>
      </x:c>
      <x:c r="Z1010" s="32" t="str" cm="1">
        <x:f t="array" ref="Z101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010" s="33" t="n">
        <x:f>--OR(WorkforceData[[#This Row],[Status]]="Active",WorkforceData[[#This Row],[Promoted]]="Yes",WorkforceData[[#This Row],[Total Days Worked]]&gt;=121)</x:f>
        <x:v>1</x:v>
      </x:c>
      <x:c r="AB1010" s="33" t="n">
        <x:f>IF(AND(Q1010="Terminated",R1010="",O1010=0),1,0)</x:f>
        <x:v>0</x:v>
      </x:c>
      <x:c r="AC1010" s="33" t="n">
        <x:f>--OR(WorkforceData[[#This Row],[Status]]="Resigned",WorkforceData[[#This Row],[Status After Training]]="Withdrew")</x:f>
        <x:v>0</x:v>
      </x:c>
      <x:c r="AD1010" s="34" t="n">
        <x:f>EOMONTH(WorkforceData[[#This Row],[Training Date]],0)</x:f>
        <x:v>46081</x:v>
      </x:c>
      <x:c r="AE1010" s="32" t="str">
        <x:f>IF(M1010&lt;H1010,"Existing Employee",IF(U1010="","No Assignment",IF(V1010=0,"0 Days",IF(V1010&lt;=7,"1-7 Days",IF(V1010&lt;=14,"8-14 Days",IF(V1010&lt;=21,"15-21 Days","21+ Days"))))))</x:f>
        <x:v>Existing Employee</x:v>
      </x:c>
      <x:c r="AF101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010" s="33" t="n">
        <x:f>--(WorkforceData[[#This Row],[Total Days Worked]]&gt;=121)</x:f>
        <x:v>1</x:v>
      </x:c>
    </x:row>
    <x:row r="1011">
      <x:c r="A1011" s="236" t="str">
        <x:v>TRN-1010</x:v>
      </x:c>
      <x:c r="B1011" s="243"/>
      <x:c r="C1011" s="243"/>
      <x:c r="D1011" s="243"/>
      <x:c r="E1011" s="243"/>
      <x:c r="F1011" s="14" t="str">
        <x:v>Recruiter A</x:v>
      </x:c>
      <x:c r="G1011" s="14" t="str">
        <x:v>Training Center B</x:v>
      </x:c>
      <x:c r="H1011" s="28">
        <x:v>46063</x:v>
      </x:c>
      <x:c r="I1011" s="14">
        <x:v>2026</x:v>
      </x:c>
      <x:c r="J1011" s="14" t="s">
        <x:v>136</x:v>
      </x:c>
      <x:c r="K1011" s="14">
        <x:v>15</x:v>
      </x:c>
      <x:c r="L1011" s="29" t="s">
        <x:v>119</x:v>
      </x:c>
      <x:c r="M1011" s="28">
        <x:v>46056</x:v>
      </x:c>
      <x:c r="N1011" s="14"/>
      <x:c r="O1011" s="14">
        <x:v>195</x:v>
      </x:c>
      <x:c r="P1011" s="14" t="s">
        <x:v>107</x:v>
      </x:c>
      <x:c r="Q1011" s="14" t="s">
        <x:v>25</x:v>
      </x:c>
      <x:c r="R1011" s="14"/>
      <x:c r="S1011" s="14" t="s">
        <x:v>108</x:v>
      </x:c>
      <x:c r="T1011" s="14" t="str">
        <x:v>Region C</x:v>
      </x:c>
      <x:c r="U1011" s="28">
        <x:v>46072</x:v>
      </x:c>
      <x:c r="V1011" s="30">
        <x:v>9</x:v>
      </x:c>
      <x:c r="W1011" s="14" t="s">
        <x:v>45</x:v>
      </x:c>
      <x:c r="X1011" s="14" t="s">
        <x:v>106</x:v>
      </x:c>
      <x:c r="Y1011" s="32" t="str">
        <x:v>TRN-1010|20260210</x:v>
      </x:c>
      <x:c r="Z1011" s="32" t="str" cm="1">
        <x:f t="array" ref="Z101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011" s="33" t="n">
        <x:f>--OR(WorkforceData[[#This Row],[Status]]="Active",WorkforceData[[#This Row],[Promoted]]="Yes",WorkforceData[[#This Row],[Total Days Worked]]&gt;=121)</x:f>
        <x:v>1</x:v>
      </x:c>
      <x:c r="AB1011" s="33" t="n">
        <x:f>IF(AND(Q1011="Terminated",R1011="",O1011=0),1,0)</x:f>
        <x:v>0</x:v>
      </x:c>
      <x:c r="AC1011" s="33" t="n">
        <x:f>--OR(WorkforceData[[#This Row],[Status]]="Resigned",WorkforceData[[#This Row],[Status After Training]]="Withdrew")</x:f>
        <x:v>0</x:v>
      </x:c>
      <x:c r="AD1011" s="34" t="n">
        <x:f>EOMONTH(WorkforceData[[#This Row],[Training Date]],0)</x:f>
        <x:v>46081</x:v>
      </x:c>
      <x:c r="AE1011" s="32" t="str">
        <x:f>IF(M1011&lt;H1011,"Existing Employee",IF(U1011="","No Assignment",IF(V1011=0,"0 Days",IF(V1011&lt;=7,"1-7 Days",IF(V1011&lt;=14,"8-14 Days",IF(V1011&lt;=21,"15-21 Days","21+ Days"))))))</x:f>
        <x:v>Existing Employee</x:v>
      </x:c>
      <x:c r="AF101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011" s="33" t="n">
        <x:f>--(WorkforceData[[#This Row],[Total Days Worked]]&gt;=121)</x:f>
        <x:v>1</x:v>
      </x:c>
    </x:row>
    <x:row r="1012">
      <x:c r="A1012" s="236" t="str">
        <x:v>TRN-1011</x:v>
      </x:c>
      <x:c r="B1012" s="243"/>
      <x:c r="C1012" s="243"/>
      <x:c r="D1012" s="243"/>
      <x:c r="E1012" s="243"/>
      <x:c r="F1012" s="14" t="str">
        <x:v>Recruiter H</x:v>
      </x:c>
      <x:c r="G1012" s="14" t="str">
        <x:v>Training Center B</x:v>
      </x:c>
      <x:c r="H1012" s="28">
        <x:v>46063</x:v>
      </x:c>
      <x:c r="I1012" s="14">
        <x:v>2026</x:v>
      </x:c>
      <x:c r="J1012" s="14" t="s">
        <x:v>136</x:v>
      </x:c>
      <x:c r="K1012" s="14">
        <x:v>15</x:v>
      </x:c>
      <x:c r="L1012" s="29" t="s">
        <x:v>119</x:v>
      </x:c>
      <x:c r="M1012" s="28">
        <x:v>46063</x:v>
      </x:c>
      <x:c r="N1012" s="14"/>
      <x:c r="O1012" s="14">
        <x:v>188</x:v>
      </x:c>
      <x:c r="P1012" s="14" t="s">
        <x:v>107</x:v>
      </x:c>
      <x:c r="Q1012" s="14" t="s">
        <x:v>25</x:v>
      </x:c>
      <x:c r="R1012" s="14"/>
      <x:c r="S1012" s="14" t="s">
        <x:v>105</x:v>
      </x:c>
      <x:c r="T1012" s="14"/>
      <x:c r="U1012" s="28"/>
      <x:c r="V1012" s="30"/>
      <x:c r="W1012" s="14"/>
      <x:c r="X1012" s="14" t="s">
        <x:v>71</x:v>
      </x:c>
      <x:c r="Y1012" s="32" t="str">
        <x:v>TRN-1011|20260210</x:v>
      </x:c>
      <x:c r="Z1012" s="32" t="str" cm="1">
        <x:f t="array" ref="Z101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012" s="33" t="n">
        <x:f>--OR(WorkforceData[[#This Row],[Status]]="Active",WorkforceData[[#This Row],[Promoted]]="Yes",WorkforceData[[#This Row],[Total Days Worked]]&gt;=121)</x:f>
        <x:v>1</x:v>
      </x:c>
      <x:c r="AB1012" s="33" t="n">
        <x:f>IF(AND(Q1012="Terminated",R1012="",O1012=0),1,0)</x:f>
        <x:v>0</x:v>
      </x:c>
      <x:c r="AC1012" s="33" t="n">
        <x:f>--OR(WorkforceData[[#This Row],[Status]]="Resigned",WorkforceData[[#This Row],[Status After Training]]="Withdrew")</x:f>
        <x:v>0</x:v>
      </x:c>
      <x:c r="AD1012" s="34" t="n">
        <x:f>EOMONTH(WorkforceData[[#This Row],[Training Date]],0)</x:f>
        <x:v>46081</x:v>
      </x:c>
      <x:c r="AE1012" s="32" t="str">
        <x:f>IF(M1012&lt;H1012,"Existing Employee",IF(U1012="","No Assignment",IF(V1012=0,"0 Days",IF(V1012&lt;=7,"1-7 Days",IF(V1012&lt;=14,"8-14 Days",IF(V1012&lt;=21,"15-21 Days","21+ Days"))))))</x:f>
        <x:v>No Assignment</x:v>
      </x:c>
      <x:c r="AF101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012" s="33" t="n">
        <x:f>--(WorkforceData[[#This Row],[Total Days Worked]]&gt;=121)</x:f>
        <x:v>1</x:v>
      </x:c>
    </x:row>
    <x:row r="1013">
      <x:c r="A1013" s="236" t="str">
        <x:v>TRN-1012</x:v>
      </x:c>
      <x:c r="B1013" s="243"/>
      <x:c r="C1013" s="243"/>
      <x:c r="D1013" s="243"/>
      <x:c r="E1013" s="243"/>
      <x:c r="F1013" s="14" t="str">
        <x:v>Recruiter D</x:v>
      </x:c>
      <x:c r="G1013" s="14" t="str">
        <x:v>Training Center B</x:v>
      </x:c>
      <x:c r="H1013" s="28">
        <x:v>46063</x:v>
      </x:c>
      <x:c r="I1013" s="14">
        <x:v>2026</x:v>
      </x:c>
      <x:c r="J1013" s="14" t="s">
        <x:v>136</x:v>
      </x:c>
      <x:c r="K1013" s="14">
        <x:v>15</x:v>
      </x:c>
      <x:c r="L1013" s="29" t="s">
        <x:v>119</x:v>
      </x:c>
      <x:c r="M1013" s="28">
        <x:v>46063</x:v>
      </x:c>
      <x:c r="N1013" s="14"/>
      <x:c r="O1013" s="14">
        <x:v>188</x:v>
      </x:c>
      <x:c r="P1013" s="14" t="s">
        <x:v>107</x:v>
      </x:c>
      <x:c r="Q1013" s="14" t="s">
        <x:v>25</x:v>
      </x:c>
      <x:c r="R1013" s="14"/>
      <x:c r="S1013" s="14" t="s">
        <x:v>108</x:v>
      </x:c>
      <x:c r="T1013" s="14" t="str">
        <x:v>Region E</x:v>
      </x:c>
      <x:c r="U1013" s="28">
        <x:v>46087</x:v>
      </x:c>
      <x:c r="V1013" s="30">
        <x:v>24</x:v>
      </x:c>
      <x:c r="W1013" s="14" t="s">
        <x:v>112</x:v>
      </x:c>
      <x:c r="X1013" s="14" t="s">
        <x:v>106</x:v>
      </x:c>
      <x:c r="Y1013" s="32" t="str">
        <x:v>TRN-1012|20260210</x:v>
      </x:c>
      <x:c r="Z1013" s="32" t="str" cm="1">
        <x:f t="array" ref="Z101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013" s="33" t="n">
        <x:f>--OR(WorkforceData[[#This Row],[Status]]="Active",WorkforceData[[#This Row],[Promoted]]="Yes",WorkforceData[[#This Row],[Total Days Worked]]&gt;=121)</x:f>
        <x:v>1</x:v>
      </x:c>
      <x:c r="AB1013" s="33" t="n">
        <x:f>IF(AND(Q1013="Terminated",R1013="",O1013=0),1,0)</x:f>
        <x:v>0</x:v>
      </x:c>
      <x:c r="AC1013" s="33" t="n">
        <x:f>--OR(WorkforceData[[#This Row],[Status]]="Resigned",WorkforceData[[#This Row],[Status After Training]]="Withdrew")</x:f>
        <x:v>0</x:v>
      </x:c>
      <x:c r="AD1013" s="34" t="n">
        <x:f>EOMONTH(WorkforceData[[#This Row],[Training Date]],0)</x:f>
        <x:v>46081</x:v>
      </x:c>
      <x:c r="AE1013" s="32" t="str">
        <x:f>IF(M1013&lt;H1013,"Existing Employee",IF(U1013="","No Assignment",IF(V1013=0,"0 Days",IF(V1013&lt;=7,"1-7 Days",IF(V1013&lt;=14,"8-14 Days",IF(V1013&lt;=21,"15-21 Days","21+ Days"))))))</x:f>
        <x:v>21+ Days</x:v>
      </x:c>
      <x:c r="AF101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013" s="33" t="n">
        <x:f>--(WorkforceData[[#This Row],[Total Days Worked]]&gt;=121)</x:f>
        <x:v>1</x:v>
      </x:c>
    </x:row>
    <x:row r="1014">
      <x:c r="A1014" s="236" t="str">
        <x:v>TRN-1013</x:v>
      </x:c>
      <x:c r="B1014" s="243"/>
      <x:c r="C1014" s="243"/>
      <x:c r="D1014" s="243"/>
      <x:c r="E1014" s="243"/>
      <x:c r="F1014" s="14" t="str">
        <x:v>Recruiter B</x:v>
      </x:c>
      <x:c r="G1014" s="14" t="str">
        <x:v>Training Center B</x:v>
      </x:c>
      <x:c r="H1014" s="28">
        <x:v>46063</x:v>
      </x:c>
      <x:c r="I1014" s="14">
        <x:v>2026</x:v>
      </x:c>
      <x:c r="J1014" s="14" t="s">
        <x:v>136</x:v>
      </x:c>
      <x:c r="K1014" s="14">
        <x:v>15</x:v>
      </x:c>
      <x:c r="L1014" s="29" t="s">
        <x:v>119</x:v>
      </x:c>
      <x:c r="M1014" s="28">
        <x:v>46053</x:v>
      </x:c>
      <x:c r="N1014" s="28">
        <x:v>46060</x:v>
      </x:c>
      <x:c r="O1014" s="14">
        <x:v>7</x:v>
      </x:c>
      <x:c r="P1014" s="14" t="s">
        <x:v>102</x:v>
      </x:c>
      <x:c r="Q1014" s="14" t="s">
        <x:v>103</x:v>
      </x:c>
      <x:c r="R1014" s="14" t="s">
        <x:v>104</x:v>
      </x:c>
      <x:c r="S1014" s="14" t="s">
        <x:v>105</x:v>
      </x:c>
      <x:c r="T1014" s="14"/>
      <x:c r="U1014" s="28"/>
      <x:c r="V1014" s="30"/>
      <x:c r="W1014" s="14"/>
      <x:c r="X1014" s="14" t="s">
        <x:v>71</x:v>
      </x:c>
      <x:c r="Y1014" s="32" t="str">
        <x:v>TRN-1013|20260210</x:v>
      </x:c>
      <x:c r="Z1014" s="32" t="str" cm="1">
        <x:f t="array" ref="Z101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1014" s="33" t="n">
        <x:f>--OR(WorkforceData[[#This Row],[Status]]="Active",WorkforceData[[#This Row],[Promoted]]="Yes",WorkforceData[[#This Row],[Total Days Worked]]&gt;=121)</x:f>
        <x:v>0</x:v>
      </x:c>
      <x:c r="AB1014" s="33" t="n">
        <x:f>IF(AND(Q1014="Terminated",R1014="",O1014=0),1,0)</x:f>
        <x:v>0</x:v>
      </x:c>
      <x:c r="AC1014" s="33" t="n">
        <x:f>--OR(WorkforceData[[#This Row],[Status]]="Resigned",WorkforceData[[#This Row],[Status After Training]]="Withdrew")</x:f>
        <x:v>1</x:v>
      </x:c>
      <x:c r="AD1014" s="34" t="n">
        <x:f>EOMONTH(WorkforceData[[#This Row],[Training Date]],0)</x:f>
        <x:v>46081</x:v>
      </x:c>
      <x:c r="AE1014" s="32" t="str">
        <x:f>IF(M1014&lt;H1014,"Existing Employee",IF(U1014="","No Assignment",IF(V1014=0,"0 Days",IF(V1014&lt;=7,"1-7 Days",IF(V1014&lt;=14,"8-14 Days",IF(V1014&lt;=21,"15-21 Days","21+ Days"))))))</x:f>
        <x:v>Existing Employee</x:v>
      </x:c>
      <x:c r="AF101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1-7 Days</x:v>
      </x:c>
      <x:c r="AG1014" s="33" t="n">
        <x:f>--(WorkforceData[[#This Row],[Total Days Worked]]&gt;=121)</x:f>
        <x:v>0</x:v>
      </x:c>
    </x:row>
    <x:row r="1015">
      <x:c r="A1015" s="236" t="str">
        <x:v>TRN-1014</x:v>
      </x:c>
      <x:c r="B1015" s="243"/>
      <x:c r="C1015" s="243"/>
      <x:c r="D1015" s="243"/>
      <x:c r="E1015" s="243"/>
      <x:c r="F1015" s="14" t="str">
        <x:v>Recruiter E</x:v>
      </x:c>
      <x:c r="G1015" s="14" t="str">
        <x:v>Training Center B</x:v>
      </x:c>
      <x:c r="H1015" s="28">
        <x:v>46063</x:v>
      </x:c>
      <x:c r="I1015" s="14">
        <x:v>2026</x:v>
      </x:c>
      <x:c r="J1015" s="14" t="s">
        <x:v>136</x:v>
      </x:c>
      <x:c r="K1015" s="14">
        <x:v>15</x:v>
      </x:c>
      <x:c r="L1015" s="29" t="s">
        <x:v>119</x:v>
      </x:c>
      <x:c r="M1015" s="28">
        <x:v>46063</x:v>
      </x:c>
      <x:c r="N1015" s="14"/>
      <x:c r="O1015" s="14">
        <x:v>188</x:v>
      </x:c>
      <x:c r="P1015" s="14" t="s">
        <x:v>107</x:v>
      </x:c>
      <x:c r="Q1015" s="14" t="s">
        <x:v>25</x:v>
      </x:c>
      <x:c r="R1015" s="14"/>
      <x:c r="S1015" s="14" t="s">
        <x:v>108</x:v>
      </x:c>
      <x:c r="T1015" s="14" t="str">
        <x:v>Region B</x:v>
      </x:c>
      <x:c r="U1015" s="28">
        <x:v>46064</x:v>
      </x:c>
      <x:c r="V1015" s="30">
        <x:v>1</x:v>
      </x:c>
      <x:c r="W1015" s="14" t="s">
        <x:v>109</x:v>
      </x:c>
      <x:c r="X1015" s="14" t="s">
        <x:v>106</x:v>
      </x:c>
      <x:c r="Y1015" s="32" t="str">
        <x:v>TRN-1014|20260210</x:v>
      </x:c>
      <x:c r="Z1015" s="32" t="str" cm="1">
        <x:f t="array" ref="Z101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015" s="33" t="n">
        <x:f>--OR(WorkforceData[[#This Row],[Status]]="Active",WorkforceData[[#This Row],[Promoted]]="Yes",WorkforceData[[#This Row],[Total Days Worked]]&gt;=121)</x:f>
        <x:v>1</x:v>
      </x:c>
      <x:c r="AB1015" s="33" t="n">
        <x:f>IF(AND(Q1015="Terminated",R1015="",O1015=0),1,0)</x:f>
        <x:v>0</x:v>
      </x:c>
      <x:c r="AC1015" s="33" t="n">
        <x:f>--OR(WorkforceData[[#This Row],[Status]]="Resigned",WorkforceData[[#This Row],[Status After Training]]="Withdrew")</x:f>
        <x:v>0</x:v>
      </x:c>
      <x:c r="AD1015" s="34" t="n">
        <x:f>EOMONTH(WorkforceData[[#This Row],[Training Date]],0)</x:f>
        <x:v>46081</x:v>
      </x:c>
      <x:c r="AE1015" s="32" t="str">
        <x:f>IF(M1015&lt;H1015,"Existing Employee",IF(U1015="","No Assignment",IF(V1015=0,"0 Days",IF(V1015&lt;=7,"1-7 Days",IF(V1015&lt;=14,"8-14 Days",IF(V1015&lt;=21,"15-21 Days","21+ Days"))))))</x:f>
        <x:v>1-7 Days</x:v>
      </x:c>
      <x:c r="AF101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015" s="33" t="n">
        <x:f>--(WorkforceData[[#This Row],[Total Days Worked]]&gt;=121)</x:f>
        <x:v>1</x:v>
      </x:c>
    </x:row>
    <x:row r="1016">
      <x:c r="A1016" s="236" t="str">
        <x:v>TRN-1015</x:v>
      </x:c>
      <x:c r="B1016" s="243"/>
      <x:c r="C1016" s="243"/>
      <x:c r="D1016" s="243"/>
      <x:c r="E1016" s="243"/>
      <x:c r="F1016" s="14" t="str">
        <x:v>Recruiter A</x:v>
      </x:c>
      <x:c r="G1016" s="14" t="str">
        <x:v>Training Center B</x:v>
      </x:c>
      <x:c r="H1016" s="28">
        <x:v>46063</x:v>
      </x:c>
      <x:c r="I1016" s="14">
        <x:v>2026</x:v>
      </x:c>
      <x:c r="J1016" s="14" t="s">
        <x:v>136</x:v>
      </x:c>
      <x:c r="K1016" s="14">
        <x:v>15</x:v>
      </x:c>
      <x:c r="L1016" s="29" t="s">
        <x:v>119</x:v>
      </x:c>
      <x:c r="M1016" s="28">
        <x:v>46061</x:v>
      </x:c>
      <x:c r="N1016" s="14"/>
      <x:c r="O1016" s="14">
        <x:v>190</x:v>
      </x:c>
      <x:c r="P1016" s="14" t="s">
        <x:v>107</x:v>
      </x:c>
      <x:c r="Q1016" s="14" t="s">
        <x:v>25</x:v>
      </x:c>
      <x:c r="R1016" s="14"/>
      <x:c r="S1016" s="14" t="s">
        <x:v>108</x:v>
      </x:c>
      <x:c r="T1016" s="14" t="str">
        <x:v>Region D</x:v>
      </x:c>
      <x:c r="U1016" s="28">
        <x:v>46067</x:v>
      </x:c>
      <x:c r="V1016" s="30">
        <x:v>4</x:v>
      </x:c>
      <x:c r="W1016" s="14" t="s">
        <x:v>109</x:v>
      </x:c>
      <x:c r="X1016" s="14" t="s">
        <x:v>106</x:v>
      </x:c>
      <x:c r="Y1016" s="32" t="str">
        <x:v>TRN-1015|20260210</x:v>
      </x:c>
      <x:c r="Z1016" s="32" t="str" cm="1">
        <x:f t="array" ref="Z101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016" s="33" t="n">
        <x:f>--OR(WorkforceData[[#This Row],[Status]]="Active",WorkforceData[[#This Row],[Promoted]]="Yes",WorkforceData[[#This Row],[Total Days Worked]]&gt;=121)</x:f>
        <x:v>1</x:v>
      </x:c>
      <x:c r="AB1016" s="33" t="n">
        <x:f>IF(AND(Q1016="Terminated",R1016="",O1016=0),1,0)</x:f>
        <x:v>0</x:v>
      </x:c>
      <x:c r="AC1016" s="33" t="n">
        <x:f>--OR(WorkforceData[[#This Row],[Status]]="Resigned",WorkforceData[[#This Row],[Status After Training]]="Withdrew")</x:f>
        <x:v>0</x:v>
      </x:c>
      <x:c r="AD1016" s="34" t="n">
        <x:f>EOMONTH(WorkforceData[[#This Row],[Training Date]],0)</x:f>
        <x:v>46081</x:v>
      </x:c>
      <x:c r="AE1016" s="32" t="str">
        <x:f>IF(M1016&lt;H1016,"Existing Employee",IF(U1016="","No Assignment",IF(V1016=0,"0 Days",IF(V1016&lt;=7,"1-7 Days",IF(V1016&lt;=14,"8-14 Days",IF(V1016&lt;=21,"15-21 Days","21+ Days"))))))</x:f>
        <x:v>Existing Employee</x:v>
      </x:c>
      <x:c r="AF101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016" s="33" t="n">
        <x:f>--(WorkforceData[[#This Row],[Total Days Worked]]&gt;=121)</x:f>
        <x:v>1</x:v>
      </x:c>
    </x:row>
    <x:row r="1017">
      <x:c r="A1017" s="236" t="str">
        <x:v>TRN-1016</x:v>
      </x:c>
      <x:c r="B1017" s="243"/>
      <x:c r="C1017" s="243"/>
      <x:c r="D1017" s="243"/>
      <x:c r="E1017" s="243"/>
      <x:c r="F1017" s="14" t="str">
        <x:v>Recruiter D</x:v>
      </x:c>
      <x:c r="G1017" s="14" t="str">
        <x:v>Training Center B</x:v>
      </x:c>
      <x:c r="H1017" s="28">
        <x:v>46056</x:v>
      </x:c>
      <x:c r="I1017" s="14">
        <x:v>2026</x:v>
      </x:c>
      <x:c r="J1017" s="14" t="s">
        <x:v>136</x:v>
      </x:c>
      <x:c r="K1017" s="14">
        <x:v>27</x:v>
      </x:c>
      <x:c r="L1017" s="29" t="s">
        <x:v>101</x:v>
      </x:c>
      <x:c r="M1017" s="28">
        <x:v>46053</x:v>
      </x:c>
      <x:c r="N1017" s="28">
        <x:v>46209</x:v>
      </x:c>
      <x:c r="O1017" s="14">
        <x:v>156</x:v>
      </x:c>
      <x:c r="P1017" s="14" t="s">
        <x:v>113</x:v>
      </x:c>
      <x:c r="Q1017" s="14" t="s">
        <x:v>103</x:v>
      </x:c>
      <x:c r="R1017" s="14" t="s">
        <x:v>104</x:v>
      </x:c>
      <x:c r="S1017" s="14" t="s">
        <x:v>105</x:v>
      </x:c>
      <x:c r="T1017" s="14" t="str">
        <x:v>Region C</x:v>
      </x:c>
      <x:c r="U1017" s="28">
        <x:v>46060</x:v>
      </x:c>
      <x:c r="V1017" s="30">
        <x:v>4</x:v>
      </x:c>
      <x:c r="W1017" s="14" t="s">
        <x:v>109</x:v>
      </x:c>
      <x:c r="X1017" s="14" t="s">
        <x:v>106</x:v>
      </x:c>
      <x:c r="Y1017" s="32" t="str">
        <x:v>TRN-1016|20260203</x:v>
      </x:c>
      <x:c r="Z1017" s="32" t="str" cm="1">
        <x:f t="array" ref="Z101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Complete</x:v>
      </x:c>
      <x:c r="AA1017" s="33" t="n">
        <x:f>--OR(WorkforceData[[#This Row],[Status]]="Active",WorkforceData[[#This Row],[Promoted]]="Yes",WorkforceData[[#This Row],[Total Days Worked]]&gt;=121)</x:f>
        <x:v>1</x:v>
      </x:c>
      <x:c r="AB1017" s="33" t="n">
        <x:f>IF(AND(Q1017="Terminated",R1017="",O1017=0),1,0)</x:f>
        <x:v>0</x:v>
      </x:c>
      <x:c r="AC1017" s="33" t="n">
        <x:f>--OR(WorkforceData[[#This Row],[Status]]="Resigned",WorkforceData[[#This Row],[Status After Training]]="Withdrew")</x:f>
        <x:v>1</x:v>
      </x:c>
      <x:c r="AD1017" s="34" t="n">
        <x:f>EOMONTH(WorkforceData[[#This Row],[Training Date]],0)</x:f>
        <x:v>46081</x:v>
      </x:c>
      <x:c r="AE1017" s="32" t="str">
        <x:f>IF(M1017&lt;H1017,"Existing Employee",IF(U1017="","No Assignment",IF(V1017=0,"0 Days",IF(V1017&lt;=7,"1-7 Days",IF(V1017&lt;=14,"8-14 Days",IF(V1017&lt;=21,"15-21 Days","21+ Days"))))))</x:f>
        <x:v>Existing Employee</x:v>
      </x:c>
      <x:c r="AF101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017" s="33" t="n">
        <x:f>--(WorkforceData[[#This Row],[Total Days Worked]]&gt;=121)</x:f>
        <x:v>1</x:v>
      </x:c>
    </x:row>
    <x:row r="1018">
      <x:c r="A1018" s="236" t="str">
        <x:v>TRN-1017</x:v>
      </x:c>
      <x:c r="B1018" s="243"/>
      <x:c r="C1018" s="243"/>
      <x:c r="D1018" s="243"/>
      <x:c r="E1018" s="243"/>
      <x:c r="F1018" s="14" t="str">
        <x:v>Recruiter C</x:v>
      </x:c>
      <x:c r="G1018" s="14" t="str">
        <x:v>Training Center B</x:v>
      </x:c>
      <x:c r="H1018" s="28">
        <x:v>46056</x:v>
      </x:c>
      <x:c r="I1018" s="14">
        <x:v>2026</x:v>
      </x:c>
      <x:c r="J1018" s="14" t="s">
        <x:v>136</x:v>
      </x:c>
      <x:c r="K1018" s="14">
        <x:v>27</x:v>
      </x:c>
      <x:c r="L1018" s="29" t="s">
        <x:v>101</x:v>
      </x:c>
      <x:c r="M1018" s="28">
        <x:v>46056</x:v>
      </x:c>
      <x:c r="N1018" s="28">
        <x:v>46146</x:v>
      </x:c>
      <x:c r="O1018" s="14">
        <x:v>90</x:v>
      </x:c>
      <x:c r="P1018" s="14" t="s">
        <x:v>110</x:v>
      </x:c>
      <x:c r="Q1018" s="14" t="s">
        <x:v>33</x:v>
      </x:c>
      <x:c r="R1018" s="14" t="s">
        <x:v>121</x:v>
      </x:c>
      <x:c r="S1018" s="14" t="s">
        <x:v>105</x:v>
      </x:c>
      <x:c r="T1018" s="14" t="str">
        <x:v>Region A</x:v>
      </x:c>
      <x:c r="U1018" s="28">
        <x:v>46060</x:v>
      </x:c>
      <x:c r="V1018" s="30">
        <x:v>4</x:v>
      </x:c>
      <x:c r="W1018" s="14" t="s">
        <x:v>109</x:v>
      </x:c>
      <x:c r="X1018" s="14" t="s">
        <x:v>106</x:v>
      </x:c>
      <x:c r="Y1018" s="32" t="str">
        <x:v>TRN-1017|20260203</x:v>
      </x:c>
      <x:c r="Z1018" s="32" t="str" cm="1">
        <x:f t="array" ref="Z101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1018" s="33" t="n">
        <x:f>--OR(WorkforceData[[#This Row],[Status]]="Active",WorkforceData[[#This Row],[Promoted]]="Yes",WorkforceData[[#This Row],[Total Days Worked]]&gt;=121)</x:f>
        <x:v>0</x:v>
      </x:c>
      <x:c r="AB1018" s="33" t="n">
        <x:f>IF(AND(Q1018="Terminated",R1018="",O1018=0),1,0)</x:f>
        <x:v>0</x:v>
      </x:c>
      <x:c r="AC1018" s="33" t="n">
        <x:f>--OR(WorkforceData[[#This Row],[Status]]="Resigned",WorkforceData[[#This Row],[Status After Training]]="Withdrew")</x:f>
        <x:v>0</x:v>
      </x:c>
      <x:c r="AD1018" s="34" t="n">
        <x:f>EOMONTH(WorkforceData[[#This Row],[Training Date]],0)</x:f>
        <x:v>46081</x:v>
      </x:c>
      <x:c r="AE1018" s="32" t="str">
        <x:f>IF(M1018&lt;H1018,"Existing Employee",IF(U1018="","No Assignment",IF(V1018=0,"0 Days",IF(V1018&lt;=7,"1-7 Days",IF(V1018&lt;=14,"8-14 Days",IF(V1018&lt;=21,"15-21 Days","21+ Days"))))))</x:f>
        <x:v>1-7 Days</x:v>
      </x:c>
      <x:c r="AF101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61-90 Days</x:v>
      </x:c>
      <x:c r="AG1018" s="33" t="n">
        <x:f>--(WorkforceData[[#This Row],[Total Days Worked]]&gt;=121)</x:f>
        <x:v>0</x:v>
      </x:c>
    </x:row>
    <x:row r="1019">
      <x:c r="A1019" s="236" t="str">
        <x:v>TRN-1018</x:v>
      </x:c>
      <x:c r="B1019" s="243"/>
      <x:c r="C1019" s="243"/>
      <x:c r="D1019" s="243"/>
      <x:c r="E1019" s="243"/>
      <x:c r="F1019" s="14" t="str">
        <x:v>Recruiter E</x:v>
      </x:c>
      <x:c r="G1019" s="14" t="str">
        <x:v>Training Center B</x:v>
      </x:c>
      <x:c r="H1019" s="28">
        <x:v>46056</x:v>
      </x:c>
      <x:c r="I1019" s="14">
        <x:v>2026</x:v>
      </x:c>
      <x:c r="J1019" s="14" t="s">
        <x:v>136</x:v>
      </x:c>
      <x:c r="K1019" s="14">
        <x:v>27</x:v>
      </x:c>
      <x:c r="L1019" s="29" t="s">
        <x:v>101</x:v>
      </x:c>
      <x:c r="M1019" s="28">
        <x:v>46053</x:v>
      </x:c>
      <x:c r="N1019" s="28">
        <x:v>46144</x:v>
      </x:c>
      <x:c r="O1019" s="14">
        <x:v>91</x:v>
      </x:c>
      <x:c r="P1019" s="14" t="s">
        <x:v>113</x:v>
      </x:c>
      <x:c r="Q1019" s="14" t="s">
        <x:v>33</x:v>
      </x:c>
      <x:c r="R1019" s="14" t="s">
        <x:v>116</x:v>
      </x:c>
      <x:c r="S1019" s="14" t="s">
        <x:v>105</x:v>
      </x:c>
      <x:c r="T1019" s="14" t="str">
        <x:v>Region A</x:v>
      </x:c>
      <x:c r="U1019" s="28">
        <x:v>46064</x:v>
      </x:c>
      <x:c r="V1019" s="30">
        <x:v>8</x:v>
      </x:c>
      <x:c r="W1019" s="14" t="s">
        <x:v>45</x:v>
      </x:c>
      <x:c r="X1019" s="14" t="s">
        <x:v>106</x:v>
      </x:c>
      <x:c r="Y1019" s="32" t="str">
        <x:v>TRN-1018|20260203</x:v>
      </x:c>
      <x:c r="Z1019" s="32" t="str" cm="1">
        <x:f t="array" ref="Z101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1019" s="33" t="n">
        <x:f>--OR(WorkforceData[[#This Row],[Status]]="Active",WorkforceData[[#This Row],[Promoted]]="Yes",WorkforceData[[#This Row],[Total Days Worked]]&gt;=121)</x:f>
        <x:v>0</x:v>
      </x:c>
      <x:c r="AB1019" s="33" t="n">
        <x:f>IF(AND(Q1019="Terminated",R1019="",O1019=0),1,0)</x:f>
        <x:v>0</x:v>
      </x:c>
      <x:c r="AC1019" s="33" t="n">
        <x:f>--OR(WorkforceData[[#This Row],[Status]]="Resigned",WorkforceData[[#This Row],[Status After Training]]="Withdrew")</x:f>
        <x:v>0</x:v>
      </x:c>
      <x:c r="AD1019" s="34" t="n">
        <x:f>EOMONTH(WorkforceData[[#This Row],[Training Date]],0)</x:f>
        <x:v>46081</x:v>
      </x:c>
      <x:c r="AE1019" s="32" t="str">
        <x:f>IF(M1019&lt;H1019,"Existing Employee",IF(U1019="","No Assignment",IF(V1019=0,"0 Days",IF(V1019&lt;=7,"1-7 Days",IF(V1019&lt;=14,"8-14 Days",IF(V1019&lt;=21,"15-21 Days","21+ Days"))))))</x:f>
        <x:v>Existing Employee</x:v>
      </x:c>
      <x:c r="AF101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91-120 Days</x:v>
      </x:c>
      <x:c r="AG1019" s="33" t="n">
        <x:f>--(WorkforceData[[#This Row],[Total Days Worked]]&gt;=121)</x:f>
        <x:v>0</x:v>
      </x:c>
    </x:row>
    <x:row r="1020">
      <x:c r="A1020" s="236" t="str">
        <x:v>TRN-1019</x:v>
      </x:c>
      <x:c r="B1020" s="243"/>
      <x:c r="C1020" s="243"/>
      <x:c r="D1020" s="243"/>
      <x:c r="E1020" s="243"/>
      <x:c r="F1020" s="14" t="str">
        <x:v>Recruiter C</x:v>
      </x:c>
      <x:c r="G1020" s="14" t="str">
        <x:v>Training Center B</x:v>
      </x:c>
      <x:c r="H1020" s="28">
        <x:v>46056</x:v>
      </x:c>
      <x:c r="I1020" s="14">
        <x:v>2026</x:v>
      </x:c>
      <x:c r="J1020" s="14" t="s">
        <x:v>136</x:v>
      </x:c>
      <x:c r="K1020" s="14">
        <x:v>27</x:v>
      </x:c>
      <x:c r="L1020" s="29" t="s">
        <x:v>101</x:v>
      </x:c>
      <x:c r="M1020" s="28">
        <x:v>46056</x:v>
      </x:c>
      <x:c r="N1020" s="28">
        <x:v>46251</x:v>
      </x:c>
      <x:c r="O1020" s="14">
        <x:v>195</x:v>
      </x:c>
      <x:c r="P1020" s="14" t="s">
        <x:v>107</x:v>
      </x:c>
      <x:c r="Q1020" s="14" t="s">
        <x:v>103</x:v>
      </x:c>
      <x:c r="R1020" s="14" t="s">
        <x:v>104</x:v>
      </x:c>
      <x:c r="S1020" s="14" t="s">
        <x:v>108</x:v>
      </x:c>
      <x:c r="T1020" s="14" t="str">
        <x:v>Region B</x:v>
      </x:c>
      <x:c r="U1020" s="28">
        <x:v>46111</x:v>
      </x:c>
      <x:c r="V1020" s="30">
        <x:v>55</x:v>
      </x:c>
      <x:c r="W1020" s="14" t="s">
        <x:v>63</x:v>
      </x:c>
      <x:c r="X1020" s="14" t="s">
        <x:v>117</x:v>
      </x:c>
      <x:c r="Y1020" s="32" t="str">
        <x:v>TRN-1019|20260203</x:v>
      </x:c>
      <x:c r="Z1020" s="32" t="str" cm="1">
        <x:f t="array" ref="Z102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1020" s="33" t="n">
        <x:f>--OR(WorkforceData[[#This Row],[Status]]="Active",WorkforceData[[#This Row],[Promoted]]="Yes",WorkforceData[[#This Row],[Total Days Worked]]&gt;=121)</x:f>
        <x:v>1</x:v>
      </x:c>
      <x:c r="AB1020" s="33" t="n">
        <x:f>IF(AND(Q1020="Terminated",R1020="",O1020=0),1,0)</x:f>
        <x:v>0</x:v>
      </x:c>
      <x:c r="AC1020" s="33" t="n">
        <x:f>--OR(WorkforceData[[#This Row],[Status]]="Resigned",WorkforceData[[#This Row],[Status After Training]]="Withdrew")</x:f>
        <x:v>1</x:v>
      </x:c>
      <x:c r="AD1020" s="34" t="n">
        <x:f>EOMONTH(WorkforceData[[#This Row],[Training Date]],0)</x:f>
        <x:v>46081</x:v>
      </x:c>
      <x:c r="AE1020" s="32" t="str">
        <x:f>IF(M1020&lt;H1020,"Existing Employee",IF(U1020="","No Assignment",IF(V1020=0,"0 Days",IF(V1020&lt;=7,"1-7 Days",IF(V1020&lt;=14,"8-14 Days",IF(V1020&lt;=21,"15-21 Days","21+ Days"))))))</x:f>
        <x:v>21+ Days</x:v>
      </x:c>
      <x:c r="AF102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020" s="33" t="n">
        <x:f>--(WorkforceData[[#This Row],[Total Days Worked]]&gt;=121)</x:f>
        <x:v>1</x:v>
      </x:c>
    </x:row>
    <x:row r="1021">
      <x:c r="A1021" s="236" t="str">
        <x:v>TRN-1020</x:v>
      </x:c>
      <x:c r="B1021" s="243"/>
      <x:c r="C1021" s="243"/>
      <x:c r="D1021" s="243"/>
      <x:c r="E1021" s="243"/>
      <x:c r="F1021" s="14" t="str">
        <x:v>Recruiter E</x:v>
      </x:c>
      <x:c r="G1021" s="14" t="str">
        <x:v>Training Center B</x:v>
      </x:c>
      <x:c r="H1021" s="28">
        <x:v>46056</x:v>
      </x:c>
      <x:c r="I1021" s="14">
        <x:v>2026</x:v>
      </x:c>
      <x:c r="J1021" s="14" t="s">
        <x:v>136</x:v>
      </x:c>
      <x:c r="K1021" s="14">
        <x:v>27</x:v>
      </x:c>
      <x:c r="L1021" s="29" t="s">
        <x:v>101</x:v>
      </x:c>
      <x:c r="M1021" s="28">
        <x:v>46053</x:v>
      </x:c>
      <x:c r="N1021" s="14"/>
      <x:c r="O1021" s="14">
        <x:v>198</x:v>
      </x:c>
      <x:c r="P1021" s="14" t="s">
        <x:v>107</x:v>
      </x:c>
      <x:c r="Q1021" s="14" t="s">
        <x:v>25</x:v>
      </x:c>
      <x:c r="R1021" s="14"/>
      <x:c r="S1021" s="14" t="s">
        <x:v>108</x:v>
      </x:c>
      <x:c r="T1021" s="14" t="str">
        <x:v>Region C</x:v>
      </x:c>
      <x:c r="U1021" s="28">
        <x:v>46067</x:v>
      </x:c>
      <x:c r="V1021" s="30">
        <x:v>11</x:v>
      </x:c>
      <x:c r="W1021" s="14" t="s">
        <x:v>45</x:v>
      </x:c>
      <x:c r="X1021" s="14" t="s">
        <x:v>106</x:v>
      </x:c>
      <x:c r="Y1021" s="32" t="str">
        <x:v>TRN-1020|20260203</x:v>
      </x:c>
      <x:c r="Z1021" s="32" t="str" cm="1">
        <x:f t="array" ref="Z102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021" s="33" t="n">
        <x:f>--OR(WorkforceData[[#This Row],[Status]]="Active",WorkforceData[[#This Row],[Promoted]]="Yes",WorkforceData[[#This Row],[Total Days Worked]]&gt;=121)</x:f>
        <x:v>1</x:v>
      </x:c>
      <x:c r="AB1021" s="33" t="n">
        <x:f>IF(AND(Q1021="Terminated",R1021="",O1021=0),1,0)</x:f>
        <x:v>0</x:v>
      </x:c>
      <x:c r="AC1021" s="33" t="n">
        <x:f>--OR(WorkforceData[[#This Row],[Status]]="Resigned",WorkforceData[[#This Row],[Status After Training]]="Withdrew")</x:f>
        <x:v>0</x:v>
      </x:c>
      <x:c r="AD1021" s="34" t="n">
        <x:f>EOMONTH(WorkforceData[[#This Row],[Training Date]],0)</x:f>
        <x:v>46081</x:v>
      </x:c>
      <x:c r="AE1021" s="32" t="str">
        <x:f>IF(M1021&lt;H1021,"Existing Employee",IF(U1021="","No Assignment",IF(V1021=0,"0 Days",IF(V1021&lt;=7,"1-7 Days",IF(V1021&lt;=14,"8-14 Days",IF(V1021&lt;=21,"15-21 Days","21+ Days"))))))</x:f>
        <x:v>Existing Employee</x:v>
      </x:c>
      <x:c r="AF102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021" s="33" t="n">
        <x:f>--(WorkforceData[[#This Row],[Total Days Worked]]&gt;=121)</x:f>
        <x:v>1</x:v>
      </x:c>
    </x:row>
    <x:row r="1022">
      <x:c r="A1022" s="236" t="str">
        <x:v>TRN-1021</x:v>
      </x:c>
      <x:c r="B1022" s="243"/>
      <x:c r="C1022" s="243"/>
      <x:c r="D1022" s="243"/>
      <x:c r="E1022" s="243"/>
      <x:c r="F1022" s="14" t="str">
        <x:v>Recruiter A</x:v>
      </x:c>
      <x:c r="G1022" s="14" t="str">
        <x:v>Training Center B</x:v>
      </x:c>
      <x:c r="H1022" s="28">
        <x:v>46056</x:v>
      </x:c>
      <x:c r="I1022" s="14">
        <x:v>2026</x:v>
      </x:c>
      <x:c r="J1022" s="14" t="s">
        <x:v>136</x:v>
      </x:c>
      <x:c r="K1022" s="14">
        <x:v>27</x:v>
      </x:c>
      <x:c r="L1022" s="29" t="s">
        <x:v>101</x:v>
      </x:c>
      <x:c r="M1022" s="28">
        <x:v>46051</x:v>
      </x:c>
      <x:c r="N1022" s="14"/>
      <x:c r="O1022" s="14">
        <x:v>200</x:v>
      </x:c>
      <x:c r="P1022" s="14" t="s">
        <x:v>107</x:v>
      </x:c>
      <x:c r="Q1022" s="14" t="s">
        <x:v>25</x:v>
      </x:c>
      <x:c r="R1022" s="14"/>
      <x:c r="S1022" s="14" t="s">
        <x:v>108</x:v>
      </x:c>
      <x:c r="T1022" s="14" t="str">
        <x:v>Region C</x:v>
      </x:c>
      <x:c r="U1022" s="28">
        <x:v>46058</x:v>
      </x:c>
      <x:c r="V1022" s="30">
        <x:v>2</x:v>
      </x:c>
      <x:c r="W1022" s="14" t="s">
        <x:v>109</x:v>
      </x:c>
      <x:c r="X1022" s="14" t="s">
        <x:v>106</x:v>
      </x:c>
      <x:c r="Y1022" s="32" t="str">
        <x:v>TRN-1021|20260203</x:v>
      </x:c>
      <x:c r="Z1022" s="32" t="str" cm="1">
        <x:f t="array" ref="Z102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022" s="33" t="n">
        <x:f>--OR(WorkforceData[[#This Row],[Status]]="Active",WorkforceData[[#This Row],[Promoted]]="Yes",WorkforceData[[#This Row],[Total Days Worked]]&gt;=121)</x:f>
        <x:v>1</x:v>
      </x:c>
      <x:c r="AB1022" s="33" t="n">
        <x:f>IF(AND(Q1022="Terminated",R1022="",O1022=0),1,0)</x:f>
        <x:v>0</x:v>
      </x:c>
      <x:c r="AC1022" s="33" t="n">
        <x:f>--OR(WorkforceData[[#This Row],[Status]]="Resigned",WorkforceData[[#This Row],[Status After Training]]="Withdrew")</x:f>
        <x:v>0</x:v>
      </x:c>
      <x:c r="AD1022" s="34" t="n">
        <x:f>EOMONTH(WorkforceData[[#This Row],[Training Date]],0)</x:f>
        <x:v>46081</x:v>
      </x:c>
      <x:c r="AE1022" s="32" t="str">
        <x:f>IF(M1022&lt;H1022,"Existing Employee",IF(U1022="","No Assignment",IF(V1022=0,"0 Days",IF(V1022&lt;=7,"1-7 Days",IF(V1022&lt;=14,"8-14 Days",IF(V1022&lt;=21,"15-21 Days","21+ Days"))))))</x:f>
        <x:v>Existing Employee</x:v>
      </x:c>
      <x:c r="AF102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022" s="33" t="n">
        <x:f>--(WorkforceData[[#This Row],[Total Days Worked]]&gt;=121)</x:f>
        <x:v>1</x:v>
      </x:c>
    </x:row>
    <x:row r="1023">
      <x:c r="A1023" s="236" t="str">
        <x:v>TRN-1022</x:v>
      </x:c>
      <x:c r="B1023" s="243"/>
      <x:c r="C1023" s="243"/>
      <x:c r="D1023" s="243"/>
      <x:c r="E1023" s="243"/>
      <x:c r="F1023" s="14" t="str">
        <x:v>Recruiter F</x:v>
      </x:c>
      <x:c r="G1023" s="14" t="str">
        <x:v>Training Center B</x:v>
      </x:c>
      <x:c r="H1023" s="28">
        <x:v>46056</x:v>
      </x:c>
      <x:c r="I1023" s="14">
        <x:v>2026</x:v>
      </x:c>
      <x:c r="J1023" s="14" t="s">
        <x:v>136</x:v>
      </x:c>
      <x:c r="K1023" s="14">
        <x:v>27</x:v>
      </x:c>
      <x:c r="L1023" s="29" t="s">
        <x:v>101</x:v>
      </x:c>
      <x:c r="M1023" s="28">
        <x:v>46056</x:v>
      </x:c>
      <x:c r="N1023" s="28">
        <x:v>46239</x:v>
      </x:c>
      <x:c r="O1023" s="14">
        <x:v>183</x:v>
      </x:c>
      <x:c r="P1023" s="14" t="s">
        <x:v>107</x:v>
      </x:c>
      <x:c r="Q1023" s="14" t="s">
        <x:v>33</x:v>
      </x:c>
      <x:c r="R1023" s="14" t="s">
        <x:v>121</x:v>
      </x:c>
      <x:c r="S1023" s="14" t="s">
        <x:v>108</x:v>
      </x:c>
      <x:c r="T1023" s="14" t="str">
        <x:v>Region A</x:v>
      </x:c>
      <x:c r="U1023" s="28">
        <x:v>46077</x:v>
      </x:c>
      <x:c r="V1023" s="30">
        <x:v>21</x:v>
      </x:c>
      <x:c r="W1023" s="14" t="s">
        <x:v>112</x:v>
      </x:c>
      <x:c r="X1023" s="14" t="s">
        <x:v>106</x:v>
      </x:c>
      <x:c r="Y1023" s="32" t="str">
        <x:v>TRN-1022|20260203</x:v>
      </x:c>
      <x:c r="Z1023" s="32" t="str" cm="1">
        <x:f t="array" ref="Z102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1023" s="33" t="n">
        <x:f>--OR(WorkforceData[[#This Row],[Status]]="Active",WorkforceData[[#This Row],[Promoted]]="Yes",WorkforceData[[#This Row],[Total Days Worked]]&gt;=121)</x:f>
        <x:v>1</x:v>
      </x:c>
      <x:c r="AB1023" s="33" t="n">
        <x:f>IF(AND(Q1023="Terminated",R1023="",O1023=0),1,0)</x:f>
        <x:v>0</x:v>
      </x:c>
      <x:c r="AC1023" s="33" t="n">
        <x:f>--OR(WorkforceData[[#This Row],[Status]]="Resigned",WorkforceData[[#This Row],[Status After Training]]="Withdrew")</x:f>
        <x:v>0</x:v>
      </x:c>
      <x:c r="AD1023" s="34" t="n">
        <x:f>EOMONTH(WorkforceData[[#This Row],[Training Date]],0)</x:f>
        <x:v>46081</x:v>
      </x:c>
      <x:c r="AE1023" s="32" t="str">
        <x:f>IF(M1023&lt;H1023,"Existing Employee",IF(U1023="","No Assignment",IF(V1023=0,"0 Days",IF(V1023&lt;=7,"1-7 Days",IF(V1023&lt;=14,"8-14 Days",IF(V1023&lt;=21,"15-21 Days","21+ Days"))))))</x:f>
        <x:v>15-21 Days</x:v>
      </x:c>
      <x:c r="AF102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023" s="33" t="n">
        <x:f>--(WorkforceData[[#This Row],[Total Days Worked]]&gt;=121)</x:f>
        <x:v>1</x:v>
      </x:c>
    </x:row>
    <x:row r="1024">
      <x:c r="A1024" s="236" t="str">
        <x:v>TRN-1023</x:v>
      </x:c>
      <x:c r="B1024" s="243"/>
      <x:c r="C1024" s="243"/>
      <x:c r="D1024" s="243"/>
      <x:c r="E1024" s="243"/>
      <x:c r="F1024" s="14" t="str">
        <x:v>Recruiter H</x:v>
      </x:c>
      <x:c r="G1024" s="14" t="str">
        <x:v>Training Center B</x:v>
      </x:c>
      <x:c r="H1024" s="28">
        <x:v>46056</x:v>
      </x:c>
      <x:c r="I1024" s="14">
        <x:v>2026</x:v>
      </x:c>
      <x:c r="J1024" s="14" t="s">
        <x:v>136</x:v>
      </x:c>
      <x:c r="K1024" s="14">
        <x:v>27</x:v>
      </x:c>
      <x:c r="L1024" s="29" t="s">
        <x:v>101</x:v>
      </x:c>
      <x:c r="M1024" s="28">
        <x:v>46056</x:v>
      </x:c>
      <x:c r="N1024" s="28">
        <x:v>46122</x:v>
      </x:c>
      <x:c r="O1024" s="14">
        <x:v>66</x:v>
      </x:c>
      <x:c r="P1024" s="14" t="s">
        <x:v>110</x:v>
      </x:c>
      <x:c r="Q1024" s="14" t="s">
        <x:v>33</x:v>
      </x:c>
      <x:c r="R1024" s="14" t="s">
        <x:v>116</x:v>
      </x:c>
      <x:c r="S1024" s="14" t="s">
        <x:v>105</x:v>
      </x:c>
      <x:c r="T1024" s="14" t="str">
        <x:v>Region D</x:v>
      </x:c>
      <x:c r="U1024" s="28">
        <x:v>46086</x:v>
      </x:c>
      <x:c r="V1024" s="30">
        <x:v>30</x:v>
      </x:c>
      <x:c r="W1024" s="14" t="s">
        <x:v>112</x:v>
      </x:c>
      <x:c r="X1024" s="14" t="s">
        <x:v>106</x:v>
      </x:c>
      <x:c r="Y1024" s="32" t="str">
        <x:v>TRN-1023|20260203</x:v>
      </x:c>
      <x:c r="Z1024" s="32" t="str" cm="1">
        <x:f t="array" ref="Z102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1024" s="33" t="n">
        <x:f>--OR(WorkforceData[[#This Row],[Status]]="Active",WorkforceData[[#This Row],[Promoted]]="Yes",WorkforceData[[#This Row],[Total Days Worked]]&gt;=121)</x:f>
        <x:v>0</x:v>
      </x:c>
      <x:c r="AB1024" s="33" t="n">
        <x:f>IF(AND(Q1024="Terminated",R1024="",O1024=0),1,0)</x:f>
        <x:v>0</x:v>
      </x:c>
      <x:c r="AC1024" s="33" t="n">
        <x:f>--OR(WorkforceData[[#This Row],[Status]]="Resigned",WorkforceData[[#This Row],[Status After Training]]="Withdrew")</x:f>
        <x:v>0</x:v>
      </x:c>
      <x:c r="AD1024" s="34" t="n">
        <x:f>EOMONTH(WorkforceData[[#This Row],[Training Date]],0)</x:f>
        <x:v>46081</x:v>
      </x:c>
      <x:c r="AE1024" s="32" t="str">
        <x:f>IF(M1024&lt;H1024,"Existing Employee",IF(U1024="","No Assignment",IF(V1024=0,"0 Days",IF(V1024&lt;=7,"1-7 Days",IF(V1024&lt;=14,"8-14 Days",IF(V1024&lt;=21,"15-21 Days","21+ Days"))))))</x:f>
        <x:v>21+ Days</x:v>
      </x:c>
      <x:c r="AF102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61-90 Days</x:v>
      </x:c>
      <x:c r="AG1024" s="33" t="n">
        <x:f>--(WorkforceData[[#This Row],[Total Days Worked]]&gt;=121)</x:f>
        <x:v>0</x:v>
      </x:c>
    </x:row>
    <x:row r="1025">
      <x:c r="A1025" s="236" t="str">
        <x:v>TRN-1024</x:v>
      </x:c>
      <x:c r="B1025" s="243"/>
      <x:c r="C1025" s="243"/>
      <x:c r="D1025" s="243"/>
      <x:c r="E1025" s="243"/>
      <x:c r="F1025" s="14" t="str">
        <x:v>Recruiter H</x:v>
      </x:c>
      <x:c r="G1025" s="14" t="str">
        <x:v>Training Center B</x:v>
      </x:c>
      <x:c r="H1025" s="28">
        <x:v>46056</x:v>
      </x:c>
      <x:c r="I1025" s="14">
        <x:v>2026</x:v>
      </x:c>
      <x:c r="J1025" s="14" t="s">
        <x:v>136</x:v>
      </x:c>
      <x:c r="K1025" s="14">
        <x:v>27</x:v>
      </x:c>
      <x:c r="L1025" s="29" t="s">
        <x:v>101</x:v>
      </x:c>
      <x:c r="M1025" s="28">
        <x:v>46054</x:v>
      </x:c>
      <x:c r="N1025" s="14"/>
      <x:c r="O1025" s="14">
        <x:v>197</x:v>
      </x:c>
      <x:c r="P1025" s="14" t="s">
        <x:v>107</x:v>
      </x:c>
      <x:c r="Q1025" s="14" t="s">
        <x:v>25</x:v>
      </x:c>
      <x:c r="R1025" s="14"/>
      <x:c r="S1025" s="14" t="s">
        <x:v>108</x:v>
      </x:c>
      <x:c r="T1025" s="14" t="str">
        <x:v>Region A</x:v>
      </x:c>
      <x:c r="U1025" s="28">
        <x:v>46073</x:v>
      </x:c>
      <x:c r="V1025" s="30">
        <x:v>17</x:v>
      </x:c>
      <x:c r="W1025" s="14" t="s">
        <x:v>112</x:v>
      </x:c>
      <x:c r="X1025" s="14" t="s">
        <x:v>106</x:v>
      </x:c>
      <x:c r="Y1025" s="32" t="str">
        <x:v>TRN-1024|20260203</x:v>
      </x:c>
      <x:c r="Z1025" s="32" t="str" cm="1">
        <x:f t="array" ref="Z102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025" s="33" t="n">
        <x:f>--OR(WorkforceData[[#This Row],[Status]]="Active",WorkforceData[[#This Row],[Promoted]]="Yes",WorkforceData[[#This Row],[Total Days Worked]]&gt;=121)</x:f>
        <x:v>1</x:v>
      </x:c>
      <x:c r="AB1025" s="33" t="n">
        <x:f>IF(AND(Q1025="Terminated",R1025="",O1025=0),1,0)</x:f>
        <x:v>0</x:v>
      </x:c>
      <x:c r="AC1025" s="33" t="n">
        <x:f>--OR(WorkforceData[[#This Row],[Status]]="Resigned",WorkforceData[[#This Row],[Status After Training]]="Withdrew")</x:f>
        <x:v>0</x:v>
      </x:c>
      <x:c r="AD1025" s="34" t="n">
        <x:f>EOMONTH(WorkforceData[[#This Row],[Training Date]],0)</x:f>
        <x:v>46081</x:v>
      </x:c>
      <x:c r="AE1025" s="32" t="str">
        <x:f>IF(M1025&lt;H1025,"Existing Employee",IF(U1025="","No Assignment",IF(V1025=0,"0 Days",IF(V1025&lt;=7,"1-7 Days",IF(V1025&lt;=14,"8-14 Days",IF(V1025&lt;=21,"15-21 Days","21+ Days"))))))</x:f>
        <x:v>Existing Employee</x:v>
      </x:c>
      <x:c r="AF102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025" s="33" t="n">
        <x:f>--(WorkforceData[[#This Row],[Total Days Worked]]&gt;=121)</x:f>
        <x:v>1</x:v>
      </x:c>
    </x:row>
    <x:row r="1026">
      <x:c r="A1026" s="236" t="str">
        <x:v>TRN-1025</x:v>
      </x:c>
      <x:c r="B1026" s="243"/>
      <x:c r="C1026" s="243"/>
      <x:c r="D1026" s="243"/>
      <x:c r="E1026" s="243"/>
      <x:c r="F1026" s="14" t="str">
        <x:v>Recruiter D</x:v>
      </x:c>
      <x:c r="G1026" s="14" t="str">
        <x:v>Training Center B</x:v>
      </x:c>
      <x:c r="H1026" s="28">
        <x:v>46056</x:v>
      </x:c>
      <x:c r="I1026" s="14">
        <x:v>2026</x:v>
      </x:c>
      <x:c r="J1026" s="14" t="s">
        <x:v>136</x:v>
      </x:c>
      <x:c r="K1026" s="14">
        <x:v>27</x:v>
      </x:c>
      <x:c r="L1026" s="29" t="s">
        <x:v>101</x:v>
      </x:c>
      <x:c r="M1026" s="28">
        <x:v>46046</x:v>
      </x:c>
      <x:c r="N1026" s="28">
        <x:v>46067</x:v>
      </x:c>
      <x:c r="O1026" s="14">
        <x:v>21</x:v>
      </x:c>
      <x:c r="P1026" s="14" t="s">
        <x:v>102</x:v>
      </x:c>
      <x:c r="Q1026" s="14" t="s">
        <x:v>103</x:v>
      </x:c>
      <x:c r="R1026" s="14" t="s">
        <x:v>111</x:v>
      </x:c>
      <x:c r="S1026" s="14" t="s">
        <x:v>105</x:v>
      </x:c>
      <x:c r="T1026" s="14" t="str">
        <x:v>Region A</x:v>
      </x:c>
      <x:c r="U1026" s="28">
        <x:v>46066</x:v>
      </x:c>
      <x:c r="V1026" s="30">
        <x:v>10</x:v>
      </x:c>
      <x:c r="W1026" s="14" t="s">
        <x:v>45</x:v>
      </x:c>
      <x:c r="X1026" s="14" t="s">
        <x:v>106</x:v>
      </x:c>
      <x:c r="Y1026" s="32" t="str">
        <x:v>TRN-1025|20260203</x:v>
      </x:c>
      <x:c r="Z1026" s="32" t="str" cm="1">
        <x:f t="array" ref="Z102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1026" s="33" t="n">
        <x:f>--OR(WorkforceData[[#This Row],[Status]]="Active",WorkforceData[[#This Row],[Promoted]]="Yes",WorkforceData[[#This Row],[Total Days Worked]]&gt;=121)</x:f>
        <x:v>0</x:v>
      </x:c>
      <x:c r="AB1026" s="33" t="n">
        <x:f>IF(AND(Q1026="Terminated",R1026="",O1026=0),1,0)</x:f>
        <x:v>0</x:v>
      </x:c>
      <x:c r="AC1026" s="33" t="n">
        <x:f>--OR(WorkforceData[[#This Row],[Status]]="Resigned",WorkforceData[[#This Row],[Status After Training]]="Withdrew")</x:f>
        <x:v>1</x:v>
      </x:c>
      <x:c r="AD1026" s="34" t="n">
        <x:f>EOMONTH(WorkforceData[[#This Row],[Training Date]],0)</x:f>
        <x:v>46081</x:v>
      </x:c>
      <x:c r="AE1026" s="32" t="str">
        <x:f>IF(M1026&lt;H1026,"Existing Employee",IF(U1026="","No Assignment",IF(V1026=0,"0 Days",IF(V1026&lt;=7,"1-7 Days",IF(V1026&lt;=14,"8-14 Days",IF(V1026&lt;=21,"15-21 Days","21+ Days"))))))</x:f>
        <x:v>Existing Employee</x:v>
      </x:c>
      <x:c r="AF102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1026" s="33" t="n">
        <x:f>--(WorkforceData[[#This Row],[Total Days Worked]]&gt;=121)</x:f>
        <x:v>0</x:v>
      </x:c>
    </x:row>
    <x:row r="1027">
      <x:c r="A1027" s="236" t="str">
        <x:v>TRN-1026</x:v>
      </x:c>
      <x:c r="B1027" s="243"/>
      <x:c r="C1027" s="243"/>
      <x:c r="D1027" s="243"/>
      <x:c r="E1027" s="243"/>
      <x:c r="F1027" s="14" t="str">
        <x:v>Recruiter F</x:v>
      </x:c>
      <x:c r="G1027" s="14" t="str">
        <x:v>Training Center B</x:v>
      </x:c>
      <x:c r="H1027" s="28">
        <x:v>46056</x:v>
      </x:c>
      <x:c r="I1027" s="14">
        <x:v>2026</x:v>
      </x:c>
      <x:c r="J1027" s="14" t="s">
        <x:v>136</x:v>
      </x:c>
      <x:c r="K1027" s="14">
        <x:v>27</x:v>
      </x:c>
      <x:c r="L1027" s="29" t="s">
        <x:v>101</x:v>
      </x:c>
      <x:c r="M1027" s="28">
        <x:v>46049</x:v>
      </x:c>
      <x:c r="N1027" s="14"/>
      <x:c r="O1027" s="14">
        <x:v>202</x:v>
      </x:c>
      <x:c r="P1027" s="14" t="s">
        <x:v>107</x:v>
      </x:c>
      <x:c r="Q1027" s="14" t="s">
        <x:v>25</x:v>
      </x:c>
      <x:c r="R1027" s="14"/>
      <x:c r="S1027" s="14" t="s">
        <x:v>108</x:v>
      </x:c>
      <x:c r="T1027" s="14" t="str">
        <x:v>Region B</x:v>
      </x:c>
      <x:c r="U1027" s="28">
        <x:v>46081</x:v>
      </x:c>
      <x:c r="V1027" s="30">
        <x:v>25</x:v>
      </x:c>
      <x:c r="W1027" s="14" t="s">
        <x:v>112</x:v>
      </x:c>
      <x:c r="X1027" s="14" t="s">
        <x:v>106</x:v>
      </x:c>
      <x:c r="Y1027" s="32" t="str">
        <x:v>TRN-1026|20260203</x:v>
      </x:c>
      <x:c r="Z1027" s="32" t="str" cm="1">
        <x:f t="array" ref="Z102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027" s="33" t="n">
        <x:f>--OR(WorkforceData[[#This Row],[Status]]="Active",WorkforceData[[#This Row],[Promoted]]="Yes",WorkforceData[[#This Row],[Total Days Worked]]&gt;=121)</x:f>
        <x:v>1</x:v>
      </x:c>
      <x:c r="AB1027" s="33" t="n">
        <x:f>IF(AND(Q1027="Terminated",R1027="",O1027=0),1,0)</x:f>
        <x:v>0</x:v>
      </x:c>
      <x:c r="AC1027" s="33" t="n">
        <x:f>--OR(WorkforceData[[#This Row],[Status]]="Resigned",WorkforceData[[#This Row],[Status After Training]]="Withdrew")</x:f>
        <x:v>0</x:v>
      </x:c>
      <x:c r="AD1027" s="34" t="n">
        <x:f>EOMONTH(WorkforceData[[#This Row],[Training Date]],0)</x:f>
        <x:v>46081</x:v>
      </x:c>
      <x:c r="AE1027" s="32" t="str">
        <x:f>IF(M1027&lt;H1027,"Existing Employee",IF(U1027="","No Assignment",IF(V1027=0,"0 Days",IF(V1027&lt;=7,"1-7 Days",IF(V1027&lt;=14,"8-14 Days",IF(V1027&lt;=21,"15-21 Days","21+ Days"))))))</x:f>
        <x:v>Existing Employee</x:v>
      </x:c>
      <x:c r="AF102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027" s="33" t="n">
        <x:f>--(WorkforceData[[#This Row],[Total Days Worked]]&gt;=121)</x:f>
        <x:v>1</x:v>
      </x:c>
    </x:row>
    <x:row r="1028">
      <x:c r="A1028" s="236" t="str">
        <x:v>TRN-1027</x:v>
      </x:c>
      <x:c r="B1028" s="243"/>
      <x:c r="C1028" s="243"/>
      <x:c r="D1028" s="243"/>
      <x:c r="E1028" s="243"/>
      <x:c r="F1028" s="14" t="str">
        <x:v>Recruiter E</x:v>
      </x:c>
      <x:c r="G1028" s="14" t="str">
        <x:v>Training Center B</x:v>
      </x:c>
      <x:c r="H1028" s="28">
        <x:v>46056</x:v>
      </x:c>
      <x:c r="I1028" s="14">
        <x:v>2026</x:v>
      </x:c>
      <x:c r="J1028" s="14" t="s">
        <x:v>136</x:v>
      </x:c>
      <x:c r="K1028" s="14">
        <x:v>27</x:v>
      </x:c>
      <x:c r="L1028" s="29" t="s">
        <x:v>101</x:v>
      </x:c>
      <x:c r="M1028" s="28">
        <x:v>46056</x:v>
      </x:c>
      <x:c r="N1028" s="28">
        <x:v>46129</x:v>
      </x:c>
      <x:c r="O1028" s="14">
        <x:v>73</x:v>
      </x:c>
      <x:c r="P1028" s="14" t="s">
        <x:v>110</x:v>
      </x:c>
      <x:c r="Q1028" s="14" t="s">
        <x:v>103</x:v>
      </x:c>
      <x:c r="R1028" s="14" t="s">
        <x:v>104</x:v>
      </x:c>
      <x:c r="S1028" s="14" t="s">
        <x:v>105</x:v>
      </x:c>
      <x:c r="T1028" s="14" t="str">
        <x:v>Region D</x:v>
      </x:c>
      <x:c r="U1028" s="28">
        <x:v>46083</x:v>
      </x:c>
      <x:c r="V1028" s="30">
        <x:v>27</x:v>
      </x:c>
      <x:c r="W1028" s="14" t="s">
        <x:v>112</x:v>
      </x:c>
      <x:c r="X1028" s="14" t="s">
        <x:v>106</x:v>
      </x:c>
      <x:c r="Y1028" s="32" t="str">
        <x:v>TRN-1027|20260203</x:v>
      </x:c>
      <x:c r="Z1028" s="32" t="str" cm="1">
        <x:f t="array" ref="Z102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1028" s="33" t="n">
        <x:f>--OR(WorkforceData[[#This Row],[Status]]="Active",WorkforceData[[#This Row],[Promoted]]="Yes",WorkforceData[[#This Row],[Total Days Worked]]&gt;=121)</x:f>
        <x:v>0</x:v>
      </x:c>
      <x:c r="AB1028" s="33" t="n">
        <x:f>IF(AND(Q1028="Terminated",R1028="",O1028=0),1,0)</x:f>
        <x:v>0</x:v>
      </x:c>
      <x:c r="AC1028" s="33" t="n">
        <x:f>--OR(WorkforceData[[#This Row],[Status]]="Resigned",WorkforceData[[#This Row],[Status After Training]]="Withdrew")</x:f>
        <x:v>1</x:v>
      </x:c>
      <x:c r="AD1028" s="34" t="n">
        <x:f>EOMONTH(WorkforceData[[#This Row],[Training Date]],0)</x:f>
        <x:v>46081</x:v>
      </x:c>
      <x:c r="AE1028" s="32" t="str">
        <x:f>IF(M1028&lt;H1028,"Existing Employee",IF(U1028="","No Assignment",IF(V1028=0,"0 Days",IF(V1028&lt;=7,"1-7 Days",IF(V1028&lt;=14,"8-14 Days",IF(V1028&lt;=21,"15-21 Days","21+ Days"))))))</x:f>
        <x:v>21+ Days</x:v>
      </x:c>
      <x:c r="AF102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61-90 Days</x:v>
      </x:c>
      <x:c r="AG1028" s="33" t="n">
        <x:f>--(WorkforceData[[#This Row],[Total Days Worked]]&gt;=121)</x:f>
        <x:v>0</x:v>
      </x:c>
    </x:row>
    <x:row r="1029">
      <x:c r="A1029" s="236" t="str">
        <x:v>TRN-1028</x:v>
      </x:c>
      <x:c r="B1029" s="243"/>
      <x:c r="C1029" s="243"/>
      <x:c r="D1029" s="243"/>
      <x:c r="E1029" s="243"/>
      <x:c r="F1029" s="14" t="str">
        <x:v>Recruiter A</x:v>
      </x:c>
      <x:c r="G1029" s="14" t="str">
        <x:v>Training Center B</x:v>
      </x:c>
      <x:c r="H1029" s="28">
        <x:v>46056</x:v>
      </x:c>
      <x:c r="I1029" s="14">
        <x:v>2026</x:v>
      </x:c>
      <x:c r="J1029" s="14" t="s">
        <x:v>136</x:v>
      </x:c>
      <x:c r="K1029" s="14">
        <x:v>27</x:v>
      </x:c>
      <x:c r="L1029" s="29" t="s">
        <x:v>101</x:v>
      </x:c>
      <x:c r="M1029" s="28">
        <x:v>46046</x:v>
      </x:c>
      <x:c r="N1029" s="28">
        <x:v>46047</x:v>
      </x:c>
      <x:c r="O1029" s="14">
        <x:v>1</x:v>
      </x:c>
      <x:c r="P1029" s="14" t="s">
        <x:v>102</x:v>
      </x:c>
      <x:c r="Q1029" s="14" t="s">
        <x:v>33</x:v>
      </x:c>
      <x:c r="R1029" s="14" t="s">
        <x:v>124</x:v>
      </x:c>
      <x:c r="S1029" s="14" t="s">
        <x:v>105</x:v>
      </x:c>
      <x:c r="T1029" s="14"/>
      <x:c r="U1029" s="28"/>
      <x:c r="V1029" s="30"/>
      <x:c r="W1029" s="14"/>
      <x:c r="X1029" s="14" t="s">
        <x:v>71</x:v>
      </x:c>
      <x:c r="Y1029" s="32" t="str">
        <x:v>TRN-1028|20260203</x:v>
      </x:c>
      <x:c r="Z1029" s="32" t="str" cm="1">
        <x:f t="array" ref="Z102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1029" s="33" t="n">
        <x:f>--OR(WorkforceData[[#This Row],[Status]]="Active",WorkforceData[[#This Row],[Promoted]]="Yes",WorkforceData[[#This Row],[Total Days Worked]]&gt;=121)</x:f>
        <x:v>0</x:v>
      </x:c>
      <x:c r="AB1029" s="33" t="n">
        <x:f>IF(AND(Q1029="Terminated",R1029="",O1029=0),1,0)</x:f>
        <x:v>0</x:v>
      </x:c>
      <x:c r="AC1029" s="33" t="n">
        <x:f>--OR(WorkforceData[[#This Row],[Status]]="Resigned",WorkforceData[[#This Row],[Status After Training]]="Withdrew")</x:f>
        <x:v>0</x:v>
      </x:c>
      <x:c r="AD1029" s="34" t="n">
        <x:f>EOMONTH(WorkforceData[[#This Row],[Training Date]],0)</x:f>
        <x:v>46081</x:v>
      </x:c>
      <x:c r="AE1029" s="32" t="str">
        <x:f>IF(M1029&lt;H1029,"Existing Employee",IF(U1029="","No Assignment",IF(V1029=0,"0 Days",IF(V1029&lt;=7,"1-7 Days",IF(V1029&lt;=14,"8-14 Days",IF(V1029&lt;=21,"15-21 Days","21+ Days"))))))</x:f>
        <x:v>Existing Employee</x:v>
      </x:c>
      <x:c r="AF102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1-7 Days</x:v>
      </x:c>
      <x:c r="AG1029" s="33" t="n">
        <x:f>--(WorkforceData[[#This Row],[Total Days Worked]]&gt;=121)</x:f>
        <x:v>0</x:v>
      </x:c>
    </x:row>
    <x:row r="1030">
      <x:c r="A1030" s="236" t="str">
        <x:v>TRN-1029</x:v>
      </x:c>
      <x:c r="B1030" s="243"/>
      <x:c r="C1030" s="243"/>
      <x:c r="D1030" s="243"/>
      <x:c r="E1030" s="243"/>
      <x:c r="F1030" s="14" t="str">
        <x:v>Recruiter C</x:v>
      </x:c>
      <x:c r="G1030" s="14" t="str">
        <x:v>Training Center B</x:v>
      </x:c>
      <x:c r="H1030" s="28">
        <x:v>46056</x:v>
      </x:c>
      <x:c r="I1030" s="14">
        <x:v>2026</x:v>
      </x:c>
      <x:c r="J1030" s="14" t="s">
        <x:v>136</x:v>
      </x:c>
      <x:c r="K1030" s="14">
        <x:v>27</x:v>
      </x:c>
      <x:c r="L1030" s="29" t="s">
        <x:v>101</x:v>
      </x:c>
      <x:c r="M1030" s="28">
        <x:v>46046</x:v>
      </x:c>
      <x:c r="N1030" s="14"/>
      <x:c r="O1030" s="14">
        <x:v>205</x:v>
      </x:c>
      <x:c r="P1030" s="14" t="s">
        <x:v>107</x:v>
      </x:c>
      <x:c r="Q1030" s="14" t="s">
        <x:v>25</x:v>
      </x:c>
      <x:c r="R1030" s="14"/>
      <x:c r="S1030" s="14" t="s">
        <x:v>108</x:v>
      </x:c>
      <x:c r="T1030" s="14" t="str">
        <x:v>Region B</x:v>
      </x:c>
      <x:c r="U1030" s="28">
        <x:v>46068</x:v>
      </x:c>
      <x:c r="V1030" s="30">
        <x:v>12</x:v>
      </x:c>
      <x:c r="W1030" s="14" t="s">
        <x:v>45</x:v>
      </x:c>
      <x:c r="X1030" s="14" t="s">
        <x:v>106</x:v>
      </x:c>
      <x:c r="Y1030" s="32" t="str">
        <x:v>TRN-1029|20260203</x:v>
      </x:c>
      <x:c r="Z1030" s="32" t="str" cm="1">
        <x:f t="array" ref="Z103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030" s="33" t="n">
        <x:f>--OR(WorkforceData[[#This Row],[Status]]="Active",WorkforceData[[#This Row],[Promoted]]="Yes",WorkforceData[[#This Row],[Total Days Worked]]&gt;=121)</x:f>
        <x:v>1</x:v>
      </x:c>
      <x:c r="AB1030" s="33" t="n">
        <x:f>IF(AND(Q1030="Terminated",R1030="",O1030=0),1,0)</x:f>
        <x:v>0</x:v>
      </x:c>
      <x:c r="AC1030" s="33" t="n">
        <x:f>--OR(WorkforceData[[#This Row],[Status]]="Resigned",WorkforceData[[#This Row],[Status After Training]]="Withdrew")</x:f>
        <x:v>0</x:v>
      </x:c>
      <x:c r="AD1030" s="34" t="n">
        <x:f>EOMONTH(WorkforceData[[#This Row],[Training Date]],0)</x:f>
        <x:v>46081</x:v>
      </x:c>
      <x:c r="AE1030" s="32" t="str">
        <x:f>IF(M1030&lt;H1030,"Existing Employee",IF(U1030="","No Assignment",IF(V1030=0,"0 Days",IF(V1030&lt;=7,"1-7 Days",IF(V1030&lt;=14,"8-14 Days",IF(V1030&lt;=21,"15-21 Days","21+ Days"))))))</x:f>
        <x:v>Existing Employee</x:v>
      </x:c>
      <x:c r="AF103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030" s="33" t="n">
        <x:f>--(WorkforceData[[#This Row],[Total Days Worked]]&gt;=121)</x:f>
        <x:v>1</x:v>
      </x:c>
    </x:row>
    <x:row r="1031">
      <x:c r="A1031" s="236" t="str">
        <x:v>TRN-1030</x:v>
      </x:c>
      <x:c r="B1031" s="243"/>
      <x:c r="C1031" s="243"/>
      <x:c r="D1031" s="243"/>
      <x:c r="E1031" s="243"/>
      <x:c r="F1031" s="14" t="str">
        <x:v>Recruiter E</x:v>
      </x:c>
      <x:c r="G1031" s="14" t="str">
        <x:v>Training Center B</x:v>
      </x:c>
      <x:c r="H1031" s="28">
        <x:v>46056</x:v>
      </x:c>
      <x:c r="I1031" s="14">
        <x:v>2026</x:v>
      </x:c>
      <x:c r="J1031" s="14" t="s">
        <x:v>136</x:v>
      </x:c>
      <x:c r="K1031" s="14">
        <x:v>27</x:v>
      </x:c>
      <x:c r="L1031" s="29" t="s">
        <x:v>101</x:v>
      </x:c>
      <x:c r="M1031" s="28">
        <x:v>46049</x:v>
      </x:c>
      <x:c r="N1031" s="14"/>
      <x:c r="O1031" s="14">
        <x:v>202</x:v>
      </x:c>
      <x:c r="P1031" s="14" t="s">
        <x:v>107</x:v>
      </x:c>
      <x:c r="Q1031" s="14" t="s">
        <x:v>25</x:v>
      </x:c>
      <x:c r="R1031" s="14"/>
      <x:c r="S1031" s="14" t="s">
        <x:v>108</x:v>
      </x:c>
      <x:c r="T1031" s="14" t="str">
        <x:v>Region C</x:v>
      </x:c>
      <x:c r="U1031" s="28">
        <x:v>46058</x:v>
      </x:c>
      <x:c r="V1031" s="30">
        <x:v>2</x:v>
      </x:c>
      <x:c r="W1031" s="14" t="s">
        <x:v>109</x:v>
      </x:c>
      <x:c r="X1031" s="14" t="s">
        <x:v>106</x:v>
      </x:c>
      <x:c r="Y1031" s="32" t="str">
        <x:v>TRN-1030|20260203</x:v>
      </x:c>
      <x:c r="Z1031" s="32" t="str" cm="1">
        <x:f t="array" ref="Z103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031" s="33" t="n">
        <x:f>--OR(WorkforceData[[#This Row],[Status]]="Active",WorkforceData[[#This Row],[Promoted]]="Yes",WorkforceData[[#This Row],[Total Days Worked]]&gt;=121)</x:f>
        <x:v>1</x:v>
      </x:c>
      <x:c r="AB1031" s="33" t="n">
        <x:f>IF(AND(Q1031="Terminated",R1031="",O1031=0),1,0)</x:f>
        <x:v>0</x:v>
      </x:c>
      <x:c r="AC1031" s="33" t="n">
        <x:f>--OR(WorkforceData[[#This Row],[Status]]="Resigned",WorkforceData[[#This Row],[Status After Training]]="Withdrew")</x:f>
        <x:v>0</x:v>
      </x:c>
      <x:c r="AD1031" s="34" t="n">
        <x:f>EOMONTH(WorkforceData[[#This Row],[Training Date]],0)</x:f>
        <x:v>46081</x:v>
      </x:c>
      <x:c r="AE1031" s="32" t="str">
        <x:f>IF(M1031&lt;H1031,"Existing Employee",IF(U1031="","No Assignment",IF(V1031=0,"0 Days",IF(V1031&lt;=7,"1-7 Days",IF(V1031&lt;=14,"8-14 Days",IF(V1031&lt;=21,"15-21 Days","21+ Days"))))))</x:f>
        <x:v>Existing Employee</x:v>
      </x:c>
      <x:c r="AF103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031" s="33" t="n">
        <x:f>--(WorkforceData[[#This Row],[Total Days Worked]]&gt;=121)</x:f>
        <x:v>1</x:v>
      </x:c>
    </x:row>
    <x:row r="1032">
      <x:c r="A1032" s="236" t="str">
        <x:v>TRN-1031</x:v>
      </x:c>
      <x:c r="B1032" s="243"/>
      <x:c r="C1032" s="243"/>
      <x:c r="D1032" s="243"/>
      <x:c r="E1032" s="243"/>
      <x:c r="F1032" s="14" t="str">
        <x:v>Recruiter A</x:v>
      </x:c>
      <x:c r="G1032" s="14" t="str">
        <x:v>Training Center B</x:v>
      </x:c>
      <x:c r="H1032" s="28">
        <x:v>46056</x:v>
      </x:c>
      <x:c r="I1032" s="14">
        <x:v>2026</x:v>
      </x:c>
      <x:c r="J1032" s="14" t="s">
        <x:v>136</x:v>
      </x:c>
      <x:c r="K1032" s="14">
        <x:v>27</x:v>
      </x:c>
      <x:c r="L1032" s="29" t="s">
        <x:v>101</x:v>
      </x:c>
      <x:c r="M1032" s="28">
        <x:v>46051</x:v>
      </x:c>
      <x:c r="N1032" s="28">
        <x:v>46178</x:v>
      </x:c>
      <x:c r="O1032" s="14">
        <x:v>127</x:v>
      </x:c>
      <x:c r="P1032" s="14" t="s">
        <x:v>113</x:v>
      </x:c>
      <x:c r="Q1032" s="14" t="s">
        <x:v>103</x:v>
      </x:c>
      <x:c r="R1032" s="14" t="s">
        <x:v>111</x:v>
      </x:c>
      <x:c r="S1032" s="14" t="s">
        <x:v>105</x:v>
      </x:c>
      <x:c r="T1032" s="14" t="str">
        <x:v>Region A</x:v>
      </x:c>
      <x:c r="U1032" s="28">
        <x:v>46056</x:v>
      </x:c>
      <x:c r="V1032" s="30">
        <x:v>0</x:v>
      </x:c>
      <x:c r="W1032" s="14" t="s">
        <x:v>109</x:v>
      </x:c>
      <x:c r="X1032" s="14" t="s">
        <x:v>106</x:v>
      </x:c>
      <x:c r="Y1032" s="32" t="str">
        <x:v>TRN-1031|20260203</x:v>
      </x:c>
      <x:c r="Z1032" s="32" t="str" cm="1">
        <x:f t="array" ref="Z103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Complete</x:v>
      </x:c>
      <x:c r="AA1032" s="33" t="n">
        <x:f>--OR(WorkforceData[[#This Row],[Status]]="Active",WorkforceData[[#This Row],[Promoted]]="Yes",WorkforceData[[#This Row],[Total Days Worked]]&gt;=121)</x:f>
        <x:v>1</x:v>
      </x:c>
      <x:c r="AB1032" s="33" t="n">
        <x:f>IF(AND(Q1032="Terminated",R1032="",O1032=0),1,0)</x:f>
        <x:v>0</x:v>
      </x:c>
      <x:c r="AC1032" s="33" t="n">
        <x:f>--OR(WorkforceData[[#This Row],[Status]]="Resigned",WorkforceData[[#This Row],[Status After Training]]="Withdrew")</x:f>
        <x:v>1</x:v>
      </x:c>
      <x:c r="AD1032" s="34" t="n">
        <x:f>EOMONTH(WorkforceData[[#This Row],[Training Date]],0)</x:f>
        <x:v>46081</x:v>
      </x:c>
      <x:c r="AE1032" s="32" t="str">
        <x:f>IF(M1032&lt;H1032,"Existing Employee",IF(U1032="","No Assignment",IF(V1032=0,"0 Days",IF(V1032&lt;=7,"1-7 Days",IF(V1032&lt;=14,"8-14 Days",IF(V1032&lt;=21,"15-21 Days","21+ Days"))))))</x:f>
        <x:v>Existing Employee</x:v>
      </x:c>
      <x:c r="AF103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032" s="33" t="n">
        <x:f>--(WorkforceData[[#This Row],[Total Days Worked]]&gt;=121)</x:f>
        <x:v>1</x:v>
      </x:c>
    </x:row>
    <x:row r="1033">
      <x:c r="A1033" s="236" t="str">
        <x:v>TRN-1032</x:v>
      </x:c>
      <x:c r="B1033" s="243"/>
      <x:c r="C1033" s="243"/>
      <x:c r="D1033" s="243"/>
      <x:c r="E1033" s="243"/>
      <x:c r="F1033" s="14" t="str">
        <x:v>Recruiter H</x:v>
      </x:c>
      <x:c r="G1033" s="14" t="str">
        <x:v>Training Center B</x:v>
      </x:c>
      <x:c r="H1033" s="28">
        <x:v>46056</x:v>
      </x:c>
      <x:c r="I1033" s="14">
        <x:v>2026</x:v>
      </x:c>
      <x:c r="J1033" s="14" t="s">
        <x:v>136</x:v>
      </x:c>
      <x:c r="K1033" s="14">
        <x:v>27</x:v>
      </x:c>
      <x:c r="L1033" s="29" t="s">
        <x:v>101</x:v>
      </x:c>
      <x:c r="M1033" s="28">
        <x:v>46055</x:v>
      </x:c>
      <x:c r="N1033" s="28">
        <x:v>46080</x:v>
      </x:c>
      <x:c r="O1033" s="14">
        <x:v>25</x:v>
      </x:c>
      <x:c r="P1033" s="14" t="s">
        <x:v>102</x:v>
      </x:c>
      <x:c r="Q1033" s="14" t="s">
        <x:v>103</x:v>
      </x:c>
      <x:c r="R1033" s="14" t="s">
        <x:v>123</x:v>
      </x:c>
      <x:c r="S1033" s="14" t="s">
        <x:v>105</x:v>
      </x:c>
      <x:c r="T1033" s="14" t="str">
        <x:v>Region D</x:v>
      </x:c>
      <x:c r="U1033" s="28">
        <x:v>46061</x:v>
      </x:c>
      <x:c r="V1033" s="30">
        <x:v>5</x:v>
      </x:c>
      <x:c r="W1033" s="14" t="s">
        <x:v>109</x:v>
      </x:c>
      <x:c r="X1033" s="14" t="s">
        <x:v>106</x:v>
      </x:c>
      <x:c r="Y1033" s="32" t="str">
        <x:v>TRN-1032|20260203</x:v>
      </x:c>
      <x:c r="Z1033" s="32" t="str" cm="1">
        <x:f t="array" ref="Z103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1033" s="33" t="n">
        <x:f>--OR(WorkforceData[[#This Row],[Status]]="Active",WorkforceData[[#This Row],[Promoted]]="Yes",WorkforceData[[#This Row],[Total Days Worked]]&gt;=121)</x:f>
        <x:v>0</x:v>
      </x:c>
      <x:c r="AB1033" s="33" t="n">
        <x:f>IF(AND(Q1033="Terminated",R1033="",O1033=0),1,0)</x:f>
        <x:v>0</x:v>
      </x:c>
      <x:c r="AC1033" s="33" t="n">
        <x:f>--OR(WorkforceData[[#This Row],[Status]]="Resigned",WorkforceData[[#This Row],[Status After Training]]="Withdrew")</x:f>
        <x:v>1</x:v>
      </x:c>
      <x:c r="AD1033" s="34" t="n">
        <x:f>EOMONTH(WorkforceData[[#This Row],[Training Date]],0)</x:f>
        <x:v>46081</x:v>
      </x:c>
      <x:c r="AE1033" s="32" t="str">
        <x:f>IF(M1033&lt;H1033,"Existing Employee",IF(U1033="","No Assignment",IF(V1033=0,"0 Days",IF(V1033&lt;=7,"1-7 Days",IF(V1033&lt;=14,"8-14 Days",IF(V1033&lt;=21,"15-21 Days","21+ Days"))))))</x:f>
        <x:v>Existing Employee</x:v>
      </x:c>
      <x:c r="AF103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1033" s="33" t="n">
        <x:f>--(WorkforceData[[#This Row],[Total Days Worked]]&gt;=121)</x:f>
        <x:v>0</x:v>
      </x:c>
    </x:row>
    <x:row r="1034">
      <x:c r="A1034" s="236" t="str">
        <x:v>TRN-1033</x:v>
      </x:c>
      <x:c r="B1034" s="243"/>
      <x:c r="C1034" s="243"/>
      <x:c r="D1034" s="243"/>
      <x:c r="E1034" s="243"/>
      <x:c r="F1034" s="14" t="str">
        <x:v>Recruiter C</x:v>
      </x:c>
      <x:c r="G1034" s="14" t="str">
        <x:v>Training Center B</x:v>
      </x:c>
      <x:c r="H1034" s="28">
        <x:v>46056</x:v>
      </x:c>
      <x:c r="I1034" s="14">
        <x:v>2026</x:v>
      </x:c>
      <x:c r="J1034" s="14" t="s">
        <x:v>136</x:v>
      </x:c>
      <x:c r="K1034" s="14">
        <x:v>27</x:v>
      </x:c>
      <x:c r="L1034" s="29" t="s">
        <x:v>101</x:v>
      </x:c>
      <x:c r="M1034" s="28">
        <x:v>46046</x:v>
      </x:c>
      <x:c r="N1034" s="28">
        <x:v>46051</x:v>
      </x:c>
      <x:c r="O1034" s="14">
        <x:v>5</x:v>
      </x:c>
      <x:c r="P1034" s="14" t="s">
        <x:v>102</x:v>
      </x:c>
      <x:c r="Q1034" s="14" t="s">
        <x:v>103</x:v>
      </x:c>
      <x:c r="R1034" s="14" t="s">
        <x:v>104</x:v>
      </x:c>
      <x:c r="S1034" s="14" t="s">
        <x:v>105</x:v>
      </x:c>
      <x:c r="T1034" s="14"/>
      <x:c r="U1034" s="28"/>
      <x:c r="V1034" s="30"/>
      <x:c r="W1034" s="14"/>
      <x:c r="X1034" s="14" t="s">
        <x:v>71</x:v>
      </x:c>
      <x:c r="Y1034" s="32" t="str">
        <x:v>TRN-1033|20260203</x:v>
      </x:c>
      <x:c r="Z1034" s="32" t="str" cm="1">
        <x:f t="array" ref="Z103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1034" s="33" t="n">
        <x:f>--OR(WorkforceData[[#This Row],[Status]]="Active",WorkforceData[[#This Row],[Promoted]]="Yes",WorkforceData[[#This Row],[Total Days Worked]]&gt;=121)</x:f>
        <x:v>0</x:v>
      </x:c>
      <x:c r="AB1034" s="33" t="n">
        <x:f>IF(AND(Q1034="Terminated",R1034="",O1034=0),1,0)</x:f>
        <x:v>0</x:v>
      </x:c>
      <x:c r="AC1034" s="33" t="n">
        <x:f>--OR(WorkforceData[[#This Row],[Status]]="Resigned",WorkforceData[[#This Row],[Status After Training]]="Withdrew")</x:f>
        <x:v>1</x:v>
      </x:c>
      <x:c r="AD1034" s="34" t="n">
        <x:f>EOMONTH(WorkforceData[[#This Row],[Training Date]],0)</x:f>
        <x:v>46081</x:v>
      </x:c>
      <x:c r="AE1034" s="32" t="str">
        <x:f>IF(M1034&lt;H1034,"Existing Employee",IF(U1034="","No Assignment",IF(V1034=0,"0 Days",IF(V1034&lt;=7,"1-7 Days",IF(V1034&lt;=14,"8-14 Days",IF(V1034&lt;=21,"15-21 Days","21+ Days"))))))</x:f>
        <x:v>Existing Employee</x:v>
      </x:c>
      <x:c r="AF103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1-7 Days</x:v>
      </x:c>
      <x:c r="AG1034" s="33" t="n">
        <x:f>--(WorkforceData[[#This Row],[Total Days Worked]]&gt;=121)</x:f>
        <x:v>0</x:v>
      </x:c>
    </x:row>
    <x:row r="1035">
      <x:c r="A1035" s="236" t="str">
        <x:v>TRN-1034</x:v>
      </x:c>
      <x:c r="B1035" s="243"/>
      <x:c r="C1035" s="243"/>
      <x:c r="D1035" s="243"/>
      <x:c r="E1035" s="243"/>
      <x:c r="F1035" s="14" t="str">
        <x:v>Recruiter F</x:v>
      </x:c>
      <x:c r="G1035" s="14" t="str">
        <x:v>Training Center B</x:v>
      </x:c>
      <x:c r="H1035" s="28">
        <x:v>46056</x:v>
      </x:c>
      <x:c r="I1035" s="14">
        <x:v>2026</x:v>
      </x:c>
      <x:c r="J1035" s="14" t="s">
        <x:v>136</x:v>
      </x:c>
      <x:c r="K1035" s="14">
        <x:v>27</x:v>
      </x:c>
      <x:c r="L1035" s="29" t="s">
        <x:v>101</x:v>
      </x:c>
      <x:c r="M1035" s="28">
        <x:v>46056</x:v>
      </x:c>
      <x:c r="N1035" s="28">
        <x:v>46087</x:v>
      </x:c>
      <x:c r="O1035" s="14">
        <x:v>31</x:v>
      </x:c>
      <x:c r="P1035" s="14" t="s">
        <x:v>110</x:v>
      </x:c>
      <x:c r="Q1035" s="14" t="s">
        <x:v>33</x:v>
      </x:c>
      <x:c r="R1035" s="14" t="s">
        <x:v>116</x:v>
      </x:c>
      <x:c r="S1035" s="14" t="s">
        <x:v>105</x:v>
      </x:c>
      <x:c r="T1035" s="14" t="str">
        <x:v>Region A</x:v>
      </x:c>
      <x:c r="U1035" s="28">
        <x:v>46063</x:v>
      </x:c>
      <x:c r="V1035" s="30">
        <x:v>7</x:v>
      </x:c>
      <x:c r="W1035" s="14" t="s">
        <x:v>109</x:v>
      </x:c>
      <x:c r="X1035" s="14" t="s">
        <x:v>106</x:v>
      </x:c>
      <x:c r="Y1035" s="32" t="str">
        <x:v>TRN-1034|20260203</x:v>
      </x:c>
      <x:c r="Z1035" s="32" t="str" cm="1">
        <x:f t="array" ref="Z103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1035" s="33" t="n">
        <x:f>--OR(WorkforceData[[#This Row],[Status]]="Active",WorkforceData[[#This Row],[Promoted]]="Yes",WorkforceData[[#This Row],[Total Days Worked]]&gt;=121)</x:f>
        <x:v>0</x:v>
      </x:c>
      <x:c r="AB1035" s="33" t="n">
        <x:f>IF(AND(Q1035="Terminated",R1035="",O1035=0),1,0)</x:f>
        <x:v>0</x:v>
      </x:c>
      <x:c r="AC1035" s="33" t="n">
        <x:f>--OR(WorkforceData[[#This Row],[Status]]="Resigned",WorkforceData[[#This Row],[Status After Training]]="Withdrew")</x:f>
        <x:v>0</x:v>
      </x:c>
      <x:c r="AD1035" s="34" t="n">
        <x:f>EOMONTH(WorkforceData[[#This Row],[Training Date]],0)</x:f>
        <x:v>46081</x:v>
      </x:c>
      <x:c r="AE1035" s="32" t="str">
        <x:f>IF(M1035&lt;H1035,"Existing Employee",IF(U1035="","No Assignment",IF(V1035=0,"0 Days",IF(V1035&lt;=7,"1-7 Days",IF(V1035&lt;=14,"8-14 Days",IF(V1035&lt;=21,"15-21 Days","21+ Days"))))))</x:f>
        <x:v>1-7 Days</x:v>
      </x:c>
      <x:c r="AF103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1035" s="33" t="n">
        <x:f>--(WorkforceData[[#This Row],[Total Days Worked]]&gt;=121)</x:f>
        <x:v>0</x:v>
      </x:c>
    </x:row>
    <x:row r="1036">
      <x:c r="A1036" s="236" t="str">
        <x:v>TRN-1035</x:v>
      </x:c>
      <x:c r="B1036" s="243"/>
      <x:c r="C1036" s="243"/>
      <x:c r="D1036" s="243"/>
      <x:c r="E1036" s="243"/>
      <x:c r="F1036" s="14" t="str">
        <x:v>Recruiter D</x:v>
      </x:c>
      <x:c r="G1036" s="14" t="str">
        <x:v>Training Center B</x:v>
      </x:c>
      <x:c r="H1036" s="28">
        <x:v>46056</x:v>
      </x:c>
      <x:c r="I1036" s="14">
        <x:v>2026</x:v>
      </x:c>
      <x:c r="J1036" s="14" t="s">
        <x:v>136</x:v>
      </x:c>
      <x:c r="K1036" s="14">
        <x:v>27</x:v>
      </x:c>
      <x:c r="L1036" s="29" t="s">
        <x:v>101</x:v>
      </x:c>
      <x:c r="M1036" s="28">
        <x:v>46051</x:v>
      </x:c>
      <x:c r="N1036" s="28">
        <x:v>46111</x:v>
      </x:c>
      <x:c r="O1036" s="14">
        <x:v>60</x:v>
      </x:c>
      <x:c r="P1036" s="14" t="s">
        <x:v>110</x:v>
      </x:c>
      <x:c r="Q1036" s="14" t="s">
        <x:v>103</x:v>
      </x:c>
      <x:c r="R1036" s="14" t="s">
        <x:v>104</x:v>
      </x:c>
      <x:c r="S1036" s="14" t="s">
        <x:v>105</x:v>
      </x:c>
      <x:c r="T1036" s="14" t="str">
        <x:v>Region B</x:v>
      </x:c>
      <x:c r="U1036" s="28">
        <x:v>46076</x:v>
      </x:c>
      <x:c r="V1036" s="30">
        <x:v>20</x:v>
      </x:c>
      <x:c r="W1036" s="14" t="s">
        <x:v>112</x:v>
      </x:c>
      <x:c r="X1036" s="14" t="s">
        <x:v>106</x:v>
      </x:c>
      <x:c r="Y1036" s="32" t="str">
        <x:v>TRN-1035|20260203</x:v>
      </x:c>
      <x:c r="Z1036" s="32" t="str" cm="1">
        <x:f t="array" ref="Z103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1036" s="33" t="n">
        <x:f>--OR(WorkforceData[[#This Row],[Status]]="Active",WorkforceData[[#This Row],[Promoted]]="Yes",WorkforceData[[#This Row],[Total Days Worked]]&gt;=121)</x:f>
        <x:v>0</x:v>
      </x:c>
      <x:c r="AB1036" s="33" t="n">
        <x:f>IF(AND(Q1036="Terminated",R1036="",O1036=0),1,0)</x:f>
        <x:v>0</x:v>
      </x:c>
      <x:c r="AC1036" s="33" t="n">
        <x:f>--OR(WorkforceData[[#This Row],[Status]]="Resigned",WorkforceData[[#This Row],[Status After Training]]="Withdrew")</x:f>
        <x:v>1</x:v>
      </x:c>
      <x:c r="AD1036" s="34" t="n">
        <x:f>EOMONTH(WorkforceData[[#This Row],[Training Date]],0)</x:f>
        <x:v>46081</x:v>
      </x:c>
      <x:c r="AE1036" s="32" t="str">
        <x:f>IF(M1036&lt;H1036,"Existing Employee",IF(U1036="","No Assignment",IF(V1036=0,"0 Days",IF(V1036&lt;=7,"1-7 Days",IF(V1036&lt;=14,"8-14 Days",IF(V1036&lt;=21,"15-21 Days","21+ Days"))))))</x:f>
        <x:v>Existing Employee</x:v>
      </x:c>
      <x:c r="AF103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1036" s="33" t="n">
        <x:f>--(WorkforceData[[#This Row],[Total Days Worked]]&gt;=121)</x:f>
        <x:v>0</x:v>
      </x:c>
    </x:row>
    <x:row r="1037">
      <x:c r="A1037" s="236" t="str">
        <x:v>TRN-1036</x:v>
      </x:c>
      <x:c r="B1037" s="243"/>
      <x:c r="C1037" s="243"/>
      <x:c r="D1037" s="243"/>
      <x:c r="E1037" s="243"/>
      <x:c r="F1037" s="14" t="str">
        <x:v>Recruiter F</x:v>
      </x:c>
      <x:c r="G1037" s="14" t="str">
        <x:v>Training Center B</x:v>
      </x:c>
      <x:c r="H1037" s="28">
        <x:v>46056</x:v>
      </x:c>
      <x:c r="I1037" s="14">
        <x:v>2026</x:v>
      </x:c>
      <x:c r="J1037" s="14" t="s">
        <x:v>136</x:v>
      </x:c>
      <x:c r="K1037" s="14">
        <x:v>27</x:v>
      </x:c>
      <x:c r="L1037" s="29" t="s">
        <x:v>101</x:v>
      </x:c>
      <x:c r="M1037" s="28">
        <x:v>46051</x:v>
      </x:c>
      <x:c r="N1037" s="28">
        <x:v>46099</x:v>
      </x:c>
      <x:c r="O1037" s="14">
        <x:v>48</x:v>
      </x:c>
      <x:c r="P1037" s="14" t="s">
        <x:v>110</x:v>
      </x:c>
      <x:c r="Q1037" s="14" t="s">
        <x:v>33</x:v>
      </x:c>
      <x:c r="R1037" s="14" t="s">
        <x:v>116</x:v>
      </x:c>
      <x:c r="S1037" s="14" t="s">
        <x:v>105</x:v>
      </x:c>
      <x:c r="T1037" s="14" t="str">
        <x:v>Region B</x:v>
      </x:c>
      <x:c r="U1037" s="28">
        <x:v>46070</x:v>
      </x:c>
      <x:c r="V1037" s="30">
        <x:v>14</x:v>
      </x:c>
      <x:c r="W1037" s="14" t="s">
        <x:v>45</x:v>
      </x:c>
      <x:c r="X1037" s="14" t="s">
        <x:v>106</x:v>
      </x:c>
      <x:c r="Y1037" s="32" t="str">
        <x:v>TRN-1036|20260203</x:v>
      </x:c>
      <x:c r="Z1037" s="32" t="str" cm="1">
        <x:f t="array" ref="Z103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Terminated</x:v>
      </x:c>
      <x:c r="AA1037" s="33" t="n">
        <x:f>--OR(WorkforceData[[#This Row],[Status]]="Active",WorkforceData[[#This Row],[Promoted]]="Yes",WorkforceData[[#This Row],[Total Days Worked]]&gt;=121)</x:f>
        <x:v>0</x:v>
      </x:c>
      <x:c r="AB1037" s="33" t="n">
        <x:f>IF(AND(Q1037="Terminated",R1037="",O1037=0),1,0)</x:f>
        <x:v>0</x:v>
      </x:c>
      <x:c r="AC1037" s="33" t="n">
        <x:f>--OR(WorkforceData[[#This Row],[Status]]="Resigned",WorkforceData[[#This Row],[Status After Training]]="Withdrew")</x:f>
        <x:v>0</x:v>
      </x:c>
      <x:c r="AD1037" s="34" t="n">
        <x:f>EOMONTH(WorkforceData[[#This Row],[Training Date]],0)</x:f>
        <x:v>46081</x:v>
      </x:c>
      <x:c r="AE1037" s="32" t="str">
        <x:f>IF(M1037&lt;H1037,"Existing Employee",IF(U1037="","No Assignment",IF(V1037=0,"0 Days",IF(V1037&lt;=7,"1-7 Days",IF(V1037&lt;=14,"8-14 Days",IF(V1037&lt;=21,"15-21 Days","21+ Days"))))))</x:f>
        <x:v>Existing Employee</x:v>
      </x:c>
      <x:c r="AF103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1037" s="33" t="n">
        <x:f>--(WorkforceData[[#This Row],[Total Days Worked]]&gt;=121)</x:f>
        <x:v>0</x:v>
      </x:c>
    </x:row>
    <x:row r="1038">
      <x:c r="A1038" s="236" t="str">
        <x:v>TRN-1037</x:v>
      </x:c>
      <x:c r="B1038" s="243"/>
      <x:c r="C1038" s="243"/>
      <x:c r="D1038" s="243"/>
      <x:c r="E1038" s="243"/>
      <x:c r="F1038" s="14" t="str">
        <x:v>Recruiter F</x:v>
      </x:c>
      <x:c r="G1038" s="14" t="str">
        <x:v>Training Center B</x:v>
      </x:c>
      <x:c r="H1038" s="28">
        <x:v>46056</x:v>
      </x:c>
      <x:c r="I1038" s="14">
        <x:v>2026</x:v>
      </x:c>
      <x:c r="J1038" s="14" t="s">
        <x:v>136</x:v>
      </x:c>
      <x:c r="K1038" s="14">
        <x:v>27</x:v>
      </x:c>
      <x:c r="L1038" s="29" t="s">
        <x:v>101</x:v>
      </x:c>
      <x:c r="M1038" s="28">
        <x:v>46053</x:v>
      </x:c>
      <x:c r="N1038" s="28">
        <x:v>46251</x:v>
      </x:c>
      <x:c r="O1038" s="14">
        <x:v>198</x:v>
      </x:c>
      <x:c r="P1038" s="14" t="s">
        <x:v>107</x:v>
      </x:c>
      <x:c r="Q1038" s="14" t="s">
        <x:v>103</x:v>
      </x:c>
      <x:c r="R1038" s="14" t="s">
        <x:v>123</x:v>
      </x:c>
      <x:c r="S1038" s="14" t="s">
        <x:v>108</x:v>
      </x:c>
      <x:c r="T1038" s="14" t="str">
        <x:v>Region E</x:v>
      </x:c>
      <x:c r="U1038" s="28">
        <x:v>46067</x:v>
      </x:c>
      <x:c r="V1038" s="30">
        <x:v>11</x:v>
      </x:c>
      <x:c r="W1038" s="14" t="s">
        <x:v>45</x:v>
      </x:c>
      <x:c r="X1038" s="14" t="s">
        <x:v>106</x:v>
      </x:c>
      <x:c r="Y1038" s="32" t="str">
        <x:v>TRN-1037|20260203</x:v>
      </x:c>
      <x:c r="Z1038" s="32" t="str" cm="1">
        <x:f t="array" ref="Z103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1038" s="33" t="n">
        <x:f>--OR(WorkforceData[[#This Row],[Status]]="Active",WorkforceData[[#This Row],[Promoted]]="Yes",WorkforceData[[#This Row],[Total Days Worked]]&gt;=121)</x:f>
        <x:v>1</x:v>
      </x:c>
      <x:c r="AB1038" s="33" t="n">
        <x:f>IF(AND(Q1038="Terminated",R1038="",O1038=0),1,0)</x:f>
        <x:v>0</x:v>
      </x:c>
      <x:c r="AC1038" s="33" t="n">
        <x:f>--OR(WorkforceData[[#This Row],[Status]]="Resigned",WorkforceData[[#This Row],[Status After Training]]="Withdrew")</x:f>
        <x:v>1</x:v>
      </x:c>
      <x:c r="AD1038" s="34" t="n">
        <x:f>EOMONTH(WorkforceData[[#This Row],[Training Date]],0)</x:f>
        <x:v>46081</x:v>
      </x:c>
      <x:c r="AE1038" s="32" t="str">
        <x:f>IF(M1038&lt;H1038,"Existing Employee",IF(U1038="","No Assignment",IF(V1038=0,"0 Days",IF(V1038&lt;=7,"1-7 Days",IF(V1038&lt;=14,"8-14 Days",IF(V1038&lt;=21,"15-21 Days","21+ Days"))))))</x:f>
        <x:v>Existing Employee</x:v>
      </x:c>
      <x:c r="AF103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038" s="33" t="n">
        <x:f>--(WorkforceData[[#This Row],[Total Days Worked]]&gt;=121)</x:f>
        <x:v>1</x:v>
      </x:c>
    </x:row>
    <x:row r="1039">
      <x:c r="A1039" s="236" t="str">
        <x:v>TRN-1038</x:v>
      </x:c>
      <x:c r="B1039" s="243"/>
      <x:c r="C1039" s="243"/>
      <x:c r="D1039" s="243"/>
      <x:c r="E1039" s="243"/>
      <x:c r="F1039" s="14" t="str">
        <x:v>Recruiter F</x:v>
      </x:c>
      <x:c r="G1039" s="14" t="str">
        <x:v>Training Center B</x:v>
      </x:c>
      <x:c r="H1039" s="28">
        <x:v>46056</x:v>
      </x:c>
      <x:c r="I1039" s="14">
        <x:v>2026</x:v>
      </x:c>
      <x:c r="J1039" s="14" t="s">
        <x:v>136</x:v>
      </x:c>
      <x:c r="K1039" s="14">
        <x:v>27</x:v>
      </x:c>
      <x:c r="L1039" s="29" t="s">
        <x:v>101</x:v>
      </x:c>
      <x:c r="M1039" s="28">
        <x:v>46056</x:v>
      </x:c>
      <x:c r="N1039" s="14"/>
      <x:c r="O1039" s="14">
        <x:v>195</x:v>
      </x:c>
      <x:c r="P1039" s="14" t="s">
        <x:v>107</x:v>
      </x:c>
      <x:c r="Q1039" s="14" t="s">
        <x:v>25</x:v>
      </x:c>
      <x:c r="R1039" s="14"/>
      <x:c r="S1039" s="14" t="s">
        <x:v>108</x:v>
      </x:c>
      <x:c r="T1039" s="14" t="str">
        <x:v>Region D</x:v>
      </x:c>
      <x:c r="U1039" s="28">
        <x:v>46059</x:v>
      </x:c>
      <x:c r="V1039" s="30">
        <x:v>3</x:v>
      </x:c>
      <x:c r="W1039" s="14" t="s">
        <x:v>109</x:v>
      </x:c>
      <x:c r="X1039" s="14" t="s">
        <x:v>106</x:v>
      </x:c>
      <x:c r="Y1039" s="32" t="str">
        <x:v>TRN-1038|20260203</x:v>
      </x:c>
      <x:c r="Z1039" s="32" t="str" cm="1">
        <x:f t="array" ref="Z103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039" s="33" t="n">
        <x:f>--OR(WorkforceData[[#This Row],[Status]]="Active",WorkforceData[[#This Row],[Promoted]]="Yes",WorkforceData[[#This Row],[Total Days Worked]]&gt;=121)</x:f>
        <x:v>1</x:v>
      </x:c>
      <x:c r="AB1039" s="33" t="n">
        <x:f>IF(AND(Q1039="Terminated",R1039="",O1039=0),1,0)</x:f>
        <x:v>0</x:v>
      </x:c>
      <x:c r="AC1039" s="33" t="n">
        <x:f>--OR(WorkforceData[[#This Row],[Status]]="Resigned",WorkforceData[[#This Row],[Status After Training]]="Withdrew")</x:f>
        <x:v>0</x:v>
      </x:c>
      <x:c r="AD1039" s="34" t="n">
        <x:f>EOMONTH(WorkforceData[[#This Row],[Training Date]],0)</x:f>
        <x:v>46081</x:v>
      </x:c>
      <x:c r="AE1039" s="32" t="str">
        <x:f>IF(M1039&lt;H1039,"Existing Employee",IF(U1039="","No Assignment",IF(V1039=0,"0 Days",IF(V1039&lt;=7,"1-7 Days",IF(V1039&lt;=14,"8-14 Days",IF(V1039&lt;=21,"15-21 Days","21+ Days"))))))</x:f>
        <x:v>1-7 Days</x:v>
      </x:c>
      <x:c r="AF103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039" s="33" t="n">
        <x:f>--(WorkforceData[[#This Row],[Total Days Worked]]&gt;=121)</x:f>
        <x:v>1</x:v>
      </x:c>
    </x:row>
    <x:row r="1040">
      <x:c r="A1040" s="236" t="str">
        <x:v>TRN-1039</x:v>
      </x:c>
      <x:c r="B1040" s="243"/>
      <x:c r="C1040" s="243"/>
      <x:c r="D1040" s="243"/>
      <x:c r="E1040" s="243"/>
      <x:c r="F1040" s="14" t="str">
        <x:v>Recruiter D</x:v>
      </x:c>
      <x:c r="G1040" s="14" t="str">
        <x:v>Training Center B</x:v>
      </x:c>
      <x:c r="H1040" s="28">
        <x:v>46056</x:v>
      </x:c>
      <x:c r="I1040" s="14">
        <x:v>2026</x:v>
      </x:c>
      <x:c r="J1040" s="14" t="s">
        <x:v>136</x:v>
      </x:c>
      <x:c r="K1040" s="14">
        <x:v>27</x:v>
      </x:c>
      <x:c r="L1040" s="29" t="s">
        <x:v>101</x:v>
      </x:c>
      <x:c r="M1040" s="28">
        <x:v>46054</x:v>
      </x:c>
      <x:c r="N1040" s="28">
        <x:v>46101</x:v>
      </x:c>
      <x:c r="O1040" s="14">
        <x:v>47</x:v>
      </x:c>
      <x:c r="P1040" s="14" t="s">
        <x:v>110</x:v>
      </x:c>
      <x:c r="Q1040" s="14" t="s">
        <x:v>103</x:v>
      </x:c>
      <x:c r="R1040" s="14" t="s">
        <x:v>111</x:v>
      </x:c>
      <x:c r="S1040" s="14" t="s">
        <x:v>105</x:v>
      </x:c>
      <x:c r="T1040" s="14" t="str">
        <x:v>Region C</x:v>
      </x:c>
      <x:c r="U1040" s="28">
        <x:v>46100</x:v>
      </x:c>
      <x:c r="V1040" s="30">
        <x:v>44</x:v>
      </x:c>
      <x:c r="W1040" s="14" t="s">
        <x:v>63</x:v>
      </x:c>
      <x:c r="X1040" s="14" t="s">
        <x:v>117</x:v>
      </x:c>
      <x:c r="Y1040" s="32" t="str">
        <x:v>TRN-1039|20260203</x:v>
      </x:c>
      <x:c r="Z1040" s="32" t="str" cm="1">
        <x:f t="array" ref="Z104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1040" s="33" t="n">
        <x:f>--OR(WorkforceData[[#This Row],[Status]]="Active",WorkforceData[[#This Row],[Promoted]]="Yes",WorkforceData[[#This Row],[Total Days Worked]]&gt;=121)</x:f>
        <x:v>0</x:v>
      </x:c>
      <x:c r="AB1040" s="33" t="n">
        <x:f>IF(AND(Q1040="Terminated",R1040="",O1040=0),1,0)</x:f>
        <x:v>0</x:v>
      </x:c>
      <x:c r="AC1040" s="33" t="n">
        <x:f>--OR(WorkforceData[[#This Row],[Status]]="Resigned",WorkforceData[[#This Row],[Status After Training]]="Withdrew")</x:f>
        <x:v>1</x:v>
      </x:c>
      <x:c r="AD1040" s="34" t="n">
        <x:f>EOMONTH(WorkforceData[[#This Row],[Training Date]],0)</x:f>
        <x:v>46081</x:v>
      </x:c>
      <x:c r="AE1040" s="32" t="str">
        <x:f>IF(M1040&lt;H1040,"Existing Employee",IF(U1040="","No Assignment",IF(V1040=0,"0 Days",IF(V1040&lt;=7,"1-7 Days",IF(V1040&lt;=14,"8-14 Days",IF(V1040&lt;=21,"15-21 Days","21+ Days"))))))</x:f>
        <x:v>Existing Employee</x:v>
      </x:c>
      <x:c r="AF104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31-60 Days</x:v>
      </x:c>
      <x:c r="AG1040" s="33" t="n">
        <x:f>--(WorkforceData[[#This Row],[Total Days Worked]]&gt;=121)</x:f>
        <x:v>0</x:v>
      </x:c>
    </x:row>
    <x:row r="1041">
      <x:c r="A1041" s="236" t="str">
        <x:v>TRN-1040</x:v>
      </x:c>
      <x:c r="B1041" s="243"/>
      <x:c r="C1041" s="243"/>
      <x:c r="D1041" s="243"/>
      <x:c r="E1041" s="243"/>
      <x:c r="F1041" s="14" t="str">
        <x:v>Recruiter B</x:v>
      </x:c>
      <x:c r="G1041" s="14" t="str">
        <x:v>Training Center B</x:v>
      </x:c>
      <x:c r="H1041" s="28">
        <x:v>46056</x:v>
      </x:c>
      <x:c r="I1041" s="14">
        <x:v>2026</x:v>
      </x:c>
      <x:c r="J1041" s="14" t="s">
        <x:v>136</x:v>
      </x:c>
      <x:c r="K1041" s="14">
        <x:v>27</x:v>
      </x:c>
      <x:c r="L1041" s="29" t="s">
        <x:v>101</x:v>
      </x:c>
      <x:c r="M1041" s="28">
        <x:v>46056</x:v>
      </x:c>
      <x:c r="N1041" s="28">
        <x:v>46251</x:v>
      </x:c>
      <x:c r="O1041" s="14">
        <x:v>195</x:v>
      </x:c>
      <x:c r="P1041" s="14" t="s">
        <x:v>107</x:v>
      </x:c>
      <x:c r="Q1041" s="14" t="s">
        <x:v>103</x:v>
      </x:c>
      <x:c r="R1041" s="14" t="s">
        <x:v>123</x:v>
      </x:c>
      <x:c r="S1041" s="14" t="s">
        <x:v>105</x:v>
      </x:c>
      <x:c r="T1041" s="14"/>
      <x:c r="U1041" s="28"/>
      <x:c r="V1041" s="30"/>
      <x:c r="W1041" s="14"/>
      <x:c r="X1041" s="14" t="s">
        <x:v>71</x:v>
      </x:c>
      <x:c r="Y1041" s="32" t="str">
        <x:v>TRN-1040|20260203</x:v>
      </x:c>
      <x:c r="Z1041" s="32" t="str" cm="1">
        <x:f t="array" ref="Z104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Complete</x:v>
      </x:c>
      <x:c r="AA1041" s="33" t="n">
        <x:f>--OR(WorkforceData[[#This Row],[Status]]="Active",WorkforceData[[#This Row],[Promoted]]="Yes",WorkforceData[[#This Row],[Total Days Worked]]&gt;=121)</x:f>
        <x:v>1</x:v>
      </x:c>
      <x:c r="AB1041" s="33" t="n">
        <x:f>IF(AND(Q1041="Terminated",R1041="",O1041=0),1,0)</x:f>
        <x:v>0</x:v>
      </x:c>
      <x:c r="AC1041" s="33" t="n">
        <x:f>--OR(WorkforceData[[#This Row],[Status]]="Resigned",WorkforceData[[#This Row],[Status After Training]]="Withdrew")</x:f>
        <x:v>1</x:v>
      </x:c>
      <x:c r="AD1041" s="34" t="n">
        <x:f>EOMONTH(WorkforceData[[#This Row],[Training Date]],0)</x:f>
        <x:v>46081</x:v>
      </x:c>
      <x:c r="AE1041" s="32" t="str">
        <x:f>IF(M1041&lt;H1041,"Existing Employee",IF(U1041="","No Assignment",IF(V1041=0,"0 Days",IF(V1041&lt;=7,"1-7 Days",IF(V1041&lt;=14,"8-14 Days",IF(V1041&lt;=21,"15-21 Days","21+ Days"))))))</x:f>
        <x:v>No Assignment</x:v>
      </x:c>
      <x:c r="AF104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041" s="33" t="n">
        <x:f>--(WorkforceData[[#This Row],[Total Days Worked]]&gt;=121)</x:f>
        <x:v>1</x:v>
      </x:c>
    </x:row>
    <x:row r="1042">
      <x:c r="A1042" s="236" t="str">
        <x:v>TRN-1041</x:v>
      </x:c>
      <x:c r="B1042" s="243"/>
      <x:c r="C1042" s="243"/>
      <x:c r="D1042" s="243"/>
      <x:c r="E1042" s="243"/>
      <x:c r="F1042" s="14" t="str">
        <x:v>Recruiter A</x:v>
      </x:c>
      <x:c r="G1042" s="14" t="str">
        <x:v>Training Center B</x:v>
      </x:c>
      <x:c r="H1042" s="28">
        <x:v>46056</x:v>
      </x:c>
      <x:c r="I1042" s="14">
        <x:v>2026</x:v>
      </x:c>
      <x:c r="J1042" s="14" t="s">
        <x:v>136</x:v>
      </x:c>
      <x:c r="K1042" s="14">
        <x:v>27</x:v>
      </x:c>
      <x:c r="L1042" s="29" t="s">
        <x:v>101</x:v>
      </x:c>
      <x:c r="M1042" s="28">
        <x:v>46056</x:v>
      </x:c>
      <x:c r="N1042" s="14"/>
      <x:c r="O1042" s="14">
        <x:v>195</x:v>
      </x:c>
      <x:c r="P1042" s="14" t="s">
        <x:v>107</x:v>
      </x:c>
      <x:c r="Q1042" s="14" t="s">
        <x:v>25</x:v>
      </x:c>
      <x:c r="R1042" s="14"/>
      <x:c r="S1042" s="14" t="s">
        <x:v>108</x:v>
      </x:c>
      <x:c r="T1042" s="14" t="str">
        <x:v>Region D</x:v>
      </x:c>
      <x:c r="U1042" s="28">
        <x:v>46116</x:v>
      </x:c>
      <x:c r="V1042" s="30">
        <x:v>60</x:v>
      </x:c>
      <x:c r="W1042" s="14" t="s">
        <x:v>63</x:v>
      </x:c>
      <x:c r="X1042" s="14" t="s">
        <x:v>117</x:v>
      </x:c>
      <x:c r="Y1042" s="32" t="str">
        <x:v>TRN-1041|20260203</x:v>
      </x:c>
      <x:c r="Z1042" s="32" t="str" cm="1">
        <x:f t="array" ref="Z1042">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042" s="33" t="n">
        <x:f>--OR(WorkforceData[[#This Row],[Status]]="Active",WorkforceData[[#This Row],[Promoted]]="Yes",WorkforceData[[#This Row],[Total Days Worked]]&gt;=121)</x:f>
        <x:v>1</x:v>
      </x:c>
      <x:c r="AB1042" s="33" t="n">
        <x:f>IF(AND(Q1042="Terminated",R1042="",O1042=0),1,0)</x:f>
        <x:v>0</x:v>
      </x:c>
      <x:c r="AC1042" s="33" t="n">
        <x:f>--OR(WorkforceData[[#This Row],[Status]]="Resigned",WorkforceData[[#This Row],[Status After Training]]="Withdrew")</x:f>
        <x:v>0</x:v>
      </x:c>
      <x:c r="AD1042" s="34" t="n">
        <x:f>EOMONTH(WorkforceData[[#This Row],[Training Date]],0)</x:f>
        <x:v>46081</x:v>
      </x:c>
      <x:c r="AE1042" s="32" t="str">
        <x:f>IF(M1042&lt;H1042,"Existing Employee",IF(U1042="","No Assignment",IF(V1042=0,"0 Days",IF(V1042&lt;=7,"1-7 Days",IF(V1042&lt;=14,"8-14 Days",IF(V1042&lt;=21,"15-21 Days","21+ Days"))))))</x:f>
        <x:v>21+ Days</x:v>
      </x:c>
      <x:c r="AF1042"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042" s="33" t="n">
        <x:f>--(WorkforceData[[#This Row],[Total Days Worked]]&gt;=121)</x:f>
        <x:v>1</x:v>
      </x:c>
    </x:row>
    <x:row r="1043">
      <x:c r="A1043" s="236" t="str">
        <x:v>TRN-1042</x:v>
      </x:c>
      <x:c r="B1043" s="243"/>
      <x:c r="C1043" s="243"/>
      <x:c r="D1043" s="243"/>
      <x:c r="E1043" s="243"/>
      <x:c r="F1043" s="14" t="str">
        <x:v>Recruiter C</x:v>
      </x:c>
      <x:c r="G1043" s="14" t="str">
        <x:v>Training Center B</x:v>
      </x:c>
      <x:c r="H1043" s="28">
        <x:v>46056</x:v>
      </x:c>
      <x:c r="I1043" s="14">
        <x:v>2026</x:v>
      </x:c>
      <x:c r="J1043" s="14" t="s">
        <x:v>136</x:v>
      </x:c>
      <x:c r="K1043" s="14">
        <x:v>27</x:v>
      </x:c>
      <x:c r="L1043" s="29" t="s">
        <x:v>101</x:v>
      </x:c>
      <x:c r="M1043" s="28">
        <x:v>46056</x:v>
      </x:c>
      <x:c r="N1043" s="28">
        <x:v>46071</x:v>
      </x:c>
      <x:c r="O1043" s="14">
        <x:v>15</x:v>
      </x:c>
      <x:c r="P1043" s="14" t="s">
        <x:v>102</x:v>
      </x:c>
      <x:c r="Q1043" s="14" t="s">
        <x:v>103</x:v>
      </x:c>
      <x:c r="R1043" s="14" t="s">
        <x:v>104</x:v>
      </x:c>
      <x:c r="S1043" s="14" t="s">
        <x:v>105</x:v>
      </x:c>
      <x:c r="T1043" s="14"/>
      <x:c r="U1043" s="28"/>
      <x:c r="V1043" s="30"/>
      <x:c r="W1043" s="14"/>
      <x:c r="X1043" s="14" t="s">
        <x:v>71</x:v>
      </x:c>
      <x:c r="Y1043" s="32" t="str">
        <x:v>TRN-1042|20260203</x:v>
      </x:c>
      <x:c r="Z1043" s="32" t="str" cm="1">
        <x:f t="array" ref="Z1043">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1043" s="33" t="n">
        <x:f>--OR(WorkforceData[[#This Row],[Status]]="Active",WorkforceData[[#This Row],[Promoted]]="Yes",WorkforceData[[#This Row],[Total Days Worked]]&gt;=121)</x:f>
        <x:v>0</x:v>
      </x:c>
      <x:c r="AB1043" s="33" t="n">
        <x:f>IF(AND(Q1043="Terminated",R1043="",O1043=0),1,0)</x:f>
        <x:v>0</x:v>
      </x:c>
      <x:c r="AC1043" s="33" t="n">
        <x:f>--OR(WorkforceData[[#This Row],[Status]]="Resigned",WorkforceData[[#This Row],[Status After Training]]="Withdrew")</x:f>
        <x:v>1</x:v>
      </x:c>
      <x:c r="AD1043" s="34" t="n">
        <x:f>EOMONTH(WorkforceData[[#This Row],[Training Date]],0)</x:f>
        <x:v>46081</x:v>
      </x:c>
      <x:c r="AE1043" s="32" t="str">
        <x:f>IF(M1043&lt;H1043,"Existing Employee",IF(U1043="","No Assignment",IF(V1043=0,"0 Days",IF(V1043&lt;=7,"1-7 Days",IF(V1043&lt;=14,"8-14 Days",IF(V1043&lt;=21,"15-21 Days","21+ Days"))))))</x:f>
        <x:v>No Assignment</x:v>
      </x:c>
      <x:c r="AF1043"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8-30 Days</x:v>
      </x:c>
      <x:c r="AG1043" s="33" t="n">
        <x:f>--(WorkforceData[[#This Row],[Total Days Worked]]&gt;=121)</x:f>
        <x:v>0</x:v>
      </x:c>
    </x:row>
    <x:row r="1044">
      <x:c r="A1044" s="236" t="str">
        <x:v>TRN-1043</x:v>
      </x:c>
      <x:c r="B1044" s="243"/>
      <x:c r="C1044" s="243"/>
      <x:c r="D1044" s="243"/>
      <x:c r="E1044" s="243"/>
      <x:c r="F1044" s="14" t="str">
        <x:v>Recruiter H</x:v>
      </x:c>
      <x:c r="G1044" s="14" t="str">
        <x:v>Training Center B</x:v>
      </x:c>
      <x:c r="H1044" s="28">
        <x:v>45378</x:v>
      </x:c>
      <x:c r="I1044" s="14">
        <x:v>2024</x:v>
      </x:c>
      <x:c r="J1044" s="14" t="s">
        <x:v>130</x:v>
      </x:c>
      <x:c r="K1044" s="14">
        <x:v>8</x:v>
      </x:c>
      <x:c r="L1044" s="29" t="s">
        <x:v>132</x:v>
      </x:c>
      <x:c r="M1044" s="28">
        <x:v>45373</x:v>
      </x:c>
      <x:c r="N1044" s="28">
        <x:v>45374</x:v>
      </x:c>
      <x:c r="O1044" s="14">
        <x:v>1</x:v>
      </x:c>
      <x:c r="P1044" s="14" t="s">
        <x:v>102</x:v>
      </x:c>
      <x:c r="Q1044" s="14" t="s">
        <x:v>103</x:v>
      </x:c>
      <x:c r="R1044" s="14" t="s">
        <x:v>104</x:v>
      </x:c>
      <x:c r="S1044" s="14" t="s">
        <x:v>105</x:v>
      </x:c>
      <x:c r="T1044" s="14"/>
      <x:c r="U1044" s="28"/>
      <x:c r="V1044" s="30"/>
      <x:c r="W1044" s="14"/>
      <x:c r="X1044" s="14" t="s">
        <x:v>71</x:v>
      </x:c>
      <x:c r="Y1044" s="32" t="str">
        <x:v>TRN-1043|20240327</x:v>
      </x:c>
      <x:c r="Z1044" s="32" t="str" cm="1">
        <x:f t="array" ref="Z1044">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1044" s="33" t="n">
        <x:f>--OR(WorkforceData[[#This Row],[Status]]="Active",WorkforceData[[#This Row],[Promoted]]="Yes",WorkforceData[[#This Row],[Total Days Worked]]&gt;=121)</x:f>
        <x:v>0</x:v>
      </x:c>
      <x:c r="AB1044" s="33" t="n">
        <x:f>IF(AND(Q1044="Terminated",R1044="",O1044=0),1,0)</x:f>
        <x:v>0</x:v>
      </x:c>
      <x:c r="AC1044" s="33" t="n">
        <x:f>--OR(WorkforceData[[#This Row],[Status]]="Resigned",WorkforceData[[#This Row],[Status After Training]]="Withdrew")</x:f>
        <x:v>1</x:v>
      </x:c>
      <x:c r="AD1044" s="34" t="n">
        <x:f>EOMONTH(WorkforceData[[#This Row],[Training Date]],0)</x:f>
        <x:v>45382</x:v>
      </x:c>
      <x:c r="AE1044" s="32" t="str">
        <x:f>IF(M1044&lt;H1044,"Existing Employee",IF(U1044="","No Assignment",IF(V1044=0,"0 Days",IF(V1044&lt;=7,"1-7 Days",IF(V1044&lt;=14,"8-14 Days",IF(V1044&lt;=21,"15-21 Days","21+ Days"))))))</x:f>
        <x:v>Existing Employee</x:v>
      </x:c>
      <x:c r="AF1044"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1-7 Days</x:v>
      </x:c>
      <x:c r="AG1044" s="33" t="n">
        <x:f>--(WorkforceData[[#This Row],[Total Days Worked]]&gt;=121)</x:f>
        <x:v>0</x:v>
      </x:c>
    </x:row>
    <x:row r="1045">
      <x:c r="A1045" s="236" t="str">
        <x:v>TRN-1044</x:v>
      </x:c>
      <x:c r="B1045" s="243"/>
      <x:c r="C1045" s="243"/>
      <x:c r="D1045" s="243"/>
      <x:c r="E1045" s="243"/>
      <x:c r="F1045" s="14" t="str">
        <x:v>Recruiter H</x:v>
      </x:c>
      <x:c r="G1045" s="14" t="str">
        <x:v>Training Center B</x:v>
      </x:c>
      <x:c r="H1045" s="28">
        <x:v>45378</x:v>
      </x:c>
      <x:c r="I1045" s="14">
        <x:v>2024</x:v>
      </x:c>
      <x:c r="J1045" s="14" t="s">
        <x:v>130</x:v>
      </x:c>
      <x:c r="K1045" s="14">
        <x:v>8</x:v>
      </x:c>
      <x:c r="L1045" s="29" t="s">
        <x:v>132</x:v>
      </x:c>
      <x:c r="M1045" s="28">
        <x:v>45371</x:v>
      </x:c>
      <x:c r="N1045" s="14"/>
      <x:c r="O1045" s="14">
        <x:v>880</x:v>
      </x:c>
      <x:c r="P1045" s="14" t="s">
        <x:v>122</x:v>
      </x:c>
      <x:c r="Q1045" s="14" t="s">
        <x:v>25</x:v>
      </x:c>
      <x:c r="R1045" s="14"/>
      <x:c r="S1045" s="14" t="s">
        <x:v>108</x:v>
      </x:c>
      <x:c r="T1045" s="14" t="str">
        <x:v>Region B</x:v>
      </x:c>
      <x:c r="U1045" s="28">
        <x:v>45381</x:v>
      </x:c>
      <x:c r="V1045" s="30">
        <x:v>3</x:v>
      </x:c>
      <x:c r="W1045" s="14" t="s">
        <x:v>109</x:v>
      </x:c>
      <x:c r="X1045" s="14" t="s">
        <x:v>106</x:v>
      </x:c>
      <x:c r="Y1045" s="32" t="str">
        <x:v>TRN-1044|20240327</x:v>
      </x:c>
      <x:c r="Z1045" s="32" t="str" cm="1">
        <x:f t="array" ref="Z1045">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045" s="33" t="n">
        <x:f>--OR(WorkforceData[[#This Row],[Status]]="Active",WorkforceData[[#This Row],[Promoted]]="Yes",WorkforceData[[#This Row],[Total Days Worked]]&gt;=121)</x:f>
        <x:v>1</x:v>
      </x:c>
      <x:c r="AB1045" s="33" t="n">
        <x:f>IF(AND(Q1045="Terminated",R1045="",O1045=0),1,0)</x:f>
        <x:v>0</x:v>
      </x:c>
      <x:c r="AC1045" s="33" t="n">
        <x:f>--OR(WorkforceData[[#This Row],[Status]]="Resigned",WorkforceData[[#This Row],[Status After Training]]="Withdrew")</x:f>
        <x:v>0</x:v>
      </x:c>
      <x:c r="AD1045" s="34" t="n">
        <x:f>EOMONTH(WorkforceData[[#This Row],[Training Date]],0)</x:f>
        <x:v>45382</x:v>
      </x:c>
      <x:c r="AE1045" s="32" t="str">
        <x:f>IF(M1045&lt;H1045,"Existing Employee",IF(U1045="","No Assignment",IF(V1045=0,"0 Days",IF(V1045&lt;=7,"1-7 Days",IF(V1045&lt;=14,"8-14 Days",IF(V1045&lt;=21,"15-21 Days","21+ Days"))))))</x:f>
        <x:v>Existing Employee</x:v>
      </x:c>
      <x:c r="AF1045"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045" s="33" t="n">
        <x:f>--(WorkforceData[[#This Row],[Total Days Worked]]&gt;=121)</x:f>
        <x:v>1</x:v>
      </x:c>
    </x:row>
    <x:row r="1046">
      <x:c r="A1046" s="236" t="str">
        <x:v>TRN-1045</x:v>
      </x:c>
      <x:c r="B1046" s="243"/>
      <x:c r="C1046" s="243"/>
      <x:c r="D1046" s="243"/>
      <x:c r="E1046" s="243"/>
      <x:c r="F1046" s="14" t="str">
        <x:v>Recruiter G</x:v>
      </x:c>
      <x:c r="G1046" s="14" t="str">
        <x:v>Training Center B</x:v>
      </x:c>
      <x:c r="H1046" s="28">
        <x:v>45378</x:v>
      </x:c>
      <x:c r="I1046" s="14">
        <x:v>2024</x:v>
      </x:c>
      <x:c r="J1046" s="14" t="s">
        <x:v>130</x:v>
      </x:c>
      <x:c r="K1046" s="14">
        <x:v>8</x:v>
      </x:c>
      <x:c r="L1046" s="29" t="s">
        <x:v>132</x:v>
      </x:c>
      <x:c r="M1046" s="28">
        <x:v>45376</x:v>
      </x:c>
      <x:c r="N1046" s="14"/>
      <x:c r="O1046" s="14">
        <x:v>875</x:v>
      </x:c>
      <x:c r="P1046" s="14" t="s">
        <x:v>122</x:v>
      </x:c>
      <x:c r="Q1046" s="14" t="s">
        <x:v>25</x:v>
      </x:c>
      <x:c r="R1046" s="14"/>
      <x:c r="S1046" s="14" t="s">
        <x:v>108</x:v>
      </x:c>
      <x:c r="T1046" s="14" t="str">
        <x:v>Region D</x:v>
      </x:c>
      <x:c r="U1046" s="28">
        <x:v>45400</x:v>
      </x:c>
      <x:c r="V1046" s="30">
        <x:v>22</x:v>
      </x:c>
      <x:c r="W1046" s="14" t="s">
        <x:v>112</x:v>
      </x:c>
      <x:c r="X1046" s="14" t="s">
        <x:v>106</x:v>
      </x:c>
      <x:c r="Y1046" s="32" t="str">
        <x:v>TRN-1045|20240327</x:v>
      </x:c>
      <x:c r="Z1046" s="32" t="str" cm="1">
        <x:f t="array" ref="Z1046">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046" s="33" t="n">
        <x:f>--OR(WorkforceData[[#This Row],[Status]]="Active",WorkforceData[[#This Row],[Promoted]]="Yes",WorkforceData[[#This Row],[Total Days Worked]]&gt;=121)</x:f>
        <x:v>1</x:v>
      </x:c>
      <x:c r="AB1046" s="33" t="n">
        <x:f>IF(AND(Q1046="Terminated",R1046="",O1046=0),1,0)</x:f>
        <x:v>0</x:v>
      </x:c>
      <x:c r="AC1046" s="33" t="n">
        <x:f>--OR(WorkforceData[[#This Row],[Status]]="Resigned",WorkforceData[[#This Row],[Status After Training]]="Withdrew")</x:f>
        <x:v>0</x:v>
      </x:c>
      <x:c r="AD1046" s="34" t="n">
        <x:f>EOMONTH(WorkforceData[[#This Row],[Training Date]],0)</x:f>
        <x:v>45382</x:v>
      </x:c>
      <x:c r="AE1046" s="32" t="str">
        <x:f>IF(M1046&lt;H1046,"Existing Employee",IF(U1046="","No Assignment",IF(V1046=0,"0 Days",IF(V1046&lt;=7,"1-7 Days",IF(V1046&lt;=14,"8-14 Days",IF(V1046&lt;=21,"15-21 Days","21+ Days"))))))</x:f>
        <x:v>Existing Employee</x:v>
      </x:c>
      <x:c r="AF1046"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046" s="33" t="n">
        <x:f>--(WorkforceData[[#This Row],[Total Days Worked]]&gt;=121)</x:f>
        <x:v>1</x:v>
      </x:c>
    </x:row>
    <x:row r="1047">
      <x:c r="A1047" s="236" t="str">
        <x:v>TRN-1046</x:v>
      </x:c>
      <x:c r="B1047" s="243"/>
      <x:c r="C1047" s="243"/>
      <x:c r="D1047" s="243"/>
      <x:c r="E1047" s="243"/>
      <x:c r="F1047" s="14" t="str">
        <x:v>Recruiter E</x:v>
      </x:c>
      <x:c r="G1047" s="14" t="str">
        <x:v>Training Center B</x:v>
      </x:c>
      <x:c r="H1047" s="28">
        <x:v>45378</x:v>
      </x:c>
      <x:c r="I1047" s="14">
        <x:v>2024</x:v>
      </x:c>
      <x:c r="J1047" s="14" t="s">
        <x:v>130</x:v>
      </x:c>
      <x:c r="K1047" s="14">
        <x:v>8</x:v>
      </x:c>
      <x:c r="L1047" s="29" t="s">
        <x:v>132</x:v>
      </x:c>
      <x:c r="M1047" s="28">
        <x:v>45378</x:v>
      </x:c>
      <x:c r="N1047" s="14"/>
      <x:c r="O1047" s="14">
        <x:v>873</x:v>
      </x:c>
      <x:c r="P1047" s="14" t="s">
        <x:v>122</x:v>
      </x:c>
      <x:c r="Q1047" s="14" t="s">
        <x:v>38</x:v>
      </x:c>
      <x:c r="R1047" s="14"/>
      <x:c r="S1047" s="14" t="s">
        <x:v>108</x:v>
      </x:c>
      <x:c r="T1047" s="14" t="str">
        <x:v>Region C</x:v>
      </x:c>
      <x:c r="U1047" s="28">
        <x:v>45391</x:v>
      </x:c>
      <x:c r="V1047" s="30">
        <x:v>13</x:v>
      </x:c>
      <x:c r="W1047" s="14" t="s">
        <x:v>45</x:v>
      </x:c>
      <x:c r="X1047" s="14" t="s">
        <x:v>106</x:v>
      </x:c>
      <x:c r="Y1047" s="32" t="str">
        <x:v>TRN-1046|20240327</x:v>
      </x:c>
      <x:c r="Z1047" s="32" t="str" cm="1">
        <x:f t="array" ref="Z1047">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047" s="33" t="n">
        <x:f>--OR(WorkforceData[[#This Row],[Status]]="Active",WorkforceData[[#This Row],[Promoted]]="Yes",WorkforceData[[#This Row],[Total Days Worked]]&gt;=121)</x:f>
        <x:v>1</x:v>
      </x:c>
      <x:c r="AB1047" s="33" t="n">
        <x:f>IF(AND(Q1047="Terminated",R1047="",O1047=0),1,0)</x:f>
        <x:v>0</x:v>
      </x:c>
      <x:c r="AC1047" s="33" t="n">
        <x:f>--OR(WorkforceData[[#This Row],[Status]]="Resigned",WorkforceData[[#This Row],[Status After Training]]="Withdrew")</x:f>
        <x:v>0</x:v>
      </x:c>
      <x:c r="AD1047" s="34" t="n">
        <x:f>EOMONTH(WorkforceData[[#This Row],[Training Date]],0)</x:f>
        <x:v>45382</x:v>
      </x:c>
      <x:c r="AE1047" s="32" t="str">
        <x:f>IF(M1047&lt;H1047,"Existing Employee",IF(U1047="","No Assignment",IF(V1047=0,"0 Days",IF(V1047&lt;=7,"1-7 Days",IF(V1047&lt;=14,"8-14 Days",IF(V1047&lt;=21,"15-21 Days","21+ Days"))))))</x:f>
        <x:v>8-14 Days</x:v>
      </x:c>
      <x:c r="AF1047"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047" s="33" t="n">
        <x:f>--(WorkforceData[[#This Row],[Total Days Worked]]&gt;=121)</x:f>
        <x:v>1</x:v>
      </x:c>
    </x:row>
    <x:row r="1048">
      <x:c r="A1048" s="236" t="str">
        <x:v>TRN-1047</x:v>
      </x:c>
      <x:c r="B1048" s="243"/>
      <x:c r="C1048" s="243"/>
      <x:c r="D1048" s="243"/>
      <x:c r="E1048" s="243"/>
      <x:c r="F1048" s="14" t="str">
        <x:v>Recruiter A</x:v>
      </x:c>
      <x:c r="G1048" s="14" t="str">
        <x:v>Training Center B</x:v>
      </x:c>
      <x:c r="H1048" s="28">
        <x:v>45378</x:v>
      </x:c>
      <x:c r="I1048" s="14">
        <x:v>2024</x:v>
      </x:c>
      <x:c r="J1048" s="14" t="s">
        <x:v>130</x:v>
      </x:c>
      <x:c r="K1048" s="14">
        <x:v>8</x:v>
      </x:c>
      <x:c r="L1048" s="29" t="s">
        <x:v>132</x:v>
      </x:c>
      <x:c r="M1048" s="28">
        <x:v>45377</x:v>
      </x:c>
      <x:c r="N1048" s="28">
        <x:v>45467</x:v>
      </x:c>
      <x:c r="O1048" s="14">
        <x:v>90</x:v>
      </x:c>
      <x:c r="P1048" s="14" t="s">
        <x:v>110</x:v>
      </x:c>
      <x:c r="Q1048" s="14" t="s">
        <x:v>103</x:v>
      </x:c>
      <x:c r="R1048" s="14" t="s">
        <x:v>111</x:v>
      </x:c>
      <x:c r="S1048" s="14" t="s">
        <x:v>105</x:v>
      </x:c>
      <x:c r="T1048" s="14" t="str">
        <x:v>Region D</x:v>
      </x:c>
      <x:c r="U1048" s="28">
        <x:v>45394</x:v>
      </x:c>
      <x:c r="V1048" s="30">
        <x:v>16</x:v>
      </x:c>
      <x:c r="W1048" s="14" t="s">
        <x:v>112</x:v>
      </x:c>
      <x:c r="X1048" s="14" t="s">
        <x:v>106</x:v>
      </x:c>
      <x:c r="Y1048" s="32" t="str">
        <x:v>TRN-1047|20240327</x:v>
      </x:c>
      <x:c r="Z1048" s="32" t="str" cm="1">
        <x:f t="array" ref="Z1048">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Voluntary Exit</x:v>
      </x:c>
      <x:c r="AA1048" s="33" t="n">
        <x:f>--OR(WorkforceData[[#This Row],[Status]]="Active",WorkforceData[[#This Row],[Promoted]]="Yes",WorkforceData[[#This Row],[Total Days Worked]]&gt;=121)</x:f>
        <x:v>0</x:v>
      </x:c>
      <x:c r="AB1048" s="33" t="n">
        <x:f>IF(AND(Q1048="Terminated",R1048="",O1048=0),1,0)</x:f>
        <x:v>0</x:v>
      </x:c>
      <x:c r="AC1048" s="33" t="n">
        <x:f>--OR(WorkforceData[[#This Row],[Status]]="Resigned",WorkforceData[[#This Row],[Status After Training]]="Withdrew")</x:f>
        <x:v>1</x:v>
      </x:c>
      <x:c r="AD1048" s="34" t="n">
        <x:f>EOMONTH(WorkforceData[[#This Row],[Training Date]],0)</x:f>
        <x:v>45382</x:v>
      </x:c>
      <x:c r="AE1048" s="32" t="str">
        <x:f>IF(M1048&lt;H1048,"Existing Employee",IF(U1048="","No Assignment",IF(V1048=0,"0 Days",IF(V1048&lt;=7,"1-7 Days",IF(V1048&lt;=14,"8-14 Days",IF(V1048&lt;=21,"15-21 Days","21+ Days"))))))</x:f>
        <x:v>Existing Employee</x:v>
      </x:c>
      <x:c r="AF1048"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61-90 Days</x:v>
      </x:c>
      <x:c r="AG1048" s="33" t="n">
        <x:f>--(WorkforceData[[#This Row],[Total Days Worked]]&gt;=121)</x:f>
        <x:v>0</x:v>
      </x:c>
    </x:row>
    <x:row r="1049">
      <x:c r="A1049" s="236" t="str">
        <x:v>TRN-1048</x:v>
      </x:c>
      <x:c r="B1049" s="243"/>
      <x:c r="C1049" s="243"/>
      <x:c r="D1049" s="243"/>
      <x:c r="E1049" s="243"/>
      <x:c r="F1049" s="14" t="str">
        <x:v>Recruiter G</x:v>
      </x:c>
      <x:c r="G1049" s="14" t="str">
        <x:v>Training Center B</x:v>
      </x:c>
      <x:c r="H1049" s="28">
        <x:v>45378</x:v>
      </x:c>
      <x:c r="I1049" s="14">
        <x:v>2024</x:v>
      </x:c>
      <x:c r="J1049" s="14" t="s">
        <x:v>130</x:v>
      </x:c>
      <x:c r="K1049" s="14">
        <x:v>8</x:v>
      </x:c>
      <x:c r="L1049" s="29" t="s">
        <x:v>132</x:v>
      </x:c>
      <x:c r="M1049" s="28">
        <x:v>45371</x:v>
      </x:c>
      <x:c r="N1049" s="14"/>
      <x:c r="O1049" s="14">
        <x:v>880</x:v>
      </x:c>
      <x:c r="P1049" s="14" t="s">
        <x:v>122</x:v>
      </x:c>
      <x:c r="Q1049" s="14" t="s">
        <x:v>25</x:v>
      </x:c>
      <x:c r="R1049" s="14"/>
      <x:c r="S1049" s="14" t="s">
        <x:v>108</x:v>
      </x:c>
      <x:c r="T1049" s="14" t="str">
        <x:v>Region B</x:v>
      </x:c>
      <x:c r="U1049" s="28">
        <x:v>45401</x:v>
      </x:c>
      <x:c r="V1049" s="30">
        <x:v>23</x:v>
      </x:c>
      <x:c r="W1049" s="14" t="s">
        <x:v>112</x:v>
      </x:c>
      <x:c r="X1049" s="14" t="s">
        <x:v>106</x:v>
      </x:c>
      <x:c r="Y1049" s="32" t="str">
        <x:v>TRN-1048|20240327</x:v>
      </x:c>
      <x:c r="Z1049" s="32" t="str" cm="1">
        <x:f t="array" ref="Z1049">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049" s="33" t="n">
        <x:f>--OR(WorkforceData[[#This Row],[Status]]="Active",WorkforceData[[#This Row],[Promoted]]="Yes",WorkforceData[[#This Row],[Total Days Worked]]&gt;=121)</x:f>
        <x:v>1</x:v>
      </x:c>
      <x:c r="AB1049" s="33" t="n">
        <x:f>IF(AND(Q1049="Terminated",R1049="",O1049=0),1,0)</x:f>
        <x:v>0</x:v>
      </x:c>
      <x:c r="AC1049" s="33" t="n">
        <x:f>--OR(WorkforceData[[#This Row],[Status]]="Resigned",WorkforceData[[#This Row],[Status After Training]]="Withdrew")</x:f>
        <x:v>0</x:v>
      </x:c>
      <x:c r="AD1049" s="34" t="n">
        <x:f>EOMONTH(WorkforceData[[#This Row],[Training Date]],0)</x:f>
        <x:v>45382</x:v>
      </x:c>
      <x:c r="AE1049" s="32" t="str">
        <x:f>IF(M1049&lt;H1049,"Existing Employee",IF(U1049="","No Assignment",IF(V1049=0,"0 Days",IF(V1049&lt;=7,"1-7 Days",IF(V1049&lt;=14,"8-14 Days",IF(V1049&lt;=21,"15-21 Days","21+ Days"))))))</x:f>
        <x:v>Existing Employee</x:v>
      </x:c>
      <x:c r="AF1049"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049" s="33" t="n">
        <x:f>--(WorkforceData[[#This Row],[Total Days Worked]]&gt;=121)</x:f>
        <x:v>1</x:v>
      </x:c>
    </x:row>
    <x:row r="1050">
      <x:c r="A1050" s="236" t="str">
        <x:v>TRN-1049</x:v>
      </x:c>
      <x:c r="B1050" s="243"/>
      <x:c r="C1050" s="243"/>
      <x:c r="D1050" s="243"/>
      <x:c r="E1050" s="243"/>
      <x:c r="F1050" s="14" t="str">
        <x:v>Recruiter F</x:v>
      </x:c>
      <x:c r="G1050" s="14" t="str">
        <x:v>Training Center B</x:v>
      </x:c>
      <x:c r="H1050" s="28">
        <x:v>45378</x:v>
      </x:c>
      <x:c r="I1050" s="14">
        <x:v>2024</x:v>
      </x:c>
      <x:c r="J1050" s="14" t="s">
        <x:v>130</x:v>
      </x:c>
      <x:c r="K1050" s="14">
        <x:v>8</x:v>
      </x:c>
      <x:c r="L1050" s="29" t="s">
        <x:v>132</x:v>
      </x:c>
      <x:c r="M1050" s="28">
        <x:v>45378</x:v>
      </x:c>
      <x:c r="N1050" s="14"/>
      <x:c r="O1050" s="14">
        <x:v>873</x:v>
      </x:c>
      <x:c r="P1050" s="14" t="s">
        <x:v>122</x:v>
      </x:c>
      <x:c r="Q1050" s="14" t="s">
        <x:v>25</x:v>
      </x:c>
      <x:c r="R1050" s="14"/>
      <x:c r="S1050" s="14" t="s">
        <x:v>108</x:v>
      </x:c>
      <x:c r="T1050" s="14" t="str">
        <x:v>Region B</x:v>
      </x:c>
      <x:c r="U1050" s="28">
        <x:v>45430</x:v>
      </x:c>
      <x:c r="V1050" s="30">
        <x:v>52</x:v>
      </x:c>
      <x:c r="W1050" s="14" t="s">
        <x:v>63</x:v>
      </x:c>
      <x:c r="X1050" s="14" t="s">
        <x:v>117</x:v>
      </x:c>
      <x:c r="Y1050" s="32" t="str">
        <x:v>TRN-1049|20240327</x:v>
      </x:c>
      <x:c r="Z1050" s="32" t="str" cm="1">
        <x:f t="array" ref="Z1050">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DNP</x:v>
      </x:c>
      <x:c r="AA1050" s="33" t="n">
        <x:f>--OR(WorkforceData[[#This Row],[Status]]="Active",WorkforceData[[#This Row],[Promoted]]="Yes",WorkforceData[[#This Row],[Total Days Worked]]&gt;=121)</x:f>
        <x:v>1</x:v>
      </x:c>
      <x:c r="AB1050" s="33" t="n">
        <x:f>IF(AND(Q1050="Terminated",R1050="",O1050=0),1,0)</x:f>
        <x:v>0</x:v>
      </x:c>
      <x:c r="AC1050" s="33" t="n">
        <x:f>--OR(WorkforceData[[#This Row],[Status]]="Resigned",WorkforceData[[#This Row],[Status After Training]]="Withdrew")</x:f>
        <x:v>0</x:v>
      </x:c>
      <x:c r="AD1050" s="34" t="n">
        <x:f>EOMONTH(WorkforceData[[#This Row],[Training Date]],0)</x:f>
        <x:v>45382</x:v>
      </x:c>
      <x:c r="AE1050" s="32" t="str">
        <x:f>IF(M1050&lt;H1050,"Existing Employee",IF(U1050="","No Assignment",IF(V1050=0,"0 Days",IF(V1050&lt;=7,"1-7 Days",IF(V1050&lt;=14,"8-14 Days",IF(V1050&lt;=21,"15-21 Days","21+ Days"))))))</x:f>
        <x:v>21+ Days</x:v>
      </x:c>
      <x:c r="AF1050"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050" s="33" t="n">
        <x:f>--(WorkforceData[[#This Row],[Total Days Worked]]&gt;=121)</x:f>
        <x:v>1</x:v>
      </x:c>
    </x:row>
    <x:row r="1051">
      <x:c r="A1051" s="236" t="str">
        <x:v>TRN-1050</x:v>
      </x:c>
      <x:c r="B1051" s="243"/>
      <x:c r="C1051" s="243"/>
      <x:c r="D1051" s="243"/>
      <x:c r="E1051" s="243"/>
      <x:c r="F1051" s="14" t="str">
        <x:v>Recruiter F</x:v>
      </x:c>
      <x:c r="G1051" s="14" t="str">
        <x:v>Training Center B</x:v>
      </x:c>
      <x:c r="H1051" s="28">
        <x:v>45378</x:v>
      </x:c>
      <x:c r="I1051" s="14">
        <x:v>2024</x:v>
      </x:c>
      <x:c r="J1051" s="14" t="s">
        <x:v>130</x:v>
      </x:c>
      <x:c r="K1051" s="14">
        <x:v>8</x:v>
      </x:c>
      <x:c r="L1051" s="29" t="s">
        <x:v>132</x:v>
      </x:c>
      <x:c r="M1051" s="28">
        <x:v>45373</x:v>
      </x:c>
      <x:c r="N1051" s="28">
        <x:v>45562</x:v>
      </x:c>
      <x:c r="O1051" s="14">
        <x:v>189</x:v>
      </x:c>
      <x:c r="P1051" s="14" t="s">
        <x:v>107</x:v>
      </x:c>
      <x:c r="Q1051" s="14" t="s">
        <x:v>103</x:v>
      </x:c>
      <x:c r="R1051" s="14" t="s">
        <x:v>104</x:v>
      </x:c>
      <x:c r="S1051" s="14" t="s">
        <x:v>108</x:v>
      </x:c>
      <x:c r="T1051" s="14" t="str">
        <x:v>Region D</x:v>
      </x:c>
      <x:c r="U1051" s="28">
        <x:v>45380</x:v>
      </x:c>
      <x:c r="V1051" s="30">
        <x:v>2</x:v>
      </x:c>
      <x:c r="W1051" s="14" t="s">
        <x:v>109</x:v>
      </x:c>
      <x:c r="X1051" s="14" t="s">
        <x:v>106</x:v>
      </x:c>
      <x:c r="Y1051" s="32" t="str">
        <x:v>TRN-1050|20240327</x:v>
      </x:c>
      <x:c r="Z1051" s="32" t="str" cm="1">
        <x:f t="array" ref="Z1051">_xlfn.IFS(AND(WorkforceData[[#This Row],[Status]]="Terminated",WorkforceData[[#This Row],[Termination Reason]]="",WorkforceData[[#This Row],[Total Days Worked]]=0),"DNP",WorkforceData[[#This Row],[Status]]="Active","Active",WorkforceData[[#This Row],[Promoted]]="Yes","Promoted",WorkforceData[[#This Row],[Total Days Worked]]&gt;=121,"Complete",OR(WorkforceData[[#This Row],[Status]]="Resigned",WorkforceData[[#This Row],[Status After Training]]="Withdrew"),"Voluntary Exit",WorkforceData[[#This Row],[Status]]="Terminated","Terminated",WorkforceData[[#This Row],[Status]]="Leave of Absence","Leave of Absence",TRUE,"Other")</x:f>
        <x:v>Promoted</x:v>
      </x:c>
      <x:c r="AA1051" s="33" t="n">
        <x:f>--OR(WorkforceData[[#This Row],[Status]]="Active",WorkforceData[[#This Row],[Promoted]]="Yes",WorkforceData[[#This Row],[Total Days Worked]]&gt;=121)</x:f>
        <x:v>1</x:v>
      </x:c>
      <x:c r="AB1051" s="33" t="n">
        <x:f>IF(AND(Q1051="Terminated",R1051="",O1051=0),1,0)</x:f>
        <x:v>0</x:v>
      </x:c>
      <x:c r="AC1051" s="33" t="n">
        <x:f>--OR(WorkforceData[[#This Row],[Status]]="Resigned",WorkforceData[[#This Row],[Status After Training]]="Withdrew")</x:f>
        <x:v>1</x:v>
      </x:c>
      <x:c r="AD1051" s="34" t="n">
        <x:f>EOMONTH(WorkforceData[[#This Row],[Training Date]],0)</x:f>
        <x:v>45382</x:v>
      </x:c>
      <x:c r="AE1051" s="32" t="str">
        <x:f>IF(M1051&lt;H1051,"Existing Employee",IF(U1051="","No Assignment",IF(V1051=0,"0 Days",IF(V1051&lt;=7,"1-7 Days",IF(V1051&lt;=14,"8-14 Days",IF(V1051&lt;=21,"15-21 Days","21+ Days"))))))</x:f>
        <x:v>Existing Employee</x:v>
      </x:c>
      <x:c r="AF1051" s="32" t="str">
        <x:f>IF(WorkforceData[[#This Row],[Total Days Worked]]=0,"0 Days",IF(WorkforceData[[#This Row],[Total Days Worked]]&lt;=7,"1-7 Days",IF(WorkforceData[[#This Row],[Total Days Worked]]&lt;=30,"8-30 Days",IF(WorkforceData[[#This Row],[Total Days Worked]]&lt;=60,"31-60 Days",IF(WorkforceData[[#This Row],[Total Days Worked]]&lt;=90,"61-90 Days",IF(WorkforceData[[#This Row],[Total Days Worked]]&lt;=120,"91-120 Days","121+ Days"))))))</x:f>
        <x:v>121+ Days</x:v>
      </x:c>
      <x:c r="AG1051" s="33" t="n">
        <x:f>--(WorkforceData[[#This Row],[Total Days Worked]]&gt;=121)</x:f>
        <x:v>1</x:v>
      </x:c>
    </x:row>
  </x:sheetData>
  <x:conditionalFormatting sqref="A2:AG1051">
    <x:cfRule type="expression" dxfId="3" priority="1">
      <x:formula>MOD(ROW(),2)=0</x:formula>
    </x:cfRule>
  </x:conditionalFormatting>
  <x:pageMargins left="0.7" right="0.7" top="0.75" bottom="0.75" header="0.3" footer="0.3"/>
  <x:tableParts count="1">
    <x:tablePart xmlns:r="http://schemas.openxmlformats.org/officeDocument/2006/relationships" r:id="Rd64ce802961842ed"/>
  </x:tableParts>
</x:worksheet>
</file>

<file path=xl/worksheets/sheet9.xml><?xml version="1.0" encoding="utf-8"?>
<x:worksheet xmlns:x="http://schemas.openxmlformats.org/spreadsheetml/2006/main">
  <x:sheetFormatPr defaultRowHeight="14.5"/>
  <x:cols>
    <x:col min="1" max="8" width="15.453125" customWidth="1"/>
  </x:cols>
  <x:sheetData>
    <x:row r="1" ht="32" customHeight="1">
      <x:c r="A1" s="79" t="s">
        <x:v>137</x:v>
      </x:c>
      <x:c r="B1" s="79"/>
      <x:c r="C1" s="79"/>
      <x:c r="D1" s="79"/>
      <x:c r="E1" s="79"/>
      <x:c r="F1" s="79"/>
      <x:c r="G1" s="79"/>
      <x:c r="H1" s="79"/>
    </x:row>
    <x:row r="2">
      <x:c r="A2" s="81" t="s">
        <x:v>138</x:v>
      </x:c>
      <x:c r="B2" s="81"/>
      <x:c r="C2" s="81"/>
      <x:c r="D2" s="81"/>
      <x:c r="E2" s="81"/>
      <x:c r="F2" s="81"/>
      <x:c r="G2" s="81"/>
      <x:c r="H2" s="81"/>
    </x:row>
    <x:row r="3" ht="45" customHeight="1">
      <x:c r="A3" s="82" t="str">
        <x:v>The curve estimates the probability of remaining employed beyond each observed exit day. Employees without an end date remain in the risk set through the Aug. 2026 reporting snapshot rather than being treated as exits.</x:v>
      </x:c>
      <x:c r="B3" s="80"/>
      <x:c r="C3" s="80"/>
      <x:c r="D3" s="80"/>
      <x:c r="E3" s="80"/>
      <x:c r="F3" s="80"/>
      <x:c r="G3" s="80"/>
      <x:c r="H3" s="80"/>
    </x:row>
    <x:row r="5">
      <x:c r="A5" s="83" t="s">
        <x:v>139</x:v>
      </x:c>
      <x:c r="B5" s="83" t="s">
        <x:v>140</x:v>
      </x:c>
      <x:c r="C5" s="83" t="s">
        <x:v>141</x:v>
      </x:c>
      <x:c r="D5" s="83" t="s">
        <x:v>142</x:v>
      </x:c>
      <x:c r="F5" s="83" t="s">
        <x:v>143</x:v>
      </x:c>
      <x:c r="G5" s="83" t="s">
        <x:v>144</x:v>
      </x:c>
      <x:c r="H5" s="83" t="s">
        <x:v>140</x:v>
      </x:c>
    </x:row>
    <x:row r="6">
      <x:c r="A6" s="84">
        <x:v>0</x:v>
      </x:c>
      <x:c r="B6" s="85" t="n">
        <x:f>COUNTIF(WorkforceData[Total Days Worked],"&gt;="&amp;A6)</x:f>
        <x:v>1050</x:v>
      </x:c>
      <x:c r="C6" s="85" t="n">
        <x:f>COUNTIFS(WorkforceData[Total Days Worked],A6,WorkforceData[Employment End Date],"&lt;&gt;")</x:f>
        <x:v>0</x:v>
      </x:c>
      <x:c r="D6" s="86" t="n">
        <x:f>1-C6/B6</x:f>
        <x:v>1</x:v>
      </x:c>
      <x:c r="F6" s="84" t="s">
        <x:v>43</x:v>
      </x:c>
      <x:c r="G6" s="86" t="n">
        <x:f>LOOKUP(VALUE(LEFT(F6,FIND(" ",F6)-1)),$A$6:$A$234,$D$6:$D$234)</x:f>
        <x:v>1</x:v>
      </x:c>
      <x:c r="H6" s="85" t="n">
        <x:f>COUNTIF(WorkforceData[Total Days Worked],"&gt;="&amp;VALUE(LEFT(F6,FIND(" ",F6)-1)))</x:f>
        <x:v>1050</x:v>
      </x:c>
    </x:row>
    <x:row r="7">
      <x:c r="A7" s="84">
        <x:v>1</x:v>
      </x:c>
      <x:c r="B7" s="85" t="n">
        <x:f>COUNTIF(WorkforceData[Total Days Worked],"&gt;="&amp;A7)</x:f>
        <x:v>1050</x:v>
      </x:c>
      <x:c r="C7" s="85" t="n">
        <x:f>COUNTIFS(WorkforceData[Total Days Worked],A7,WorkforceData[Employment End Date],"&lt;&gt;")</x:f>
        <x:v>15</x:v>
      </x:c>
      <x:c r="D7" s="86" t="n">
        <x:f>D6*(1-C7/B7)</x:f>
        <x:v>0.9857142857142858</x:v>
      </x:c>
      <x:c r="F7" s="84" t="s">
        <x:v>145</x:v>
      </x:c>
      <x:c r="G7" s="86" t="n">
        <x:f>LOOKUP(VALUE(LEFT(F7,FIND(" ",F7)-1)),$A$6:$A$234,$D$6:$D$234)</x:f>
        <x:v>0.8646328543749618</x:v>
      </x:c>
      <x:c r="H7" s="85" t="n">
        <x:f>COUNTIF(WorkforceData[Total Days Worked],"&gt;="&amp;VALUE(LEFT(F7,FIND(" ",F7)-1)))</x:f>
        <x:v>907</x:v>
      </x:c>
    </x:row>
    <x:row r="8">
      <x:c r="A8" s="84">
        <x:v>2</x:v>
      </x:c>
      <x:c r="B8" s="85" t="n">
        <x:f>COUNTIF(WorkforceData[Total Days Worked],"&gt;="&amp;A8)</x:f>
        <x:v>1035</x:v>
      </x:c>
      <x:c r="C8" s="85" t="n">
        <x:f>COUNTIFS(WorkforceData[Total Days Worked],A8,WorkforceData[Employment End Date],"&lt;&gt;")</x:f>
        <x:v>6</x:v>
      </x:c>
      <x:c r="D8" s="86" t="n">
        <x:f>D7*(1-C8/B8)</x:f>
        <x:v>0.9800000000000001</x:v>
      </x:c>
      <x:c r="F8" s="84" t="s">
        <x:v>146</x:v>
      </x:c>
      <x:c r="G8" s="86" t="n">
        <x:f>LOOKUP(VALUE(LEFT(F8,FIND(" ",F8)-1)),$A$6:$A$234,$D$6:$D$234)</x:f>
        <x:v>0.7920736825398857</x:v>
      </x:c>
      <x:c r="H8" s="85" t="n">
        <x:f>COUNTIF(WorkforceData[Total Days Worked],"&gt;="&amp;VALUE(LEFT(F8,FIND(" ",F8)-1)))</x:f>
        <x:v>806</x:v>
      </x:c>
    </x:row>
    <x:row r="9">
      <x:c r="A9" s="84">
        <x:v>3</x:v>
      </x:c>
      <x:c r="B9" s="85" t="n">
        <x:f>COUNTIF(WorkforceData[Total Days Worked],"&gt;="&amp;A9)</x:f>
        <x:v>1029</x:v>
      </x:c>
      <x:c r="C9" s="85" t="n">
        <x:f>COUNTIFS(WorkforceData[Total Days Worked],A9,WorkforceData[Employment End Date],"&lt;&gt;")</x:f>
        <x:v>9</x:v>
      </x:c>
      <x:c r="D9" s="86" t="n">
        <x:f>D8*(1-C9/B9)</x:f>
        <x:v>0.9714285714285715</x:v>
      </x:c>
      <x:c r="F9" s="84" t="s">
        <x:v>147</x:v>
      </x:c>
      <x:c r="G9" s="86" t="n">
        <x:f>LOOKUP(VALUE(LEFT(F9,FIND(" ",F9)-1)),$A$6:$A$234,$D$6:$D$234)</x:f>
        <x:v>0.7446813889043001</x:v>
      </x:c>
      <x:c r="H9" s="85" t="n">
        <x:f>COUNTIF(WorkforceData[Total Days Worked],"&gt;="&amp;VALUE(LEFT(F9,FIND(" ",F9)-1)))</x:f>
        <x:v>772</x:v>
      </x:c>
    </x:row>
    <x:row r="10">
      <x:c r="A10" s="84">
        <x:v>4</x:v>
      </x:c>
      <x:c r="B10" s="85" t="n">
        <x:f>COUNTIF(WorkforceData[Total Days Worked],"&gt;="&amp;A10)</x:f>
        <x:v>1020</x:v>
      </x:c>
      <x:c r="C10" s="85" t="n">
        <x:f>COUNTIFS(WorkforceData[Total Days Worked],A10,WorkforceData[Employment End Date],"&lt;&gt;")</x:f>
        <x:v>2</x:v>
      </x:c>
      <x:c r="D10" s="86" t="n">
        <x:f>D9*(1-C10/B10)</x:f>
        <x:v>0.9695238095238097</x:v>
      </x:c>
      <x:c r="F10" s="84" t="s">
        <x:v>148</x:v>
      </x:c>
      <x:c r="G10" s="86" t="n">
        <x:f>LOOKUP(VALUE(LEFT(F10,FIND(" ",F10)-1)),$A$6:$A$234,$D$6:$D$234)</x:f>
        <x:v>0.6987196583741143</x:v>
      </x:c>
      <x:c r="H10" s="85" t="n">
        <x:f>COUNTIF(WorkforceData[Total Days Worked],"&gt;="&amp;VALUE(LEFT(F10,FIND(" ",F10)-1)))</x:f>
        <x:v>684</x:v>
      </x:c>
    </x:row>
    <x:row r="11">
      <x:c r="A11" s="84">
        <x:v>5</x:v>
      </x:c>
      <x:c r="B11" s="85" t="n">
        <x:f>COUNTIF(WorkforceData[Total Days Worked],"&gt;="&amp;A11)</x:f>
        <x:v>1018</x:v>
      </x:c>
      <x:c r="C11" s="85" t="n">
        <x:f>COUNTIFS(WorkforceData[Total Days Worked],A11,WorkforceData[Employment End Date],"&lt;&gt;")</x:f>
        <x:v>2</x:v>
      </x:c>
      <x:c r="D11" s="86" t="n">
        <x:f>D10*(1-C11/B11)</x:f>
        <x:v>0.9676190476190478</x:v>
      </x:c>
      <x:c r="F11" t="s">
        <x:v>149</x:v>
      </x:c>
      <x:c r="G11" s="1" t="n">
        <x:f>LOOKUP(VALUE(LEFT(F11,FIND(" ",F11)-1)),$A$6:$A$234,$D$6:$D$234)</x:f>
        <x:v>0.6361858186523993</x:v>
      </x:c>
      <x:c r="H11" s="85" t="n">
        <x:f>COUNTIF(WorkforceData[Total Days Worked],"&gt;="&amp;VALUE(LEFT(F11,FIND(" ",F11)-1)))</x:f>
        <x:v>586</x:v>
      </x:c>
    </x:row>
    <x:row r="12">
      <x:c r="A12" s="84">
        <x:v>6</x:v>
      </x:c>
      <x:c r="B12" s="85" t="n">
        <x:f>COUNTIF(WorkforceData[Total Days Worked],"&gt;="&amp;A12)</x:f>
        <x:v>1016</x:v>
      </x:c>
      <x:c r="C12" s="85" t="n">
        <x:f>COUNTIFS(WorkforceData[Total Days Worked],A12,WorkforceData[Employment End Date],"&lt;&gt;")</x:f>
        <x:v>10</x:v>
      </x:c>
      <x:c r="D12" s="86" t="n">
        <x:f>D11*(1-C12/B12)</x:f>
        <x:v>0.9580952380952383</x:v>
      </x:c>
      <x:c r="F12" t="s">
        <x:v>150</x:v>
      </x:c>
      <x:c r="G12" s="1" t="n">
        <x:f>LOOKUP(VALUE(LEFT(F12,FIND(" ",F12)-1)),$A$6:$A$234,$D$6:$D$234)</x:f>
        <x:v>0.5446686301133001</x:v>
      </x:c>
      <x:c r="H12" s="85" t="n">
        <x:f>COUNTIF(WorkforceData[Total Days Worked],"&gt;="&amp;VALUE(LEFT(F12,FIND(" ",F12)-1)))</x:f>
        <x:v>419</x:v>
      </x:c>
    </x:row>
    <x:row r="13">
      <x:c r="A13" s="84">
        <x:v>7</x:v>
      </x:c>
      <x:c r="B13" s="85" t="n">
        <x:f>COUNTIF(WorkforceData[Total Days Worked],"&gt;="&amp;A13)</x:f>
        <x:v>1006</x:v>
      </x:c>
      <x:c r="C13" s="85" t="n">
        <x:f>COUNTIFS(WorkforceData[Total Days Worked],A13,WorkforceData[Employment End Date],"&lt;&gt;")</x:f>
        <x:v>5</x:v>
      </x:c>
      <x:c r="D13" s="86" t="n">
        <x:f>D12*(1-C13/B13)</x:f>
        <x:v>0.9533333333333336</x:v>
      </x:c>
      <x:c r="F13" t="s">
        <x:v>151</x:v>
      </x:c>
      <x:c r="G13" s="1" t="n">
        <x:f>LOOKUP(VALUE(LEFT(F13,FIND(" ",F13)-1)),$A$6:$A$234,$D$6:$D$234)</x:f>
        <x:v>0.4697814265676579</x:v>
      </x:c>
      <x:c r="H13" s="85" t="n">
        <x:f>COUNTIF(WorkforceData[Total Days Worked],"&gt;="&amp;VALUE(LEFT(F13,FIND(" ",F13)-1)))</x:f>
        <x:v>207</x:v>
      </x:c>
    </x:row>
    <x:row r="14">
      <x:c r="A14" s="84">
        <x:v>8</x:v>
      </x:c>
      <x:c r="B14" s="85" t="n">
        <x:f>COUNTIF(WorkforceData[Total Days Worked],"&gt;="&amp;A14)</x:f>
        <x:v>1001</x:v>
      </x:c>
      <x:c r="C14" s="85" t="n">
        <x:f>COUNTIFS(WorkforceData[Total Days Worked],A14,WorkforceData[Employment End Date],"&lt;&gt;")</x:f>
        <x:v>3</x:v>
      </x:c>
      <x:c r="D14" s="86" t="n">
        <x:f>D13*(1-C14/B14)</x:f>
        <x:v>0.9504761904761907</x:v>
      </x:c>
    </x:row>
    <x:row r="15">
      <x:c r="A15" s="84">
        <x:v>9</x:v>
      </x:c>
      <x:c r="B15" s="85" t="n">
        <x:f>COUNTIF(WorkforceData[Total Days Worked],"&gt;="&amp;A15)</x:f>
        <x:v>998</x:v>
      </x:c>
      <x:c r="C15" s="85" t="n">
        <x:f>COUNTIFS(WorkforceData[Total Days Worked],A15,WorkforceData[Employment End Date],"&lt;&gt;")</x:f>
        <x:v>4</x:v>
      </x:c>
      <x:c r="D15" s="86" t="n">
        <x:f>D14*(1-C15/B15)</x:f>
        <x:v>0.9466666666666669</x:v>
      </x:c>
    </x:row>
    <x:row r="16">
      <x:c r="A16" s="84">
        <x:v>10</x:v>
      </x:c>
      <x:c r="B16" s="85" t="n">
        <x:f>COUNTIF(WorkforceData[Total Days Worked],"&gt;="&amp;A16)</x:f>
        <x:v>994</x:v>
      </x:c>
      <x:c r="C16" s="85" t="n">
        <x:f>COUNTIFS(WorkforceData[Total Days Worked],A16,WorkforceData[Employment End Date],"&lt;&gt;")</x:f>
        <x:v>5</x:v>
      </x:c>
      <x:c r="D16" s="86" t="n">
        <x:f>D15*(1-C16/B16)</x:f>
        <x:v>0.9419047619047621</x:v>
      </x:c>
    </x:row>
    <x:row r="17">
      <x:c r="A17" s="84">
        <x:v>11</x:v>
      </x:c>
      <x:c r="B17" s="85" t="n">
        <x:f>COUNTIF(WorkforceData[Total Days Worked],"&gt;="&amp;A17)</x:f>
        <x:v>989</x:v>
      </x:c>
      <x:c r="C17" s="85" t="n">
        <x:f>COUNTIFS(WorkforceData[Total Days Worked],A17,WorkforceData[Employment End Date],"&lt;&gt;")</x:f>
        <x:v>3</x:v>
      </x:c>
      <x:c r="D17" s="86" t="n">
        <x:f>D16*(1-C17/B17)</x:f>
        <x:v>0.9390476190476192</x:v>
      </x:c>
    </x:row>
    <x:row r="18">
      <x:c r="A18" s="84">
        <x:v>12</x:v>
      </x:c>
      <x:c r="B18" s="85" t="n">
        <x:f>COUNTIF(WorkforceData[Total Days Worked],"&gt;="&amp;A18)</x:f>
        <x:v>986</x:v>
      </x:c>
      <x:c r="C18" s="85" t="n">
        <x:f>COUNTIFS(WorkforceData[Total Days Worked],A18,WorkforceData[Employment End Date],"&lt;&gt;")</x:f>
        <x:v>4</x:v>
      </x:c>
      <x:c r="D18" s="86" t="n">
        <x:f>D17*(1-C18/B18)</x:f>
        <x:v>0.9352380952380954</x:v>
      </x:c>
    </x:row>
    <x:row r="19">
      <x:c r="A19" s="84">
        <x:v>13</x:v>
      </x:c>
      <x:c r="B19" s="85" t="n">
        <x:f>COUNTIF(WorkforceData[Total Days Worked],"&gt;="&amp;A19)</x:f>
        <x:v>982</x:v>
      </x:c>
      <x:c r="C19" s="85" t="n">
        <x:f>COUNTIFS(WorkforceData[Total Days Worked],A19,WorkforceData[Employment End Date],"&lt;&gt;")</x:f>
        <x:v>5</x:v>
      </x:c>
      <x:c r="D19" s="86" t="n">
        <x:f>D18*(1-C19/B19)</x:f>
        <x:v>0.9304761904761907</x:v>
      </x:c>
    </x:row>
    <x:row r="20">
      <x:c r="A20" s="84">
        <x:v>14</x:v>
      </x:c>
      <x:c r="B20" s="85" t="n">
        <x:f>COUNTIF(WorkforceData[Total Days Worked],"&gt;="&amp;A20)</x:f>
        <x:v>977</x:v>
      </x:c>
      <x:c r="C20" s="85" t="n">
        <x:f>COUNTIFS(WorkforceData[Total Days Worked],A20,WorkforceData[Employment End Date],"&lt;&gt;")</x:f>
        <x:v>3</x:v>
      </x:c>
      <x:c r="D20" s="86" t="n">
        <x:f>D19*(1-C20/B20)</x:f>
        <x:v>0.9276190476190478</x:v>
      </x:c>
    </x:row>
    <x:row r="21">
      <x:c r="A21" s="84">
        <x:v>15</x:v>
      </x:c>
      <x:c r="B21" s="85" t="n">
        <x:f>COUNTIF(WorkforceData[Total Days Worked],"&gt;="&amp;A21)</x:f>
        <x:v>974</x:v>
      </x:c>
      <x:c r="C21" s="85" t="n">
        <x:f>COUNTIFS(WorkforceData[Total Days Worked],A21,WorkforceData[Employment End Date],"&lt;&gt;")</x:f>
        <x:v>5</x:v>
      </x:c>
      <x:c r="D21" s="86" t="n">
        <x:f>D20*(1-C21/B21)</x:f>
        <x:v>0.9228571428571429</x:v>
      </x:c>
    </x:row>
    <x:row r="22">
      <x:c r="A22" s="84">
        <x:v>16</x:v>
      </x:c>
      <x:c r="B22" s="85" t="n">
        <x:f>COUNTIF(WorkforceData[Total Days Worked],"&gt;="&amp;A22)</x:f>
        <x:v>969</x:v>
      </x:c>
      <x:c r="C22" s="85" t="n">
        <x:f>COUNTIFS(WorkforceData[Total Days Worked],A22,WorkforceData[Employment End Date],"&lt;&gt;")</x:f>
        <x:v>4</x:v>
      </x:c>
      <x:c r="D22" s="86" t="n">
        <x:f>D21*(1-C22/B22)</x:f>
        <x:v>0.9190476190476191</x:v>
      </x:c>
    </x:row>
    <x:row r="23">
      <x:c r="A23" s="84">
        <x:v>17</x:v>
      </x:c>
      <x:c r="B23" s="85" t="n">
        <x:f>COUNTIF(WorkforceData[Total Days Worked],"&gt;="&amp;A23)</x:f>
        <x:v>965</x:v>
      </x:c>
      <x:c r="C23" s="85" t="n">
        <x:f>COUNTIFS(WorkforceData[Total Days Worked],A23,WorkforceData[Employment End Date],"&lt;&gt;")</x:f>
        <x:v>10</x:v>
      </x:c>
      <x:c r="D23" s="86" t="n">
        <x:f>D22*(1-C23/B23)</x:f>
        <x:v>0.9095238095238095</x:v>
      </x:c>
    </x:row>
    <x:row r="24">
      <x:c r="A24" s="84">
        <x:v>18</x:v>
      </x:c>
      <x:c r="B24" s="85" t="n">
        <x:f>COUNTIF(WorkforceData[Total Days Worked],"&gt;="&amp;A24)</x:f>
        <x:v>955</x:v>
      </x:c>
      <x:c r="C24" s="85" t="n">
        <x:f>COUNTIFS(WorkforceData[Total Days Worked],A24,WorkforceData[Employment End Date],"&lt;&gt;")</x:f>
        <x:v>3</x:v>
      </x:c>
      <x:c r="D24" s="86" t="n">
        <x:f>D23*(1-C24/B24)</x:f>
        <x:v>0.9066666666666666</x:v>
      </x:c>
    </x:row>
    <x:row r="25">
      <x:c r="A25" s="84">
        <x:v>19</x:v>
      </x:c>
      <x:c r="B25" s="85" t="n">
        <x:f>COUNTIF(WorkforceData[Total Days Worked],"&gt;="&amp;A25)</x:f>
        <x:v>952</x:v>
      </x:c>
      <x:c r="C25" s="85" t="n">
        <x:f>COUNTIFS(WorkforceData[Total Days Worked],A25,WorkforceData[Employment End Date],"&lt;&gt;")</x:f>
        <x:v>3</x:v>
      </x:c>
      <x:c r="D25" s="86" t="n">
        <x:f>D24*(1-C25/B25)</x:f>
        <x:v>0.9038095238095237</x:v>
      </x:c>
    </x:row>
    <x:row r="26">
      <x:c r="A26" s="84">
        <x:v>20</x:v>
      </x:c>
      <x:c r="B26" s="85" t="n">
        <x:f>COUNTIF(WorkforceData[Total Days Worked],"&gt;="&amp;A26)</x:f>
        <x:v>949</x:v>
      </x:c>
      <x:c r="C26" s="85" t="n">
        <x:f>COUNTIFS(WorkforceData[Total Days Worked],A26,WorkforceData[Employment End Date],"&lt;&gt;")</x:f>
        <x:v>4</x:v>
      </x:c>
      <x:c r="D26" s="86" t="n">
        <x:f>D25*(1-C26/B26)</x:f>
        <x:v>0.9</x:v>
      </x:c>
    </x:row>
    <x:row r="27">
      <x:c r="A27" s="84">
        <x:v>21</x:v>
      </x:c>
      <x:c r="B27" s="85" t="n">
        <x:f>COUNTIF(WorkforceData[Total Days Worked],"&gt;="&amp;A27)</x:f>
        <x:v>945</x:v>
      </x:c>
      <x:c r="C27" s="85" t="n">
        <x:f>COUNTIFS(WorkforceData[Total Days Worked],A27,WorkforceData[Employment End Date],"&lt;&gt;")</x:f>
        <x:v>2</x:v>
      </x:c>
      <x:c r="D27" s="86" t="n">
        <x:f>D26*(1-C27/B27)</x:f>
        <x:v>0.8980952380952382</x:v>
      </x:c>
    </x:row>
    <x:row r="28">
      <x:c r="A28" s="84">
        <x:v>22</x:v>
      </x:c>
      <x:c r="B28" s="85" t="n">
        <x:f>COUNTIF(WorkforceData[Total Days Worked],"&gt;="&amp;A28)</x:f>
        <x:v>943</x:v>
      </x:c>
      <x:c r="C28" s="85" t="n">
        <x:f>COUNTIFS(WorkforceData[Total Days Worked],A28,WorkforceData[Employment End Date],"&lt;&gt;")</x:f>
        <x:v>6</x:v>
      </x:c>
      <x:c r="D28" s="86" t="n">
        <x:f>D27*(1-C28/B28)</x:f>
        <x:v>0.8923809523809524</x:v>
      </x:c>
    </x:row>
    <x:row r="29">
      <x:c r="A29" s="84">
        <x:v>23</x:v>
      </x:c>
      <x:c r="B29" s="85" t="n">
        <x:f>COUNTIF(WorkforceData[Total Days Worked],"&gt;="&amp;A29)</x:f>
        <x:v>934</x:v>
      </x:c>
      <x:c r="C29" s="85" t="n">
        <x:f>COUNTIFS(WorkforceData[Total Days Worked],A29,WorkforceData[Employment End Date],"&lt;&gt;")</x:f>
        <x:v>5</x:v>
      </x:c>
      <x:c r="D29" s="86" t="n">
        <x:f>D28*(1-C29/B29)</x:f>
        <x:v>0.8876037524217395</x:v>
      </x:c>
    </x:row>
    <x:row r="30">
      <x:c r="A30" s="84">
        <x:v>24</x:v>
      </x:c>
      <x:c r="B30" s="85" t="n">
        <x:f>COUNTIF(WorkforceData[Total Days Worked],"&gt;="&amp;A30)</x:f>
        <x:v>928</x:v>
      </x:c>
      <x:c r="C30" s="85" t="n">
        <x:f>COUNTIFS(WorkforceData[Total Days Worked],A30,WorkforceData[Employment End Date],"&lt;&gt;")</x:f>
        <x:v>5</x:v>
      </x:c>
      <x:c r="D30" s="86" t="n">
        <x:f>D29*(1-C30/B30)</x:f>
        <x:v>0.882821404617743</x:v>
      </x:c>
    </x:row>
    <x:row r="31">
      <x:c r="A31" s="84">
        <x:v>25</x:v>
      </x:c>
      <x:c r="B31" s="85" t="n">
        <x:f>COUNTIF(WorkforceData[Total Days Worked],"&gt;="&amp;A31)</x:f>
        <x:v>923</x:v>
      </x:c>
      <x:c r="C31" s="85" t="n">
        <x:f>COUNTIFS(WorkforceData[Total Days Worked],A31,WorkforceData[Employment End Date],"&lt;&gt;")</x:f>
        <x:v>4</x:v>
      </x:c>
      <x:c r="D31" s="86" t="n">
        <x:f>D30*(1-C31/B31)</x:f>
        <x:v>0.8789955263745459</x:v>
      </x:c>
    </x:row>
    <x:row r="32">
      <x:c r="A32" s="84">
        <x:v>26</x:v>
      </x:c>
      <x:c r="B32" s="85" t="n">
        <x:f>COUNTIF(WorkforceData[Total Days Worked],"&gt;="&amp;A32)</x:f>
        <x:v>918</x:v>
      </x:c>
      <x:c r="C32" s="85" t="n">
        <x:f>COUNTIFS(WorkforceData[Total Days Worked],A32,WorkforceData[Employment End Date],"&lt;&gt;")</x:f>
        <x:v>2</x:v>
      </x:c>
      <x:c r="D32" s="86" t="n">
        <x:f>D31*(1-C32/B32)</x:f>
        <x:v>0.877080503441268</x:v>
      </x:c>
    </x:row>
    <x:row r="33">
      <x:c r="A33" s="84">
        <x:v>27</x:v>
      </x:c>
      <x:c r="B33" s="85" t="n">
        <x:f>COUNTIF(WorkforceData[Total Days Worked],"&gt;="&amp;A33)</x:f>
        <x:v>916</x:v>
      </x:c>
      <x:c r="C33" s="85" t="n">
        <x:f>COUNTIFS(WorkforceData[Total Days Worked],A33,WorkforceData[Employment End Date],"&lt;&gt;")</x:f>
        <x:v>5</x:v>
      </x:c>
      <x:c r="D33" s="86" t="n">
        <x:f>D32*(1-C33/B33)</x:f>
        <x:v>0.8722929461080733</x:v>
      </x:c>
    </x:row>
    <x:row r="34">
      <x:c r="A34" s="84">
        <x:v>28</x:v>
      </x:c>
      <x:c r="B34" s="85" t="n">
        <x:f>COUNTIF(WorkforceData[Total Days Worked],"&gt;="&amp;A34)</x:f>
        <x:v>911</x:v>
      </x:c>
      <x:c r="C34" s="85" t="n">
        <x:f>COUNTIFS(WorkforceData[Total Days Worked],A34,WorkforceData[Employment End Date],"&lt;&gt;")</x:f>
        <x:v>2</x:v>
      </x:c>
      <x:c r="D34" s="86" t="n">
        <x:f>D33*(1-C34/B34)</x:f>
        <x:v>0.8703779231747953</x:v>
      </x:c>
    </x:row>
    <x:row r="35">
      <x:c r="A35" s="84">
        <x:v>29</x:v>
      </x:c>
      <x:c r="B35" s="85" t="n">
        <x:f>COUNTIF(WorkforceData[Total Days Worked],"&gt;="&amp;A35)</x:f>
        <x:v>909</x:v>
      </x:c>
      <x:c r="C35" s="85" t="n">
        <x:f>COUNTIFS(WorkforceData[Total Days Worked],A35,WorkforceData[Employment End Date],"&lt;&gt;")</x:f>
        <x:v>2</x:v>
      </x:c>
      <x:c r="D35" s="86" t="n">
        <x:f>D34*(1-C35/B35)</x:f>
        <x:v>0.8684629002415175</x:v>
      </x:c>
    </x:row>
    <x:row r="36">
      <x:c r="A36" s="84">
        <x:v>30</x:v>
      </x:c>
      <x:c r="B36" s="85" t="n">
        <x:f>COUNTIF(WorkforceData[Total Days Worked],"&gt;="&amp;A36)</x:f>
        <x:v>907</x:v>
      </x:c>
      <x:c r="C36" s="85" t="n">
        <x:f>COUNTIFS(WorkforceData[Total Days Worked],A36,WorkforceData[Employment End Date],"&lt;&gt;")</x:f>
        <x:v>4</x:v>
      </x:c>
      <x:c r="D36" s="86" t="n">
        <x:f>D35*(1-C36/B36)</x:f>
        <x:v>0.8646328543749618</x:v>
      </x:c>
    </x:row>
    <x:row r="37">
      <x:c r="A37" s="84">
        <x:v>31</x:v>
      </x:c>
      <x:c r="B37" s="85" t="n">
        <x:f>COUNTIF(WorkforceData[Total Days Worked],"&gt;="&amp;A37)</x:f>
        <x:v>903</x:v>
      </x:c>
      <x:c r="C37" s="85" t="n">
        <x:f>COUNTIFS(WorkforceData[Total Days Worked],A37,WorkforceData[Employment End Date],"&lt;&gt;")</x:f>
        <x:v>5</x:v>
      </x:c>
      <x:c r="D37" s="86" t="n">
        <x:f>D36*(1-C37/B37)</x:f>
        <x:v>0.8598452970417672</x:v>
      </x:c>
    </x:row>
    <x:row r="38">
      <x:c r="A38" s="84">
        <x:v>32</x:v>
      </x:c>
      <x:c r="B38" s="85" t="n">
        <x:f>COUNTIF(WorkforceData[Total Days Worked],"&gt;="&amp;A38)</x:f>
        <x:v>898</x:v>
      </x:c>
      <x:c r="C38" s="85" t="n">
        <x:f>COUNTIFS(WorkforceData[Total Days Worked],A38,WorkforceData[Employment End Date],"&lt;&gt;")</x:f>
        <x:v>3</x:v>
      </x:c>
      <x:c r="D38" s="86" t="n">
        <x:f>D37*(1-C38/B38)</x:f>
        <x:v>0.8569727626418503</x:v>
      </x:c>
    </x:row>
    <x:row r="39">
      <x:c r="A39" s="84">
        <x:v>33</x:v>
      </x:c>
      <x:c r="B39" s="85" t="n">
        <x:f>COUNTIF(WorkforceData[Total Days Worked],"&gt;="&amp;A39)</x:f>
        <x:v>892</x:v>
      </x:c>
      <x:c r="C39" s="85" t="n">
        <x:f>COUNTIFS(WorkforceData[Total Days Worked],A39,WorkforceData[Employment End Date],"&lt;&gt;")</x:f>
        <x:v>2</x:v>
      </x:c>
      <x:c r="D39" s="86" t="n">
        <x:f>D38*(1-C39/B39)</x:f>
        <x:v>0.8550512990484829</x:v>
      </x:c>
    </x:row>
    <x:row r="40">
      <x:c r="A40" s="84">
        <x:v>35</x:v>
      </x:c>
      <x:c r="B40" s="85" t="n">
        <x:f>COUNTIF(WorkforceData[Total Days Worked],"&gt;="&amp;A40)</x:f>
        <x:v>890</x:v>
      </x:c>
      <x:c r="C40" s="85" t="n">
        <x:f>COUNTIFS(WorkforceData[Total Days Worked],A40,WorkforceData[Employment End Date],"&lt;&gt;")</x:f>
        <x:v>1</x:v>
      </x:c>
      <x:c r="D40" s="86" t="n">
        <x:f>D39*(1-C40/B40)</x:f>
        <x:v>0.8540905672517991</x:v>
      </x:c>
    </x:row>
    <x:row r="41">
      <x:c r="A41" s="84">
        <x:v>36</x:v>
      </x:c>
      <x:c r="B41" s="85" t="n">
        <x:f>COUNTIF(WorkforceData[Total Days Worked],"&gt;="&amp;A41)</x:f>
        <x:v>889</x:v>
      </x:c>
      <x:c r="C41" s="85" t="n">
        <x:f>COUNTIFS(WorkforceData[Total Days Worked],A41,WorkforceData[Employment End Date],"&lt;&gt;")</x:f>
        <x:v>6</x:v>
      </x:c>
      <x:c r="D41" s="86" t="n">
        <x:f>D40*(1-C41/B41)</x:f>
        <x:v>0.848326176471697</x:v>
      </x:c>
    </x:row>
    <x:row r="42">
      <x:c r="A42" s="84">
        <x:v>38</x:v>
      </x:c>
      <x:c r="B42" s="85" t="n">
        <x:f>COUNTIF(WorkforceData[Total Days Worked],"&gt;="&amp;A42)</x:f>
        <x:v>883</x:v>
      </x:c>
      <x:c r="C42" s="85" t="n">
        <x:f>COUNTIFS(WorkforceData[Total Days Worked],A42,WorkforceData[Employment End Date],"&lt;&gt;")</x:f>
        <x:v>2</x:v>
      </x:c>
      <x:c r="D42" s="86" t="n">
        <x:f>D41*(1-C42/B42)</x:f>
        <x:v>0.8464047128783295</x:v>
      </x:c>
    </x:row>
    <x:row r="43">
      <x:c r="A43" s="84">
        <x:v>39</x:v>
      </x:c>
      <x:c r="B43" s="85" t="n">
        <x:f>COUNTIF(WorkforceData[Total Days Worked],"&gt;="&amp;A43)</x:f>
        <x:v>881</x:v>
      </x:c>
      <x:c r="C43" s="85" t="n">
        <x:f>COUNTIFS(WorkforceData[Total Days Worked],A43,WorkforceData[Employment End Date],"&lt;&gt;")</x:f>
        <x:v>4</x:v>
      </x:c>
      <x:c r="D43" s="86" t="n">
        <x:f>D42*(1-C43/B43)</x:f>
        <x:v>0.8425617856915948</x:v>
      </x:c>
    </x:row>
    <x:row r="44">
      <x:c r="A44" s="84">
        <x:v>40</x:v>
      </x:c>
      <x:c r="B44" s="85" t="n">
        <x:f>COUNTIF(WorkforceData[Total Days Worked],"&gt;="&amp;A44)</x:f>
        <x:v>877</x:v>
      </x:c>
      <x:c r="C44" s="85" t="n">
        <x:f>COUNTIFS(WorkforceData[Total Days Worked],A44,WorkforceData[Employment End Date],"&lt;&gt;")</x:f>
        <x:v>3</x:v>
      </x:c>
      <x:c r="D44" s="86" t="n">
        <x:f>D43*(1-C44/B44)</x:f>
        <x:v>0.8396795903015437</x:v>
      </x:c>
    </x:row>
    <x:row r="45">
      <x:c r="A45" s="84">
        <x:v>41</x:v>
      </x:c>
      <x:c r="B45" s="85" t="n">
        <x:f>COUNTIF(WorkforceData[Total Days Worked],"&gt;="&amp;A45)</x:f>
        <x:v>874</x:v>
      </x:c>
      <x:c r="C45" s="85" t="n">
        <x:f>COUNTIFS(WorkforceData[Total Days Worked],A45,WorkforceData[Employment End Date],"&lt;&gt;")</x:f>
        <x:v>2</x:v>
      </x:c>
      <x:c r="D45" s="86" t="n">
        <x:f>D44*(1-C45/B45)</x:f>
        <x:v>0.8377581267081763</x:v>
      </x:c>
    </x:row>
    <x:row r="46">
      <x:c r="A46" s="84">
        <x:v>42</x:v>
      </x:c>
      <x:c r="B46" s="85" t="n">
        <x:f>COUNTIF(WorkforceData[Total Days Worked],"&gt;="&amp;A46)</x:f>
        <x:v>872</x:v>
      </x:c>
      <x:c r="C46" s="85" t="n">
        <x:f>COUNTIFS(WorkforceData[Total Days Worked],A46,WorkforceData[Employment End Date],"&lt;&gt;")</x:f>
        <x:v>3</x:v>
      </x:c>
      <x:c r="D46" s="86" t="n">
        <x:f>D45*(1-C46/B46)</x:f>
        <x:v>0.8348759313181252</x:v>
      </x:c>
    </x:row>
    <x:row r="47">
      <x:c r="A47" s="84">
        <x:v>43</x:v>
      </x:c>
      <x:c r="B47" s="85" t="n">
        <x:f>COUNTIF(WorkforceData[Total Days Worked],"&gt;="&amp;A47)</x:f>
        <x:v>869</x:v>
      </x:c>
      <x:c r="C47" s="85" t="n">
        <x:f>COUNTIFS(WorkforceData[Total Days Worked],A47,WorkforceData[Employment End Date],"&lt;&gt;")</x:f>
        <x:v>2</x:v>
      </x:c>
      <x:c r="D47" s="86" t="n">
        <x:f>D46*(1-C47/B47)</x:f>
        <x:v>0.8329544677247578</x:v>
      </x:c>
    </x:row>
    <x:row r="48">
      <x:c r="A48" s="84">
        <x:v>44</x:v>
      </x:c>
      <x:c r="B48" s="85" t="n">
        <x:f>COUNTIF(WorkforceData[Total Days Worked],"&gt;="&amp;A48)</x:f>
        <x:v>867</x:v>
      </x:c>
      <x:c r="C48" s="85" t="n">
        <x:f>COUNTIFS(WorkforceData[Total Days Worked],A48,WorkforceData[Employment End Date],"&lt;&gt;")</x:f>
        <x:v>2</x:v>
      </x:c>
      <x:c r="D48" s="86" t="n">
        <x:f>D47*(1-C48/B48)</x:f>
        <x:v>0.8310330041313904</x:v>
      </x:c>
    </x:row>
    <x:row r="49">
      <x:c r="A49" s="84">
        <x:v>46</x:v>
      </x:c>
      <x:c r="B49" s="85" t="n">
        <x:f>COUNTIF(WorkforceData[Total Days Worked],"&gt;="&amp;A49)</x:f>
        <x:v>865</x:v>
      </x:c>
      <x:c r="C49" s="85" t="n">
        <x:f>COUNTIFS(WorkforceData[Total Days Worked],A49,WorkforceData[Employment End Date],"&lt;&gt;")</x:f>
        <x:v>1</x:v>
      </x:c>
      <x:c r="D49" s="86" t="n">
        <x:f>D48*(1-C49/B49)</x:f>
        <x:v>0.8300722723347066</x:v>
      </x:c>
    </x:row>
    <x:row r="50">
      <x:c r="A50" s="84">
        <x:v>47</x:v>
      </x:c>
      <x:c r="B50" s="85" t="n">
        <x:f>COUNTIF(WorkforceData[Total Days Worked],"&gt;="&amp;A50)</x:f>
        <x:v>864</x:v>
      </x:c>
      <x:c r="C50" s="85" t="n">
        <x:f>COUNTIFS(WorkforceData[Total Days Worked],A50,WorkforceData[Employment End Date],"&lt;&gt;")</x:f>
        <x:v>2</x:v>
      </x:c>
      <x:c r="D50" s="86" t="n">
        <x:f>D49*(1-C50/B50)</x:f>
        <x:v>0.8281508087413393</x:v>
      </x:c>
    </x:row>
    <x:row r="51">
      <x:c r="A51" s="84">
        <x:v>48</x:v>
      </x:c>
      <x:c r="B51" s="85" t="n">
        <x:f>COUNTIF(WorkforceData[Total Days Worked],"&gt;="&amp;A51)</x:f>
        <x:v>862</x:v>
      </x:c>
      <x:c r="C51" s="85" t="n">
        <x:f>COUNTIFS(WorkforceData[Total Days Worked],A51,WorkforceData[Employment End Date],"&lt;&gt;")</x:f>
        <x:v>8</x:v>
      </x:c>
      <x:c r="D51" s="86" t="n">
        <x:f>D50*(1-C51/B51)</x:f>
        <x:v>0.8204649543678697</x:v>
      </x:c>
    </x:row>
    <x:row r="52">
      <x:c r="A52" s="84">
        <x:v>50</x:v>
      </x:c>
      <x:c r="B52" s="85" t="n">
        <x:f>COUNTIF(WorkforceData[Total Days Worked],"&gt;="&amp;A52)</x:f>
        <x:v>844</x:v>
      </x:c>
      <x:c r="C52" s="85" t="n">
        <x:f>COUNTIFS(WorkforceData[Total Days Worked],A52,WorkforceData[Employment End Date],"&lt;&gt;")</x:f>
        <x:v>5</x:v>
      </x:c>
      <x:c r="D52" s="86" t="n">
        <x:f>D51*(1-C52/B52)</x:f>
        <x:v>0.8156043799936524</x:v>
      </x:c>
    </x:row>
    <x:row r="53">
      <x:c r="A53" s="84">
        <x:v>51</x:v>
      </x:c>
      <x:c r="B53" s="85" t="n">
        <x:f>COUNTIF(WorkforceData[Total Days Worked],"&gt;="&amp;A53)</x:f>
        <x:v>838</x:v>
      </x:c>
      <x:c r="C53" s="85" t="n">
        <x:f>COUNTIFS(WorkforceData[Total Days Worked],A53,WorkforceData[Employment End Date],"&lt;&gt;")</x:f>
        <x:v>3</x:v>
      </x:c>
      <x:c r="D53" s="86" t="n">
        <x:f>D52*(1-C53/B53)</x:f>
        <x:v>0.8126845552442717</x:v>
      </x:c>
    </x:row>
    <x:row r="54">
      <x:c r="A54" s="84">
        <x:v>52</x:v>
      </x:c>
      <x:c r="B54" s="85" t="n">
        <x:f>COUNTIF(WorkforceData[Total Days Worked],"&gt;="&amp;A54)</x:f>
        <x:v>831</x:v>
      </x:c>
      <x:c r="C54" s="85" t="n">
        <x:f>COUNTIFS(WorkforceData[Total Days Worked],A54,WorkforceData[Employment End Date],"&lt;&gt;")</x:f>
        <x:v>1</x:v>
      </x:c>
      <x:c r="D54" s="86" t="n">
        <x:f>D53*(1-C54/B54)</x:f>
        <x:v>0.8117065954906686</x:v>
      </x:c>
    </x:row>
    <x:row r="55">
      <x:c r="A55" s="84">
        <x:v>53</x:v>
      </x:c>
      <x:c r="B55" s="85" t="n">
        <x:f>COUNTIF(WorkforceData[Total Days Worked],"&gt;="&amp;A55)</x:f>
        <x:v>830</x:v>
      </x:c>
      <x:c r="C55" s="85" t="n">
        <x:f>COUNTIFS(WorkforceData[Total Days Worked],A55,WorkforceData[Employment End Date],"&lt;&gt;")</x:f>
        <x:v>2</x:v>
      </x:c>
      <x:c r="D55" s="86" t="n">
        <x:f>D54*(1-C55/B55)</x:f>
        <x:v>0.8097506759834622</x:v>
      </x:c>
    </x:row>
    <x:row r="56">
      <x:c r="A56" s="84">
        <x:v>54</x:v>
      </x:c>
      <x:c r="B56" s="85" t="n">
        <x:f>COUNTIF(WorkforceData[Total Days Worked],"&gt;="&amp;A56)</x:f>
        <x:v>825</x:v>
      </x:c>
      <x:c r="C56" s="85" t="n">
        <x:f>COUNTIFS(WorkforceData[Total Days Worked],A56,WorkforceData[Employment End Date],"&lt;&gt;")</x:f>
        <x:v>1</x:v>
      </x:c>
      <x:c r="D56" s="86" t="n">
        <x:f>D55*(1-C56/B56)</x:f>
        <x:v>0.8087691600125732</x:v>
      </x:c>
    </x:row>
    <x:row r="57">
      <x:c r="A57" s="84">
        <x:v>55</x:v>
      </x:c>
      <x:c r="B57" s="85" t="n">
        <x:f>COUNTIF(WorkforceData[Total Days Worked],"&gt;="&amp;A57)</x:f>
        <x:v>824</x:v>
      </x:c>
      <x:c r="C57" s="85" t="n">
        <x:f>COUNTIFS(WorkforceData[Total Days Worked],A57,WorkforceData[Employment End Date],"&lt;&gt;")</x:f>
        <x:v>3</x:v>
      </x:c>
      <x:c r="D57" s="86" t="n">
        <x:f>D56*(1-C57/B57)</x:f>
        <x:v>0.805824612099906</x:v>
      </x:c>
    </x:row>
    <x:row r="58">
      <x:c r="A58" s="84">
        <x:v>56</x:v>
      </x:c>
      <x:c r="B58" s="85" t="n">
        <x:f>COUNTIF(WorkforceData[Total Days Worked],"&gt;="&amp;A58)</x:f>
        <x:v>821</x:v>
      </x:c>
      <x:c r="C58" s="85" t="n">
        <x:f>COUNTIFS(WorkforceData[Total Days Worked],A58,WorkforceData[Employment End Date],"&lt;&gt;")</x:f>
        <x:v>3</x:v>
      </x:c>
      <x:c r="D58" s="86" t="n">
        <x:f>D57*(1-C58/B58)</x:f>
        <x:v>0.8028800641872389</x:v>
      </x:c>
    </x:row>
    <x:row r="59">
      <x:c r="A59" s="84">
        <x:v>57</x:v>
      </x:c>
      <x:c r="B59" s="85" t="n">
        <x:f>COUNTIF(WorkforceData[Total Days Worked],"&gt;="&amp;A59)</x:f>
        <x:v>818</x:v>
      </x:c>
      <x:c r="C59" s="85" t="n">
        <x:f>COUNTIFS(WorkforceData[Total Days Worked],A59,WorkforceData[Employment End Date],"&lt;&gt;")</x:f>
        <x:v>2</x:v>
      </x:c>
      <x:c r="D59" s="86" t="n">
        <x:f>D58*(1-C59/B59)</x:f>
        <x:v>0.8009170322454608</x:v>
      </x:c>
    </x:row>
    <x:row r="60">
      <x:c r="A60" s="84">
        <x:v>58</x:v>
      </x:c>
      <x:c r="B60" s="85" t="n">
        <x:f>COUNTIF(WorkforceData[Total Days Worked],"&gt;="&amp;A60)</x:f>
        <x:v>816</x:v>
      </x:c>
      <x:c r="C60" s="85" t="n">
        <x:f>COUNTIFS(WorkforceData[Total Days Worked],A60,WorkforceData[Employment End Date],"&lt;&gt;")</x:f>
        <x:v>5</x:v>
      </x:c>
      <x:c r="D60" s="86" t="n">
        <x:f>D59*(1-C60/B60)</x:f>
        <x:v>0.7960094523910156</x:v>
      </x:c>
    </x:row>
    <x:row r="61">
      <x:c r="A61" s="84">
        <x:v>59</x:v>
      </x:c>
      <x:c r="B61" s="85" t="n">
        <x:f>COUNTIF(WorkforceData[Total Days Worked],"&gt;="&amp;A61)</x:f>
        <x:v>809</x:v>
      </x:c>
      <x:c r="C61" s="85" t="n">
        <x:f>COUNTIFS(WorkforceData[Total Days Worked],A61,WorkforceData[Employment End Date],"&lt;&gt;")</x:f>
        <x:v>3</x:v>
      </x:c>
      <x:c r="D61" s="86" t="n">
        <x:f>D60*(1-C61/B61)</x:f>
        <x:v>0.7930576250026682</x:v>
      </x:c>
    </x:row>
    <x:row r="62">
      <x:c r="A62" s="84">
        <x:v>60</x:v>
      </x:c>
      <x:c r="B62" s="85" t="n">
        <x:f>COUNTIF(WorkforceData[Total Days Worked],"&gt;="&amp;A62)</x:f>
        <x:v>806</x:v>
      </x:c>
      <x:c r="C62" s="85" t="n">
        <x:f>COUNTIFS(WorkforceData[Total Days Worked],A62,WorkforceData[Employment End Date],"&lt;&gt;")</x:f>
        <x:v>1</x:v>
      </x:c>
      <x:c r="D62" s="86" t="n">
        <x:f>D61*(1-C62/B62)</x:f>
        <x:v>0.7920736825398857</x:v>
      </x:c>
    </x:row>
    <x:row r="63">
      <x:c r="A63" s="84">
        <x:v>61</x:v>
      </x:c>
      <x:c r="B63" s="85" t="n">
        <x:f>COUNTIF(WorkforceData[Total Days Worked],"&gt;="&amp;A63)</x:f>
        <x:v>805</x:v>
      </x:c>
      <x:c r="C63" s="85" t="n">
        <x:f>COUNTIFS(WorkforceData[Total Days Worked],A63,WorkforceData[Employment End Date],"&lt;&gt;")</x:f>
        <x:v>2</x:v>
      </x:c>
      <x:c r="D63" s="86" t="n">
        <x:f>D62*(1-C63/B63)</x:f>
        <x:v>0.7901057976143208</x:v>
      </x:c>
    </x:row>
    <x:row r="64">
      <x:c r="A64" s="84">
        <x:v>62</x:v>
      </x:c>
      <x:c r="B64" s="85" t="n">
        <x:f>COUNTIF(WorkforceData[Total Days Worked],"&gt;="&amp;A64)</x:f>
        <x:v>803</x:v>
      </x:c>
      <x:c r="C64" s="85" t="n">
        <x:f>COUNTIFS(WorkforceData[Total Days Worked],A64,WorkforceData[Employment End Date],"&lt;&gt;")</x:f>
        <x:v>1</x:v>
      </x:c>
      <x:c r="D64" s="86" t="n">
        <x:f>D63*(1-C64/B64)</x:f>
        <x:v>0.7891218551515383</x:v>
      </x:c>
    </x:row>
    <x:row r="65">
      <x:c r="A65" s="84">
        <x:v>63</x:v>
      </x:c>
      <x:c r="B65" s="85" t="n">
        <x:f>COUNTIF(WorkforceData[Total Days Worked],"&gt;="&amp;A65)</x:f>
        <x:v>802</x:v>
      </x:c>
      <x:c r="C65" s="85" t="n">
        <x:f>COUNTIFS(WorkforceData[Total Days Worked],A65,WorkforceData[Employment End Date],"&lt;&gt;")</x:f>
        <x:v>1</x:v>
      </x:c>
      <x:c r="D65" s="86" t="n">
        <x:f>D64*(1-C65/B65)</x:f>
        <x:v>0.7881379126887559</x:v>
      </x:c>
    </x:row>
    <x:row r="66">
      <x:c r="A66" s="84">
        <x:v>64</x:v>
      </x:c>
      <x:c r="B66" s="85" t="n">
        <x:f>COUNTIF(WorkforceData[Total Days Worked],"&gt;="&amp;A66)</x:f>
        <x:v>801</x:v>
      </x:c>
      <x:c r="C66" s="85" t="n">
        <x:f>COUNTIFS(WorkforceData[Total Days Worked],A66,WorkforceData[Employment End Date],"&lt;&gt;")</x:f>
        <x:v>1</x:v>
      </x:c>
      <x:c r="D66" s="86" t="n">
        <x:f>D65*(1-C66/B66)</x:f>
        <x:v>0.7871539702259734</x:v>
      </x:c>
    </x:row>
    <x:row r="67">
      <x:c r="A67" s="84">
        <x:v>65</x:v>
      </x:c>
      <x:c r="B67" s="85" t="n">
        <x:f>COUNTIF(WorkforceData[Total Days Worked],"&gt;="&amp;A67)</x:f>
        <x:v>800</x:v>
      </x:c>
      <x:c r="C67" s="85" t="n">
        <x:f>COUNTIFS(WorkforceData[Total Days Worked],A67,WorkforceData[Employment End Date],"&lt;&gt;")</x:f>
        <x:v>1</x:v>
      </x:c>
      <x:c r="D67" s="86" t="n">
        <x:f>D66*(1-C67/B67)</x:f>
        <x:v>0.786170027763191</x:v>
      </x:c>
    </x:row>
    <x:row r="68">
      <x:c r="A68" s="84">
        <x:v>66</x:v>
      </x:c>
      <x:c r="B68" s="85" t="n">
        <x:f>COUNTIF(WorkforceData[Total Days Worked],"&gt;="&amp;A68)</x:f>
        <x:v>799</x:v>
      </x:c>
      <x:c r="C68" s="85" t="n">
        <x:f>COUNTIFS(WorkforceData[Total Days Worked],A68,WorkforceData[Employment End Date],"&lt;&gt;")</x:f>
        <x:v>2</x:v>
      </x:c>
      <x:c r="D68" s="86" t="n">
        <x:f>D67*(1-C68/B68)</x:f>
        <x:v>0.7842021428376261</x:v>
      </x:c>
    </x:row>
    <x:row r="69">
      <x:c r="A69" s="84">
        <x:v>70</x:v>
      </x:c>
      <x:c r="B69" s="85" t="n">
        <x:f>COUNTIF(WorkforceData[Total Days Worked],"&gt;="&amp;A69)</x:f>
        <x:v>797</x:v>
      </x:c>
      <x:c r="C69" s="85" t="n">
        <x:f>COUNTIFS(WorkforceData[Total Days Worked],A69,WorkforceData[Employment End Date],"&lt;&gt;")</x:f>
        <x:v>5</x:v>
      </x:c>
      <x:c r="D69" s="86" t="n">
        <x:f>D68*(1-C69/B69)</x:f>
        <x:v>0.7792824305237138</x:v>
      </x:c>
    </x:row>
    <x:row r="70">
      <x:c r="A70" s="84">
        <x:v>71</x:v>
      </x:c>
      <x:c r="B70" s="85" t="n">
        <x:f>COUNTIF(WorkforceData[Total Days Worked],"&gt;="&amp;A70)</x:f>
        <x:v>792</x:v>
      </x:c>
      <x:c r="C70" s="85" t="n">
        <x:f>COUNTIFS(WorkforceData[Total Days Worked],A70,WorkforceData[Employment End Date],"&lt;&gt;")</x:f>
        <x:v>1</x:v>
      </x:c>
      <x:c r="D70" s="86" t="n">
        <x:f>D69*(1-C70/B70)</x:f>
        <x:v>0.7782984880609313</x:v>
      </x:c>
    </x:row>
    <x:row r="71">
      <x:c r="A71" s="84">
        <x:v>73</x:v>
      </x:c>
      <x:c r="B71" s="85" t="n">
        <x:f>COUNTIF(WorkforceData[Total Days Worked],"&gt;="&amp;A71)</x:f>
        <x:v>791</x:v>
      </x:c>
      <x:c r="C71" s="85" t="n">
        <x:f>COUNTIFS(WorkforceData[Total Days Worked],A71,WorkforceData[Employment End Date],"&lt;&gt;")</x:f>
        <x:v>3</x:v>
      </x:c>
      <x:c r="D71" s="86" t="n">
        <x:f>D70*(1-C71/B71)</x:f>
        <x:v>0.7753466606725838</x:v>
      </x:c>
    </x:row>
    <x:row r="72">
      <x:c r="A72" s="84">
        <x:v>74</x:v>
      </x:c>
      <x:c r="B72" s="85" t="n">
        <x:f>COUNTIF(WorkforceData[Total Days Worked],"&gt;="&amp;A72)</x:f>
        <x:v>788</x:v>
      </x:c>
      <x:c r="C72" s="85" t="n">
        <x:f>COUNTIFS(WorkforceData[Total Days Worked],A72,WorkforceData[Employment End Date],"&lt;&gt;")</x:f>
        <x:v>1</x:v>
      </x:c>
      <x:c r="D72" s="86" t="n">
        <x:f>D71*(1-C72/B72)</x:f>
        <x:v>0.7743627182098014</x:v>
      </x:c>
    </x:row>
    <x:row r="73">
      <x:c r="A73" s="84">
        <x:v>75</x:v>
      </x:c>
      <x:c r="B73" s="85" t="n">
        <x:f>COUNTIF(WorkforceData[Total Days Worked],"&gt;="&amp;A73)</x:f>
        <x:v>787</x:v>
      </x:c>
      <x:c r="C73" s="85" t="n">
        <x:f>COUNTIFS(WorkforceData[Total Days Worked],A73,WorkforceData[Employment End Date],"&lt;&gt;")</x:f>
        <x:v>1</x:v>
      </x:c>
      <x:c r="D73" s="86" t="n">
        <x:f>D72*(1-C73/B73)</x:f>
        <x:v>0.7733787757470189</x:v>
      </x:c>
    </x:row>
    <x:row r="74">
      <x:c r="A74" s="84">
        <x:v>79</x:v>
      </x:c>
      <x:c r="B74" s="85" t="n">
        <x:f>COUNTIF(WorkforceData[Total Days Worked],"&gt;="&amp;A74)</x:f>
        <x:v>786</x:v>
      </x:c>
      <x:c r="C74" s="85" t="n">
        <x:f>COUNTIFS(WorkforceData[Total Days Worked],A74,WorkforceData[Employment End Date],"&lt;&gt;")</x:f>
        <x:v>1</x:v>
      </x:c>
      <x:c r="D74" s="86" t="n">
        <x:f>D73*(1-C74/B74)</x:f>
        <x:v>0.7723948332842364</x:v>
      </x:c>
    </x:row>
    <x:row r="75">
      <x:c r="A75" s="84">
        <x:v>80</x:v>
      </x:c>
      <x:c r="B75" s="85" t="n">
        <x:f>COUNTIF(WorkforceData[Total Days Worked],"&gt;="&amp;A75)</x:f>
        <x:v>785</x:v>
      </x:c>
      <x:c r="C75" s="85" t="n">
        <x:f>COUNTIFS(WorkforceData[Total Days Worked],A75,WorkforceData[Employment End Date],"&lt;&gt;")</x:f>
        <x:v>2</x:v>
      </x:c>
      <x:c r="D75" s="86" t="n">
        <x:f>D74*(1-C75/B75)</x:f>
        <x:v>0.7704269483586715</x:v>
      </x:c>
    </x:row>
    <x:row r="76">
      <x:c r="A76" s="84">
        <x:v>83</x:v>
      </x:c>
      <x:c r="B76" s="85" t="n">
        <x:f>COUNTIF(WorkforceData[Total Days Worked],"&gt;="&amp;A76)</x:f>
        <x:v>783</x:v>
      </x:c>
      <x:c r="C76" s="85" t="n">
        <x:f>COUNTIFS(WorkforceData[Total Days Worked],A76,WorkforceData[Employment End Date],"&lt;&gt;")</x:f>
        <x:v>1</x:v>
      </x:c>
      <x:c r="D76" s="86" t="n">
        <x:f>D75*(1-C76/B76)</x:f>
        <x:v>0.769443005895889</x:v>
      </x:c>
    </x:row>
    <x:row r="77">
      <x:c r="A77" s="84">
        <x:v>85</x:v>
      </x:c>
      <x:c r="B77" s="85" t="n">
        <x:f>COUNTIF(WorkforceData[Total Days Worked],"&gt;="&amp;A77)</x:f>
        <x:v>782</x:v>
      </x:c>
      <x:c r="C77" s="85" t="n">
        <x:f>COUNTIFS(WorkforceData[Total Days Worked],A77,WorkforceData[Employment End Date],"&lt;&gt;")</x:f>
        <x:v>2</x:v>
      </x:c>
      <x:c r="D77" s="86" t="n">
        <x:f>D76*(1-C77/B77)</x:f>
        <x:v>0.767475120970324</x:v>
      </x:c>
    </x:row>
    <x:row r="78">
      <x:c r="A78" s="84">
        <x:v>86</x:v>
      </x:c>
      <x:c r="B78" s="85" t="n">
        <x:f>COUNTIF(WorkforceData[Total Days Worked],"&gt;="&amp;A78)</x:f>
        <x:v>780</x:v>
      </x:c>
      <x:c r="C78" s="85" t="n">
        <x:f>COUNTIFS(WorkforceData[Total Days Worked],A78,WorkforceData[Employment End Date],"&lt;&gt;")</x:f>
        <x:v>1</x:v>
      </x:c>
      <x:c r="D78" s="86" t="n">
        <x:f>D77*(1-C78/B78)</x:f>
        <x:v>0.7664911785075416</x:v>
      </x:c>
    </x:row>
    <x:row r="79">
      <x:c r="A79" s="84">
        <x:v>87</x:v>
      </x:c>
      <x:c r="B79" s="85" t="n">
        <x:f>COUNTIF(WorkforceData[Total Days Worked],"&gt;="&amp;A79)</x:f>
        <x:v>777</x:v>
      </x:c>
      <x:c r="C79" s="85" t="n">
        <x:f>COUNTIFS(WorkforceData[Total Days Worked],A79,WorkforceData[Employment End Date],"&lt;&gt;")</x:f>
        <x:v>1</x:v>
      </x:c>
      <x:c r="D79" s="86" t="n">
        <x:f>D78*(1-C79/B79)</x:f>
        <x:v>0.7655047033743272</x:v>
      </x:c>
    </x:row>
    <x:row r="80">
      <x:c r="A80" s="84">
        <x:v>90</x:v>
      </x:c>
      <x:c r="B80" s="85" t="n">
        <x:f>COUNTIF(WorkforceData[Total Days Worked],"&gt;="&amp;A80)</x:f>
        <x:v>772</x:v>
      </x:c>
      <x:c r="C80" s="85" t="n">
        <x:f>COUNTIFS(WorkforceData[Total Days Worked],A80,WorkforceData[Employment End Date],"&lt;&gt;")</x:f>
        <x:v>21</x:v>
      </x:c>
      <x:c r="D80" s="86" t="n">
        <x:f>D79*(1-C80/B80)</x:f>
        <x:v>0.7446813889043001</x:v>
      </x:c>
    </x:row>
    <x:row r="81">
      <x:c r="A81" s="84">
        <x:v>91</x:v>
      </x:c>
      <x:c r="B81" s="85" t="n">
        <x:f>COUNTIF(WorkforceData[Total Days Worked],"&gt;="&amp;A81)</x:f>
        <x:v>751</x:v>
      </x:c>
      <x:c r="C81" s="85" t="n">
        <x:f>COUNTIFS(WorkforceData[Total Days Worked],A81,WorkforceData[Employment End Date],"&lt;&gt;")</x:f>
        <x:v>22</x:v>
      </x:c>
      <x:c r="D81" s="86" t="n">
        <x:f>D80*(1-C81/B81)</x:f>
        <x:v>0.7228664880309384</x:v>
      </x:c>
    </x:row>
    <x:row r="82">
      <x:c r="A82" s="84">
        <x:v>93</x:v>
      </x:c>
      <x:c r="B82" s="85" t="n">
        <x:f>COUNTIF(WorkforceData[Total Days Worked],"&gt;="&amp;A82)</x:f>
        <x:v>727</x:v>
      </x:c>
      <x:c r="C82" s="85" t="n">
        <x:f>COUNTIFS(WorkforceData[Total Days Worked],A82,WorkforceData[Employment End Date],"&lt;&gt;")</x:f>
        <x:v>1</x:v>
      </x:c>
      <x:c r="D82" s="86" t="n">
        <x:f>D81*(1-C82/B82)</x:f>
        <x:v>0.7218721737420376</x:v>
      </x:c>
    </x:row>
    <x:row r="83">
      <x:c r="A83" s="84">
        <x:v>96</x:v>
      </x:c>
      <x:c r="B83" s="85" t="n">
        <x:f>COUNTIF(WorkforceData[Total Days Worked],"&gt;="&amp;A83)</x:f>
        <x:v>726</x:v>
      </x:c>
      <x:c r="C83" s="85" t="n">
        <x:f>COUNTIFS(WorkforceData[Total Days Worked],A83,WorkforceData[Employment End Date],"&lt;&gt;")</x:f>
        <x:v>1</x:v>
      </x:c>
      <x:c r="D83" s="86" t="n">
        <x:f>D82*(1-C83/B83)</x:f>
        <x:v>0.7208778594531368</x:v>
      </x:c>
    </x:row>
    <x:row r="84">
      <x:c r="A84" s="84">
        <x:v>99</x:v>
      </x:c>
      <x:c r="B84" s="85" t="n">
        <x:f>COUNTIF(WorkforceData[Total Days Worked],"&gt;="&amp;A84)</x:f>
        <x:v>723</x:v>
      </x:c>
      <x:c r="C84" s="85" t="n">
        <x:f>COUNTIFS(WorkforceData[Total Days Worked],A84,WorkforceData[Employment End Date],"&lt;&gt;")</x:f>
        <x:v>2</x:v>
      </x:c>
      <x:c r="D84" s="86" t="n">
        <x:f>D83*(1-C84/B84)</x:f>
        <x:v>0.7188837298280936</x:v>
      </x:c>
    </x:row>
    <x:row r="85">
      <x:c r="A85" s="84">
        <x:v>100</x:v>
      </x:c>
      <x:c r="B85" s="85" t="n">
        <x:f>COUNTIF(WorkforceData[Total Days Worked],"&gt;="&amp;A85)</x:f>
        <x:v>721</x:v>
      </x:c>
      <x:c r="C85" s="85" t="n">
        <x:f>COUNTIFS(WorkforceData[Total Days Worked],A85,WorkforceData[Employment End Date],"&lt;&gt;")</x:f>
        <x:v>3</x:v>
      </x:c>
      <x:c r="D85" s="86" t="n">
        <x:f>D84*(1-C85/B85)</x:f>
        <x:v>0.7158925353905287</x:v>
      </x:c>
    </x:row>
    <x:row r="86">
      <x:c r="A86" s="84">
        <x:v>103</x:v>
      </x:c>
      <x:c r="B86" s="85" t="n">
        <x:f>COUNTIF(WorkforceData[Total Days Worked],"&gt;="&amp;A86)</x:f>
        <x:v>714</x:v>
      </x:c>
      <x:c r="C86" s="85" t="n">
        <x:f>COUNTIFS(WorkforceData[Total Days Worked],A86,WorkforceData[Employment End Date],"&lt;&gt;")</x:f>
        <x:v>2</x:v>
      </x:c>
      <x:c r="D86" s="86" t="n">
        <x:f>D85*(1-C86/B86)</x:f>
        <x:v>0.7138872341709473</x:v>
      </x:c>
    </x:row>
    <x:row r="87">
      <x:c r="A87" s="84">
        <x:v>106</x:v>
      </x:c>
      <x:c r="B87" s="85" t="n">
        <x:f>COUNTIF(WorkforceData[Total Days Worked],"&gt;="&amp;A87)</x:f>
        <x:v>706</x:v>
      </x:c>
      <x:c r="C87" s="85" t="n">
        <x:f>COUNTIFS(WorkforceData[Total Days Worked],A87,WorkforceData[Employment End Date],"&lt;&gt;")</x:f>
        <x:v>1</x:v>
      </x:c>
      <x:c r="D87" s="86" t="n">
        <x:f>D86*(1-C87/B87)</x:f>
        <x:v>0.7128760624511585</x:v>
      </x:c>
    </x:row>
    <x:row r="88">
      <x:c r="A88" s="84">
        <x:v>108</x:v>
      </x:c>
      <x:c r="B88" s="85" t="n">
        <x:f>COUNTIF(WorkforceData[Total Days Worked],"&gt;="&amp;A88)</x:f>
        <x:v>705</x:v>
      </x:c>
      <x:c r="C88" s="85" t="n">
        <x:f>COUNTIFS(WorkforceData[Total Days Worked],A88,WorkforceData[Employment End Date],"&lt;&gt;")</x:f>
        <x:v>2</x:v>
      </x:c>
      <x:c r="D88" s="86" t="n">
        <x:f>D87*(1-C88/B88)</x:f>
        <x:v>0.7108537190115808</x:v>
      </x:c>
    </x:row>
    <x:row r="89">
      <x:c r="A89" s="84">
        <x:v>109</x:v>
      </x:c>
      <x:c r="B89" s="85" t="n">
        <x:f>COUNTIF(WorkforceData[Total Days Worked],"&gt;="&amp;A89)</x:f>
        <x:v>703</x:v>
      </x:c>
      <x:c r="C89" s="85" t="n">
        <x:f>COUNTIFS(WorkforceData[Total Days Worked],A89,WorkforceData[Employment End Date],"&lt;&gt;")</x:f>
        <x:v>1</x:v>
      </x:c>
      <x:c r="D89" s="86" t="n">
        <x:f>D88*(1-C89/B89)</x:f>
        <x:v>0.709842547291792</x:v>
      </x:c>
    </x:row>
    <x:row r="90">
      <x:c r="A90" s="84">
        <x:v>112</x:v>
      </x:c>
      <x:c r="B90" s="85" t="n">
        <x:f>COUNTIF(WorkforceData[Total Days Worked],"&gt;="&amp;A90)</x:f>
        <x:v>702</x:v>
      </x:c>
      <x:c r="C90" s="85" t="n">
        <x:f>COUNTIFS(WorkforceData[Total Days Worked],A90,WorkforceData[Employment End Date],"&lt;&gt;")</x:f>
        <x:v>2</x:v>
      </x:c>
      <x:c r="D90" s="86" t="n">
        <x:f>D89*(1-C90/B90)</x:f>
        <x:v>0.7078202038522142</x:v>
      </x:c>
    </x:row>
    <x:row r="91">
      <x:c r="A91" s="84">
        <x:v>113</x:v>
      </x:c>
      <x:c r="B91" s="85" t="n">
        <x:f>COUNTIF(WorkforceData[Total Days Worked],"&gt;="&amp;A91)</x:f>
        <x:v>700</x:v>
      </x:c>
      <x:c r="C91" s="85" t="n">
        <x:f>COUNTIFS(WorkforceData[Total Days Worked],A91,WorkforceData[Employment End Date],"&lt;&gt;")</x:f>
        <x:v>1</x:v>
      </x:c>
      <x:c r="D91" s="86" t="n">
        <x:f>D90*(1-C91/B91)</x:f>
        <x:v>0.7068090321324253</x:v>
      </x:c>
    </x:row>
    <x:row r="92">
      <x:c r="A92" s="84">
        <x:v>114</x:v>
      </x:c>
      <x:c r="B92" s="85" t="n">
        <x:f>COUNTIF(WorkforceData[Total Days Worked],"&gt;="&amp;A92)</x:f>
        <x:v>699</x:v>
      </x:c>
      <x:c r="C92" s="85" t="n">
        <x:f>COUNTIFS(WorkforceData[Total Days Worked],A92,WorkforceData[Employment End Date],"&lt;&gt;")</x:f>
        <x:v>1</x:v>
      </x:c>
      <x:c r="D92" s="86" t="n">
        <x:f>D91*(1-C92/B92)</x:f>
        <x:v>0.7057978604126365</x:v>
      </x:c>
    </x:row>
    <x:row r="93">
      <x:c r="A93" s="84">
        <x:v>116</x:v>
      </x:c>
      <x:c r="B93" s="85" t="n">
        <x:f>COUNTIF(WorkforceData[Total Days Worked],"&gt;="&amp;A93)</x:f>
        <x:v>698</x:v>
      </x:c>
      <x:c r="C93" s="85" t="n">
        <x:f>COUNTIFS(WorkforceData[Total Days Worked],A93,WorkforceData[Employment End Date],"&lt;&gt;")</x:f>
        <x:v>2</x:v>
      </x:c>
      <x:c r="D93" s="86" t="n">
        <x:f>D92*(1-C93/B93)</x:f>
        <x:v>0.7037755169730587</x:v>
      </x:c>
    </x:row>
    <x:row r="94">
      <x:c r="A94" s="84">
        <x:v>117</x:v>
      </x:c>
      <x:c r="B94" s="85" t="n">
        <x:f>COUNTIF(WorkforceData[Total Days Worked],"&gt;="&amp;A94)</x:f>
        <x:v>696</x:v>
      </x:c>
      <x:c r="C94" s="85" t="n">
        <x:f>COUNTIFS(WorkforceData[Total Days Worked],A94,WorkforceData[Employment End Date],"&lt;&gt;")</x:f>
        <x:v>1</x:v>
      </x:c>
      <x:c r="D94" s="86" t="n">
        <x:f>D93*(1-C94/B94)</x:f>
        <x:v>0.7027643452532699</x:v>
      </x:c>
    </x:row>
    <x:row r="95">
      <x:c r="A95" s="84">
        <x:v>118</x:v>
      </x:c>
      <x:c r="B95" s="85" t="n">
        <x:f>COUNTIF(WorkforceData[Total Days Worked],"&gt;="&amp;A95)</x:f>
        <x:v>695</x:v>
      </x:c>
      <x:c r="C95" s="85" t="n">
        <x:f>COUNTIFS(WorkforceData[Total Days Worked],A95,WorkforceData[Employment End Date],"&lt;&gt;")</x:f>
        <x:v>4</x:v>
      </x:c>
      <x:c r="D95" s="86" t="n">
        <x:f>D94*(1-C95/B95)</x:f>
        <x:v>0.6987196583741143</x:v>
      </x:c>
    </x:row>
    <x:row r="96">
      <x:c r="A96" s="84">
        <x:v>122</x:v>
      </x:c>
      <x:c r="B96" s="85" t="n">
        <x:f>COUNTIF(WorkforceData[Total Days Worked],"&gt;="&amp;A96)</x:f>
        <x:v>681</x:v>
      </x:c>
      <x:c r="C96" s="85" t="n">
        <x:f>COUNTIFS(WorkforceData[Total Days Worked],A96,WorkforceData[Employment End Date],"&lt;&gt;")</x:f>
        <x:v>1</x:v>
      </x:c>
      <x:c r="D96" s="86" t="n">
        <x:f>D95*(1-C96/B96)</x:f>
        <x:v>0.6976936383177647</x:v>
      </x:c>
    </x:row>
    <x:row r="97">
      <x:c r="A97" s="84">
        <x:v>123</x:v>
      </x:c>
      <x:c r="B97" s="85" t="n">
        <x:f>COUNTIF(WorkforceData[Total Days Worked],"&gt;="&amp;A97)</x:f>
        <x:v>680</x:v>
      </x:c>
      <x:c r="C97" s="85" t="n">
        <x:f>COUNTIFS(WorkforceData[Total Days Worked],A97,WorkforceData[Employment End Date],"&lt;&gt;")</x:f>
        <x:v>1</x:v>
      </x:c>
      <x:c r="D97" s="86" t="n">
        <x:f>D96*(1-C97/B97)</x:f>
        <x:v>0.696667618261415</x:v>
      </x:c>
    </x:row>
    <x:row r="98">
      <x:c r="A98" s="84">
        <x:v>125</x:v>
      </x:c>
      <x:c r="B98" s="85" t="n">
        <x:f>COUNTIF(WorkforceData[Total Days Worked],"&gt;="&amp;A98)</x:f>
        <x:v>677</x:v>
      </x:c>
      <x:c r="C98" s="85" t="n">
        <x:f>COUNTIFS(WorkforceData[Total Days Worked],A98,WorkforceData[Employment End Date],"&lt;&gt;")</x:f>
        <x:v>2</x:v>
      </x:c>
      <x:c r="D98" s="86" t="n">
        <x:f>D97*(1-C98/B98)</x:f>
        <x:v>0.6946095159918096</x:v>
      </x:c>
    </x:row>
    <x:row r="99">
      <x:c r="A99" s="84">
        <x:v>127</x:v>
      </x:c>
      <x:c r="B99" s="85" t="n">
        <x:f>COUNTIF(WorkforceData[Total Days Worked],"&gt;="&amp;A99)</x:f>
        <x:v>673</x:v>
      </x:c>
      <x:c r="C99" s="85" t="n">
        <x:f>COUNTIFS(WorkforceData[Total Days Worked],A99,WorkforceData[Employment End Date],"&lt;&gt;")</x:f>
        <x:v>1</x:v>
      </x:c>
      <x:c r="D99" s="86" t="n">
        <x:f>D98*(1-C99/B99)</x:f>
        <x:v>0.6935774067555662</x:v>
      </x:c>
    </x:row>
    <x:row r="100">
      <x:c r="A100" s="84">
        <x:v>130</x:v>
      </x:c>
      <x:c r="B100" s="85" t="n">
        <x:f>COUNTIF(WorkforceData[Total Days Worked],"&gt;="&amp;A100)</x:f>
        <x:v>671</x:v>
      </x:c>
      <x:c r="C100" s="85" t="n">
        <x:f>COUNTIFS(WorkforceData[Total Days Worked],A100,WorkforceData[Employment End Date],"&lt;&gt;")</x:f>
        <x:v>2</x:v>
      </x:c>
      <x:c r="D100" s="86" t="n">
        <x:f>D99*(1-C100/B100)</x:f>
        <x:v>0.6915101119515258</x:v>
      </x:c>
    </x:row>
    <x:row r="101">
      <x:c r="A101" s="84">
        <x:v>131</x:v>
      </x:c>
      <x:c r="B101" s="85" t="n">
        <x:f>COUNTIF(WorkforceData[Total Days Worked],"&gt;="&amp;A101)</x:f>
        <x:v>669</x:v>
      </x:c>
      <x:c r="C101" s="85" t="n">
        <x:f>COUNTIFS(WorkforceData[Total Days Worked],A101,WorkforceData[Employment End Date],"&lt;&gt;")</x:f>
        <x:v>1</x:v>
      </x:c>
      <x:c r="D101" s="86" t="n">
        <x:f>D100*(1-C101/B101)</x:f>
        <x:v>0.6904764645495056</x:v>
      </x:c>
    </x:row>
    <x:row r="102">
      <x:c r="A102" s="84">
        <x:v>132</x:v>
      </x:c>
      <x:c r="B102" s="85" t="n">
        <x:f>COUNTIF(WorkforceData[Total Days Worked],"&gt;="&amp;A102)</x:f>
        <x:v>668</x:v>
      </x:c>
      <x:c r="C102" s="85" t="n">
        <x:f>COUNTIFS(WorkforceData[Total Days Worked],A102,WorkforceData[Employment End Date],"&lt;&gt;")</x:f>
        <x:v>2</x:v>
      </x:c>
      <x:c r="D102" s="86" t="n">
        <x:f>D101*(1-C102/B102)</x:f>
        <x:v>0.6884091697454652</x:v>
      </x:c>
    </x:row>
    <x:row r="103">
      <x:c r="A103" s="84">
        <x:v>133</x:v>
      </x:c>
      <x:c r="B103" s="85" t="n">
        <x:f>COUNTIF(WorkforceData[Total Days Worked],"&gt;="&amp;A103)</x:f>
        <x:v>660</x:v>
      </x:c>
      <x:c r="C103" s="85" t="n">
        <x:f>COUNTIFS(WorkforceData[Total Days Worked],A103,WorkforceData[Employment End Date],"&lt;&gt;")</x:f>
        <x:v>1</x:v>
      </x:c>
      <x:c r="D103" s="86" t="n">
        <x:f>D102*(1-C103/B103)</x:f>
        <x:v>0.6873661255488812</x:v>
      </x:c>
    </x:row>
    <x:row r="104">
      <x:c r="A104" s="84">
        <x:v>134</x:v>
      </x:c>
      <x:c r="B104" s="85" t="n">
        <x:f>COUNTIF(WorkforceData[Total Days Worked],"&gt;="&amp;A104)</x:f>
        <x:v>658</x:v>
      </x:c>
      <x:c r="C104" s="85" t="n">
        <x:f>COUNTIFS(WorkforceData[Total Days Worked],A104,WorkforceData[Employment End Date],"&lt;&gt;")</x:f>
        <x:v>2</x:v>
      </x:c>
      <x:c r="D104" s="86" t="n">
        <x:f>D103*(1-C104/B104)</x:f>
        <x:v>0.6852768668086111</x:v>
      </x:c>
    </x:row>
    <x:row r="105">
      <x:c r="A105" s="84">
        <x:v>135</x:v>
      </x:c>
      <x:c r="B105" s="85" t="n">
        <x:f>COUNTIF(WorkforceData[Total Days Worked],"&gt;="&amp;A105)</x:f>
        <x:v>653</x:v>
      </x:c>
      <x:c r="C105" s="85" t="n">
        <x:f>COUNTIFS(WorkforceData[Total Days Worked],A105,WorkforceData[Employment End Date],"&lt;&gt;")</x:f>
        <x:v>3</x:v>
      </x:c>
      <x:c r="D105" s="86" t="n">
        <x:f>D104*(1-C105/B105)</x:f>
        <x:v>0.6821285810499191</x:v>
      </x:c>
    </x:row>
    <x:row r="106">
      <x:c r="A106" s="84">
        <x:v>136</x:v>
      </x:c>
      <x:c r="B106" s="85" t="n">
        <x:f>COUNTIF(WorkforceData[Total Days Worked],"&gt;="&amp;A106)</x:f>
        <x:v>648</x:v>
      </x:c>
      <x:c r="C106" s="85" t="n">
        <x:f>COUNTIFS(WorkforceData[Total Days Worked],A106,WorkforceData[Employment End Date],"&lt;&gt;")</x:f>
        <x:v>1</x:v>
      </x:c>
      <x:c r="D106" s="86" t="n">
        <x:f>D105*(1-C106/B106)</x:f>
        <x:v>0.6810759134865705</x:v>
      </x:c>
    </x:row>
    <x:row r="107">
      <x:c r="A107" s="84">
        <x:v>138</x:v>
      </x:c>
      <x:c r="B107" s="85" t="n">
        <x:f>COUNTIF(WorkforceData[Total Days Worked],"&gt;="&amp;A107)</x:f>
        <x:v>644</x:v>
      </x:c>
      <x:c r="C107" s="85" t="n">
        <x:f>COUNTIFS(WorkforceData[Total Days Worked],A107,WorkforceData[Employment End Date],"&lt;&gt;")</x:f>
        <x:v>3</x:v>
      </x:c>
      <x:c r="D107" s="86" t="n">
        <x:f>D106*(1-C107/B107)</x:f>
        <x:v>0.677903199603869</x:v>
      </x:c>
    </x:row>
    <x:row r="108">
      <x:c r="A108" s="84">
        <x:v>139</x:v>
      </x:c>
      <x:c r="B108" s="85" t="n">
        <x:f>COUNTIF(WorkforceData[Total Days Worked],"&gt;="&amp;A108)</x:f>
        <x:v>638</x:v>
      </x:c>
      <x:c r="C108" s="85" t="n">
        <x:f>COUNTIFS(WorkforceData[Total Days Worked],A108,WorkforceData[Employment End Date],"&lt;&gt;")</x:f>
        <x:v>2</x:v>
      </x:c>
      <x:c r="D108" s="86" t="n">
        <x:f>D107*(1-C108/B108)</x:f>
        <x:v>0.6757781112038569</x:v>
      </x:c>
    </x:row>
    <x:row r="109">
      <x:c r="A109" s="84">
        <x:v>140</x:v>
      </x:c>
      <x:c r="B109" s="85" t="n">
        <x:f>COUNTIF(WorkforceData[Total Days Worked],"&gt;="&amp;A109)</x:f>
        <x:v>635</x:v>
      </x:c>
      <x:c r="C109" s="85" t="n">
        <x:f>COUNTIFS(WorkforceData[Total Days Worked],A109,WorkforceData[Employment End Date],"&lt;&gt;")</x:f>
        <x:v>1</x:v>
      </x:c>
      <x:c r="D109" s="86" t="n">
        <x:f>D108*(1-C109/B109)</x:f>
        <x:v>0.6747138937058981</x:v>
      </x:c>
    </x:row>
    <x:row r="110">
      <x:c r="A110" s="84">
        <x:v>141</x:v>
      </x:c>
      <x:c r="B110" s="85" t="n">
        <x:f>COUNTIF(WorkforceData[Total Days Worked],"&gt;="&amp;A110)</x:f>
        <x:v>634</x:v>
      </x:c>
      <x:c r="C110" s="85" t="n">
        <x:f>COUNTIFS(WorkforceData[Total Days Worked],A110,WorkforceData[Employment End Date],"&lt;&gt;")</x:f>
        <x:v>2</x:v>
      </x:c>
      <x:c r="D110" s="86" t="n">
        <x:f>D109*(1-C110/B110)</x:f>
        <x:v>0.6725854587099804</x:v>
      </x:c>
    </x:row>
    <x:row r="111">
      <x:c r="A111" s="84">
        <x:v>142</x:v>
      </x:c>
      <x:c r="B111" s="85" t="n">
        <x:f>COUNTIF(WorkforceData[Total Days Worked],"&gt;="&amp;A111)</x:f>
        <x:v>632</x:v>
      </x:c>
      <x:c r="C111" s="85" t="n">
        <x:f>COUNTIFS(WorkforceData[Total Days Worked],A111,WorkforceData[Employment End Date],"&lt;&gt;")</x:f>
        <x:v>1</x:v>
      </x:c>
      <x:c r="D111" s="86" t="n">
        <x:f>D110*(1-C111/B111)</x:f>
        <x:v>0.6715212412120216</x:v>
      </x:c>
    </x:row>
    <x:row r="112">
      <x:c r="A112" s="84">
        <x:v>146</x:v>
      </x:c>
      <x:c r="B112" s="85" t="n">
        <x:f>COUNTIF(WorkforceData[Total Days Worked],"&gt;="&amp;A112)</x:f>
        <x:v>629</x:v>
      </x:c>
      <x:c r="C112" s="85" t="n">
        <x:f>COUNTIFS(WorkforceData[Total Days Worked],A112,WorkforceData[Employment End Date],"&lt;&gt;")</x:f>
        <x:v>1</x:v>
      </x:c>
      <x:c r="D112" s="86" t="n">
        <x:f>D111*(1-C112/B112)</x:f>
        <x:v>0.6704536398746416</x:v>
      </x:c>
    </x:row>
    <x:row r="113">
      <x:c r="A113" s="84">
        <x:v>149</x:v>
      </x:c>
      <x:c r="B113" s="85" t="n">
        <x:f>COUNTIF(WorkforceData[Total Days Worked],"&gt;="&amp;A113)</x:f>
        <x:v>628</x:v>
      </x:c>
      <x:c r="C113" s="85" t="n">
        <x:f>COUNTIFS(WorkforceData[Total Days Worked],A113,WorkforceData[Employment End Date],"&lt;&gt;")</x:f>
        <x:v>2</x:v>
      </x:c>
      <x:c r="D113" s="86" t="n">
        <x:f>D112*(1-C113/B113)</x:f>
        <x:v>0.6683184371998816</x:v>
      </x:c>
    </x:row>
    <x:row r="114">
      <x:c r="A114" s="84">
        <x:v>150</x:v>
      </x:c>
      <x:c r="B114" s="85" t="n">
        <x:f>COUNTIF(WorkforceData[Total Days Worked],"&gt;="&amp;A114)</x:f>
        <x:v>626</x:v>
      </x:c>
      <x:c r="C114" s="85" t="n">
        <x:f>COUNTIFS(WorkforceData[Total Days Worked],A114,WorkforceData[Employment End Date],"&lt;&gt;")</x:f>
        <x:v>1</x:v>
      </x:c>
      <x:c r="D114" s="86" t="n">
        <x:f>D113*(1-C114/B114)</x:f>
        <x:v>0.6672508358625017</x:v>
      </x:c>
    </x:row>
    <x:row r="115">
      <x:c r="A115" s="84">
        <x:v>152</x:v>
      </x:c>
      <x:c r="B115" s="85" t="n">
        <x:f>COUNTIF(WorkforceData[Total Days Worked],"&gt;="&amp;A115)</x:f>
        <x:v>625</x:v>
      </x:c>
      <x:c r="C115" s="85" t="n">
        <x:f>COUNTIFS(WorkforceData[Total Days Worked],A115,WorkforceData[Employment End Date],"&lt;&gt;")</x:f>
        <x:v>1</x:v>
      </x:c>
      <x:c r="D115" s="86" t="n">
        <x:f>D114*(1-C115/B115)</x:f>
        <x:v>0.6661832345251216</x:v>
      </x:c>
    </x:row>
    <x:row r="116">
      <x:c r="A116" s="84">
        <x:v>153</x:v>
      </x:c>
      <x:c r="B116" s="85" t="n">
        <x:f>COUNTIF(WorkforceData[Total Days Worked],"&gt;="&amp;A116)</x:f>
        <x:v>624</x:v>
      </x:c>
      <x:c r="C116" s="85" t="n">
        <x:f>COUNTIFS(WorkforceData[Total Days Worked],A116,WorkforceData[Employment End Date],"&lt;&gt;")</x:f>
        <x:v>1</x:v>
      </x:c>
      <x:c r="D116" s="86" t="n">
        <x:f>D115*(1-C116/B116)</x:f>
        <x:v>0.6651156331877416</x:v>
      </x:c>
    </x:row>
    <x:row r="117">
      <x:c r="A117" s="84">
        <x:v>155</x:v>
      </x:c>
      <x:c r="B117" s="85" t="n">
        <x:f>COUNTIF(WorkforceData[Total Days Worked],"&gt;="&amp;A117)</x:f>
        <x:v>623</x:v>
      </x:c>
      <x:c r="C117" s="85" t="n">
        <x:f>COUNTIFS(WorkforceData[Total Days Worked],A117,WorkforceData[Employment End Date],"&lt;&gt;")</x:f>
        <x:v>1</x:v>
      </x:c>
      <x:c r="D117" s="86" t="n">
        <x:f>D116*(1-C117/B117)</x:f>
        <x:v>0.6640480318503615</x:v>
      </x:c>
    </x:row>
    <x:row r="118">
      <x:c r="A118" s="84">
        <x:v>156</x:v>
      </x:c>
      <x:c r="B118" s="85" t="n">
        <x:f>COUNTIF(WorkforceData[Total Days Worked],"&gt;="&amp;A118)</x:f>
        <x:v>622</x:v>
      </x:c>
      <x:c r="C118" s="85" t="n">
        <x:f>COUNTIFS(WorkforceData[Total Days Worked],A118,WorkforceData[Employment End Date],"&lt;&gt;")</x:f>
        <x:v>2</x:v>
      </x:c>
      <x:c r="D118" s="86" t="n">
        <x:f>D117*(1-C118/B118)</x:f>
        <x:v>0.6619128291756016</x:v>
      </x:c>
    </x:row>
    <x:row r="119">
      <x:c r="A119" s="84">
        <x:v>157</x:v>
      </x:c>
      <x:c r="B119" s="85" t="n">
        <x:f>COUNTIF(WorkforceData[Total Days Worked],"&gt;="&amp;A119)</x:f>
        <x:v>620</x:v>
      </x:c>
      <x:c r="C119" s="85" t="n">
        <x:f>COUNTIFS(WorkforceData[Total Days Worked],A119,WorkforceData[Employment End Date],"&lt;&gt;")</x:f>
        <x:v>2</x:v>
      </x:c>
      <x:c r="D119" s="86" t="n">
        <x:f>D118*(1-C119/B119)</x:f>
        <x:v>0.6597776265008416</x:v>
      </x:c>
    </x:row>
    <x:row r="120">
      <x:c r="A120" s="84">
        <x:v>158</x:v>
      </x:c>
      <x:c r="B120" s="85" t="n">
        <x:f>COUNTIF(WorkforceData[Total Days Worked],"&gt;="&amp;A120)</x:f>
        <x:v>618</x:v>
      </x:c>
      <x:c r="C120" s="85" t="n">
        <x:f>COUNTIFS(WorkforceData[Total Days Worked],A120,WorkforceData[Employment End Date],"&lt;&gt;")</x:f>
        <x:v>1</x:v>
      </x:c>
      <x:c r="D120" s="86" t="n">
        <x:f>D119*(1-C120/B120)</x:f>
        <x:v>0.6587100251634616</x:v>
      </x:c>
    </x:row>
    <x:row r="121">
      <x:c r="A121" s="84">
        <x:v>160</x:v>
      </x:c>
      <x:c r="B121" s="85" t="n">
        <x:f>COUNTIF(WorkforceData[Total Days Worked],"&gt;="&amp;A121)</x:f>
        <x:v>617</x:v>
      </x:c>
      <x:c r="C121" s="85" t="n">
        <x:f>COUNTIFS(WorkforceData[Total Days Worked],A121,WorkforceData[Employment End Date],"&lt;&gt;")</x:f>
        <x:v>2</x:v>
      </x:c>
      <x:c r="D121" s="86" t="n">
        <x:f>D120*(1-C121/B121)</x:f>
        <x:v>0.6565748224887015</x:v>
      </x:c>
    </x:row>
    <x:row r="122">
      <x:c r="A122" s="84">
        <x:v>161</x:v>
      </x:c>
      <x:c r="B122" s="85" t="n">
        <x:f>COUNTIF(WorkforceData[Total Days Worked],"&gt;="&amp;A122)</x:f>
        <x:v>615</x:v>
      </x:c>
      <x:c r="C122" s="85" t="n">
        <x:f>COUNTIFS(WorkforceData[Total Days Worked],A122,WorkforceData[Employment End Date],"&lt;&gt;")</x:f>
        <x:v>1</x:v>
      </x:c>
      <x:c r="D122" s="86" t="n">
        <x:f>D121*(1-C122/B122)</x:f>
        <x:v>0.6555072211513215</x:v>
      </x:c>
    </x:row>
    <x:row r="123">
      <x:c r="A123" s="84">
        <x:v>164</x:v>
      </x:c>
      <x:c r="B123" s="85" t="n">
        <x:f>COUNTIF(WorkforceData[Total Days Worked],"&gt;="&amp;A123)</x:f>
        <x:v>614</x:v>
      </x:c>
      <x:c r="C123" s="85" t="n">
        <x:f>COUNTIFS(WorkforceData[Total Days Worked],A123,WorkforceData[Employment End Date],"&lt;&gt;")</x:f>
        <x:v>1</x:v>
      </x:c>
      <x:c r="D123" s="86" t="n">
        <x:f>D122*(1-C123/B123)</x:f>
        <x:v>0.6544396198139415</x:v>
      </x:c>
    </x:row>
    <x:row r="124">
      <x:c r="A124" s="84">
        <x:v>166</x:v>
      </x:c>
      <x:c r="B124" s="85" t="n">
        <x:f>COUNTIF(WorkforceData[Total Days Worked],"&gt;="&amp;A124)</x:f>
        <x:v>613</x:v>
      </x:c>
      <x:c r="C124" s="85" t="n">
        <x:f>COUNTIFS(WorkforceData[Total Days Worked],A124,WorkforceData[Employment End Date],"&lt;&gt;")</x:f>
        <x:v>1</x:v>
      </x:c>
      <x:c r="D124" s="86" t="n">
        <x:f>D123*(1-C124/B124)</x:f>
        <x:v>0.6533720184765615</x:v>
      </x:c>
    </x:row>
    <x:row r="125">
      <x:c r="A125" s="84">
        <x:v>167</x:v>
      </x:c>
      <x:c r="B125" s="85" t="n">
        <x:f>COUNTIF(WorkforceData[Total Days Worked],"&gt;="&amp;A125)</x:f>
        <x:v>612</x:v>
      </x:c>
      <x:c r="C125" s="85" t="n">
        <x:f>COUNTIFS(WorkforceData[Total Days Worked],A125,WorkforceData[Employment End Date],"&lt;&gt;")</x:f>
        <x:v>1</x:v>
      </x:c>
      <x:c r="D125" s="86" t="n">
        <x:f>D124*(1-C125/B125)</x:f>
        <x:v>0.6523044171391814</x:v>
      </x:c>
    </x:row>
    <x:row r="126">
      <x:c r="A126" s="84">
        <x:v>168</x:v>
      </x:c>
      <x:c r="B126" s="85" t="n">
        <x:f>COUNTIF(WorkforceData[Total Days Worked],"&gt;="&amp;A126)</x:f>
        <x:v>611</x:v>
      </x:c>
      <x:c r="C126" s="85" t="n">
        <x:f>COUNTIFS(WorkforceData[Total Days Worked],A126,WorkforceData[Employment End Date],"&lt;&gt;")</x:f>
        <x:v>1</x:v>
      </x:c>
      <x:c r="D126" s="86" t="n">
        <x:f>D125*(1-C126/B126)</x:f>
        <x:v>0.6512368158018015</x:v>
      </x:c>
    </x:row>
    <x:row r="127">
      <x:c r="A127" s="84">
        <x:v>169</x:v>
      </x:c>
      <x:c r="B127" s="85" t="n">
        <x:f>COUNTIF(WorkforceData[Total Days Worked],"&gt;="&amp;A127)</x:f>
        <x:v>610</x:v>
      </x:c>
      <x:c r="C127" s="85" t="n">
        <x:f>COUNTIFS(WorkforceData[Total Days Worked],A127,WorkforceData[Employment End Date],"&lt;&gt;")</x:f>
        <x:v>1</x:v>
      </x:c>
      <x:c r="D127" s="86" t="n">
        <x:f>D126*(1-C127/B127)</x:f>
        <x:v>0.6501692144644214</x:v>
      </x:c>
    </x:row>
    <x:row r="128">
      <x:c r="A128" s="84">
        <x:v>171</x:v>
      </x:c>
      <x:c r="B128" s="85" t="n">
        <x:f>COUNTIF(WorkforceData[Total Days Worked],"&gt;="&amp;A128)</x:f>
        <x:v>609</x:v>
      </x:c>
      <x:c r="C128" s="85" t="n">
        <x:f>COUNTIFS(WorkforceData[Total Days Worked],A128,WorkforceData[Employment End Date],"&lt;&gt;")</x:f>
        <x:v>1</x:v>
      </x:c>
      <x:c r="D128" s="86" t="n">
        <x:f>D127*(1-C128/B128)</x:f>
        <x:v>0.6491016131270414</x:v>
      </x:c>
    </x:row>
    <x:row r="129">
      <x:c r="A129" s="84">
        <x:v>172</x:v>
      </x:c>
      <x:c r="B129" s="85" t="n">
        <x:f>COUNTIF(WorkforceData[Total Days Worked],"&gt;="&amp;A129)</x:f>
        <x:v>608</x:v>
      </x:c>
      <x:c r="C129" s="85" t="n">
        <x:f>COUNTIFS(WorkforceData[Total Days Worked],A129,WorkforceData[Employment End Date],"&lt;&gt;")</x:f>
        <x:v>1</x:v>
      </x:c>
      <x:c r="D129" s="86" t="n">
        <x:f>D128*(1-C129/B129)</x:f>
        <x:v>0.6480340117896614</x:v>
      </x:c>
    </x:row>
    <x:row r="130">
      <x:c r="A130" s="84">
        <x:v>175</x:v>
      </x:c>
      <x:c r="B130" s="85" t="n">
        <x:f>COUNTIF(WorkforceData[Total Days Worked],"&gt;="&amp;A130)</x:f>
        <x:v>607</x:v>
      </x:c>
      <x:c r="C130" s="85" t="n">
        <x:f>COUNTIFS(WorkforceData[Total Days Worked],A130,WorkforceData[Employment End Date],"&lt;&gt;")</x:f>
        <x:v>1</x:v>
      </x:c>
      <x:c r="D130" s="86" t="n">
        <x:f>D129*(1-C130/B130)</x:f>
        <x:v>0.6469664104522814</x:v>
      </x:c>
    </x:row>
    <x:row r="131">
      <x:c r="A131" s="84">
        <x:v>176</x:v>
      </x:c>
      <x:c r="B131" s="85" t="n">
        <x:f>COUNTIF(WorkforceData[Total Days Worked],"&gt;="&amp;A131)</x:f>
        <x:v>606</x:v>
      </x:c>
      <x:c r="C131" s="85" t="n">
        <x:f>COUNTIFS(WorkforceData[Total Days Worked],A131,WorkforceData[Employment End Date],"&lt;&gt;")</x:f>
        <x:v>3</x:v>
      </x:c>
      <x:c r="D131" s="86" t="n">
        <x:f>D130*(1-C131/B131)</x:f>
        <x:v>0.6437636064401414</x:v>
      </x:c>
    </x:row>
    <x:row r="132">
      <x:c r="A132" s="84">
        <x:v>177</x:v>
      </x:c>
      <x:c r="B132" s="85" t="n">
        <x:f>COUNTIF(WorkforceData[Total Days Worked],"&gt;="&amp;A132)</x:f>
        <x:v>603</x:v>
      </x:c>
      <x:c r="C132" s="85" t="n">
        <x:f>COUNTIFS(WorkforceData[Total Days Worked],A132,WorkforceData[Employment End Date],"&lt;&gt;")</x:f>
        <x:v>1</x:v>
      </x:c>
      <x:c r="D132" s="86" t="n">
        <x:f>D131*(1-C132/B132)</x:f>
        <x:v>0.6426960051027614</x:v>
      </x:c>
    </x:row>
    <x:row r="133">
      <x:c r="A133" s="84">
        <x:v>178</x:v>
      </x:c>
      <x:c r="B133" s="85" t="n">
        <x:f>COUNTIF(WorkforceData[Total Days Worked],"&gt;="&amp;A133)</x:f>
        <x:v>594</x:v>
      </x:c>
      <x:c r="C133" s="85" t="n">
        <x:f>COUNTIFS(WorkforceData[Total Days Worked],A133,WorkforceData[Employment End Date],"&lt;&gt;")</x:f>
        <x:v>1</x:v>
      </x:c>
      <x:c r="D133" s="86" t="n">
        <x:f>D132*(1-C133/B133)</x:f>
        <x:v>0.641614025296191</x:v>
      </x:c>
    </x:row>
    <x:row r="134">
      <x:c r="A134" s="84">
        <x:v>179</x:v>
      </x:c>
      <x:c r="B134" s="85" t="n">
        <x:f>COUNTIF(WorkforceData[Total Days Worked],"&gt;="&amp;A134)</x:f>
        <x:v>591</x:v>
      </x:c>
      <x:c r="C134" s="85" t="n">
        <x:f>COUNTIFS(WorkforceData[Total Days Worked],A134,WorkforceData[Employment End Date],"&lt;&gt;")</x:f>
        <x:v>5</x:v>
      </x:c>
      <x:c r="D134" s="86" t="n">
        <x:f>D133*(1-C134/B134)</x:f>
        <x:v>0.6361858186523993</x:v>
      </x:c>
    </x:row>
    <x:row r="135">
      <x:c r="A135" s="84">
        <x:v>183</x:v>
      </x:c>
      <x:c r="B135" s="85" t="n">
        <x:f>COUNTIF(WorkforceData[Total Days Worked],"&gt;="&amp;A135)</x:f>
        <x:v>584</x:v>
      </x:c>
      <x:c r="C135" s="85" t="n">
        <x:f>COUNTIFS(WorkforceData[Total Days Worked],A135,WorkforceData[Employment End Date],"&lt;&gt;")</x:f>
        <x:v>3</x:v>
      </x:c>
      <x:c r="D135" s="86" t="n">
        <x:f>D134*(1-C135/B135)</x:f>
        <x:v>0.6329177408168561</x:v>
      </x:c>
    </x:row>
    <x:row r="136">
      <x:c r="A136" s="84">
        <x:v>184</x:v>
      </x:c>
      <x:c r="B136" s="85" t="n">
        <x:f>COUNTIF(WorkforceData[Total Days Worked],"&gt;="&amp;A136)</x:f>
        <x:v>581</x:v>
      </x:c>
      <x:c r="C136" s="85" t="n">
        <x:f>COUNTIFS(WorkforceData[Total Days Worked],A136,WorkforceData[Employment End Date],"&lt;&gt;")</x:f>
        <x:v>2</x:v>
      </x:c>
      <x:c r="D136" s="86" t="n">
        <x:f>D135*(1-C136/B136)</x:f>
        <x:v>0.6307390222598274</x:v>
      </x:c>
    </x:row>
    <x:row r="137">
      <x:c r="A137" s="84">
        <x:v>186</x:v>
      </x:c>
      <x:c r="B137" s="85" t="n">
        <x:f>COUNTIF(WorkforceData[Total Days Worked],"&gt;="&amp;A137)</x:f>
        <x:v>577</x:v>
      </x:c>
      <x:c r="C137" s="85" t="n">
        <x:f>COUNTIFS(WorkforceData[Total Days Worked],A137,WorkforceData[Employment End Date],"&lt;&gt;")</x:f>
        <x:v>1</x:v>
      </x:c>
      <x:c r="D137" s="86" t="n">
        <x:f>D136*(1-C137/B137)</x:f>
        <x:v>0.629645887039273</x:v>
      </x:c>
    </x:row>
    <x:row r="138">
      <x:c r="A138" s="84">
        <x:v>187</x:v>
      </x:c>
      <x:c r="B138" s="85" t="n">
        <x:f>COUNTIF(WorkforceData[Total Days Worked],"&gt;="&amp;A138)</x:f>
        <x:v>576</x:v>
      </x:c>
      <x:c r="C138" s="85" t="n">
        <x:f>COUNTIFS(WorkforceData[Total Days Worked],A138,WorkforceData[Employment End Date],"&lt;&gt;")</x:f>
        <x:v>2</x:v>
      </x:c>
      <x:c r="D138" s="86" t="n">
        <x:f>D137*(1-C138/B138)</x:f>
        <x:v>0.6274596165981645</x:v>
      </x:c>
    </x:row>
    <x:row r="139">
      <x:c r="A139" s="84">
        <x:v>189</x:v>
      </x:c>
      <x:c r="B139" s="85" t="n">
        <x:f>COUNTIF(WorkforceData[Total Days Worked],"&gt;="&amp;A139)</x:f>
        <x:v>570</x:v>
      </x:c>
      <x:c r="C139" s="85" t="n">
        <x:f>COUNTIFS(WorkforceData[Total Days Worked],A139,WorkforceData[Employment End Date],"&lt;&gt;")</x:f>
        <x:v>1</x:v>
      </x:c>
      <x:c r="D139" s="86" t="n">
        <x:f>D138*(1-C139/B139)</x:f>
        <x:v>0.6263588102532555</x:v>
      </x:c>
    </x:row>
    <x:row r="140">
      <x:c r="A140" s="84">
        <x:v>190</x:v>
      </x:c>
      <x:c r="B140" s="85" t="n">
        <x:f>COUNTIF(WorkforceData[Total Days Worked],"&gt;="&amp;A140)</x:f>
        <x:v>568</x:v>
      </x:c>
      <x:c r="C140" s="85" t="n">
        <x:f>COUNTIFS(WorkforceData[Total Days Worked],A140,WorkforceData[Employment End Date],"&lt;&gt;")</x:f>
        <x:v>1</x:v>
      </x:c>
      <x:c r="D140" s="86" t="n">
        <x:f>D139*(1-C140/B140)</x:f>
        <x:v>0.6252560658690067</x:v>
      </x:c>
    </x:row>
    <x:row r="141">
      <x:c r="A141" s="84">
        <x:v>192</x:v>
      </x:c>
      <x:c r="B141" s="85" t="n">
        <x:f>COUNTIF(WorkforceData[Total Days Worked],"&gt;="&amp;A141)</x:f>
        <x:v>565</x:v>
      </x:c>
      <x:c r="C141" s="85" t="n">
        <x:f>COUNTIFS(WorkforceData[Total Days Worked],A141,WorkforceData[Employment End Date],"&lt;&gt;")</x:f>
        <x:v>1</x:v>
      </x:c>
      <x:c r="D141" s="86" t="n">
        <x:f>D140*(1-C141/B141)</x:f>
        <x:v>0.6241494179648138</x:v>
      </x:c>
    </x:row>
    <x:row r="142">
      <x:c r="A142" s="84">
        <x:v>193</x:v>
      </x:c>
      <x:c r="B142" s="85" t="n">
        <x:f>COUNTIF(WorkforceData[Total Days Worked],"&gt;="&amp;A142)</x:f>
        <x:v>564</x:v>
      </x:c>
      <x:c r="C142" s="85" t="n">
        <x:f>COUNTIFS(WorkforceData[Total Days Worked],A142,WorkforceData[Employment End Date],"&lt;&gt;")</x:f>
        <x:v>1</x:v>
      </x:c>
      <x:c r="D142" s="86" t="n">
        <x:f>D141*(1-C142/B142)</x:f>
        <x:v>0.6230427700606209</x:v>
      </x:c>
    </x:row>
    <x:row r="143">
      <x:c r="A143" s="84">
        <x:v>195</x:v>
      </x:c>
      <x:c r="B143" s="85" t="n">
        <x:f>COUNTIF(WorkforceData[Total Days Worked],"&gt;="&amp;A143)</x:f>
        <x:v>563</x:v>
      </x:c>
      <x:c r="C143" s="85" t="n">
        <x:f>COUNTIFS(WorkforceData[Total Days Worked],A143,WorkforceData[Employment End Date],"&lt;&gt;")</x:f>
        <x:v>2</x:v>
      </x:c>
      <x:c r="D143" s="86" t="n">
        <x:f>D142*(1-C143/B143)</x:f>
        <x:v>0.620829474252235</x:v>
      </x:c>
    </x:row>
    <x:row r="144">
      <x:c r="A144" s="84">
        <x:v>198</x:v>
      </x:c>
      <x:c r="B144" s="85" t="n">
        <x:f>COUNTIF(WorkforceData[Total Days Worked],"&gt;="&amp;A144)</x:f>
        <x:v>556</x:v>
      </x:c>
      <x:c r="C144" s="85" t="n">
        <x:f>COUNTIFS(WorkforceData[Total Days Worked],A144,WorkforceData[Employment End Date],"&lt;&gt;")</x:f>
        <x:v>1</x:v>
      </x:c>
      <x:c r="D144" s="86" t="n">
        <x:f>D143*(1-C144/B144)</x:f>
        <x:v>0.6197128744784001</x:v>
      </x:c>
    </x:row>
    <x:row r="145">
      <x:c r="A145" s="84">
        <x:v>200</x:v>
      </x:c>
      <x:c r="B145" s="85" t="n">
        <x:f>COUNTIF(WorkforceData[Total Days Worked],"&gt;="&amp;A145)</x:f>
        <x:v>551</x:v>
      </x:c>
      <x:c r="C145" s="85" t="n">
        <x:f>COUNTIFS(WorkforceData[Total Days Worked],A145,WorkforceData[Employment End Date],"&lt;&gt;")</x:f>
        <x:v>11</x:v>
      </x:c>
      <x:c r="D145" s="86" t="n">
        <x:f>D144*(1-C145/B145)</x:f>
        <x:v>0.6073411111040582</x:v>
      </x:c>
    </x:row>
    <x:row r="146">
      <x:c r="A146" s="84">
        <x:v>203</x:v>
      </x:c>
      <x:c r="B146" s="85" t="n">
        <x:f>COUNTIF(WorkforceData[Total Days Worked],"&gt;="&amp;A146)</x:f>
        <x:v>537</x:v>
      </x:c>
      <x:c r="C146" s="85" t="n">
        <x:f>COUNTIFS(WorkforceData[Total Days Worked],A146,WorkforceData[Employment End Date],"&lt;&gt;")</x:f>
        <x:v>1</x:v>
      </x:c>
      <x:c r="D146" s="86" t="n">
        <x:f>D145*(1-C146/B146)</x:f>
        <x:v>0.6062101220703449</x:v>
      </x:c>
    </x:row>
    <x:row r="147">
      <x:c r="A147" s="84">
        <x:v>207</x:v>
      </x:c>
      <x:c r="B147" s="85" t="n">
        <x:f>COUNTIF(WorkforceData[Total Days Worked],"&gt;="&amp;A147)</x:f>
        <x:v>535</x:v>
      </x:c>
      <x:c r="C147" s="85" t="n">
        <x:f>COUNTIFS(WorkforceData[Total Days Worked],A147,WorkforceData[Employment End Date],"&lt;&gt;")</x:f>
        <x:v>1</x:v>
      </x:c>
      <x:c r="D147" s="86" t="n">
        <x:f>D146*(1-C147/B147)</x:f>
        <x:v>0.6050770190384377</x:v>
      </x:c>
    </x:row>
    <x:row r="148">
      <x:c r="A148" s="84">
        <x:v>217</x:v>
      </x:c>
      <x:c r="B148" s="85" t="n">
        <x:f>COUNTIF(WorkforceData[Total Days Worked],"&gt;="&amp;A148)</x:f>
        <x:v>534</x:v>
      </x:c>
      <x:c r="C148" s="85" t="n">
        <x:f>COUNTIFS(WorkforceData[Total Days Worked],A148,WorkforceData[Employment End Date],"&lt;&gt;")</x:f>
        <x:v>1</x:v>
      </x:c>
      <x:c r="D148" s="86" t="n">
        <x:f>D147*(1-C148/B148)</x:f>
        <x:v>0.6039439160065305</x:v>
      </x:c>
    </x:row>
    <x:row r="149">
      <x:c r="A149" s="84">
        <x:v>219</x:v>
      </x:c>
      <x:c r="B149" s="85" t="n">
        <x:f>COUNTIF(WorkforceData[Total Days Worked],"&gt;="&amp;A149)</x:f>
        <x:v>533</x:v>
      </x:c>
      <x:c r="C149" s="85" t="n">
        <x:f>COUNTIFS(WorkforceData[Total Days Worked],A149,WorkforceData[Employment End Date],"&lt;&gt;")</x:f>
        <x:v>1</x:v>
      </x:c>
      <x:c r="D149" s="86" t="n">
        <x:f>D148*(1-C149/B149)</x:f>
        <x:v>0.6028108129746234</x:v>
      </x:c>
    </x:row>
    <x:row r="150">
      <x:c r="A150" s="84">
        <x:v>221</x:v>
      </x:c>
      <x:c r="B150" s="85" t="n">
        <x:f>COUNTIF(WorkforceData[Total Days Worked],"&gt;="&amp;A150)</x:f>
        <x:v>532</x:v>
      </x:c>
      <x:c r="C150" s="85" t="n">
        <x:f>COUNTIFS(WorkforceData[Total Days Worked],A150,WorkforceData[Employment End Date],"&lt;&gt;")</x:f>
        <x:v>2</x:v>
      </x:c>
      <x:c r="D150" s="86" t="n">
        <x:f>D149*(1-C150/B150)</x:f>
        <x:v>0.600544606910809</x:v>
      </x:c>
    </x:row>
    <x:row r="151">
      <x:c r="A151" s="84">
        <x:v>222</x:v>
      </x:c>
      <x:c r="B151" s="85" t="n">
        <x:f>COUNTIF(WorkforceData[Total Days Worked],"&gt;="&amp;A151)</x:f>
        <x:v>530</x:v>
      </x:c>
      <x:c r="C151" s="85" t="n">
        <x:f>COUNTIFS(WorkforceData[Total Days Worked],A151,WorkforceData[Employment End Date],"&lt;&gt;")</x:f>
        <x:v>1</x:v>
      </x:c>
      <x:c r="D151" s="86" t="n">
        <x:f>D150*(1-C151/B151)</x:f>
        <x:v>0.5994115038789019</x:v>
      </x:c>
    </x:row>
    <x:row r="152">
      <x:c r="A152" s="84">
        <x:v>226</x:v>
      </x:c>
      <x:c r="B152" s="85" t="n">
        <x:f>COUNTIF(WorkforceData[Total Days Worked],"&gt;="&amp;A152)</x:f>
        <x:v>529</x:v>
      </x:c>
      <x:c r="C152" s="85" t="n">
        <x:f>COUNTIFS(WorkforceData[Total Days Worked],A152,WorkforceData[Employment End Date],"&lt;&gt;")</x:f>
        <x:v>2</x:v>
      </x:c>
      <x:c r="D152" s="86" t="n">
        <x:f>D151*(1-C152/B152)</x:f>
        <x:v>0.5971452978150874</x:v>
      </x:c>
    </x:row>
    <x:row r="153">
      <x:c r="A153" s="84">
        <x:v>228</x:v>
      </x:c>
      <x:c r="B153" s="85" t="n">
        <x:f>COUNTIF(WorkforceData[Total Days Worked],"&gt;="&amp;A153)</x:f>
        <x:v>527</x:v>
      </x:c>
      <x:c r="C153" s="85" t="n">
        <x:f>COUNTIFS(WorkforceData[Total Days Worked],A153,WorkforceData[Employment End Date],"&lt;&gt;")</x:f>
        <x:v>1</x:v>
      </x:c>
      <x:c r="D153" s="86" t="n">
        <x:f>D152*(1-C153/B153)</x:f>
        <x:v>0.5960121947831802</x:v>
      </x:c>
    </x:row>
    <x:row r="154">
      <x:c r="A154" s="84">
        <x:v>233</x:v>
      </x:c>
      <x:c r="B154" s="85" t="n">
        <x:f>COUNTIF(WorkforceData[Total Days Worked],"&gt;="&amp;A154)</x:f>
        <x:v>526</x:v>
      </x:c>
      <x:c r="C154" s="85" t="n">
        <x:f>COUNTIFS(WorkforceData[Total Days Worked],A154,WorkforceData[Employment End Date],"&lt;&gt;")</x:f>
        <x:v>1</x:v>
      </x:c>
      <x:c r="D154" s="86" t="n">
        <x:f>D153*(1-C154/B154)</x:f>
        <x:v>0.5948790917512731</x:v>
      </x:c>
    </x:row>
    <x:row r="155">
      <x:c r="A155" s="84">
        <x:v>236</x:v>
      </x:c>
      <x:c r="B155" s="85" t="n">
        <x:f>COUNTIF(WorkforceData[Total Days Worked],"&gt;="&amp;A155)</x:f>
        <x:v>525</x:v>
      </x:c>
      <x:c r="C155" s="85" t="n">
        <x:f>COUNTIFS(WorkforceData[Total Days Worked],A155,WorkforceData[Employment End Date],"&lt;&gt;")</x:f>
        <x:v>1</x:v>
      </x:c>
      <x:c r="D155" s="86" t="n">
        <x:f>D154*(1-C155/B155)</x:f>
        <x:v>0.5937459887193659</x:v>
      </x:c>
    </x:row>
    <x:row r="156">
      <x:c r="A156" s="84">
        <x:v>237</x:v>
      </x:c>
      <x:c r="B156" s="85" t="n">
        <x:f>COUNTIF(WorkforceData[Total Days Worked],"&gt;="&amp;A156)</x:f>
        <x:v>524</x:v>
      </x:c>
      <x:c r="C156" s="85" t="n">
        <x:f>COUNTIFS(WorkforceData[Total Days Worked],A156,WorkforceData[Employment End Date],"&lt;&gt;")</x:f>
        <x:v>1</x:v>
      </x:c>
      <x:c r="D156" s="86" t="n">
        <x:f>D155*(1-C156/B156)</x:f>
        <x:v>0.5926128856874587</x:v>
      </x:c>
    </x:row>
    <x:row r="157">
      <x:c r="A157" s="84">
        <x:v>241</x:v>
      </x:c>
      <x:c r="B157" s="85" t="n">
        <x:f>COUNTIF(WorkforceData[Total Days Worked],"&gt;="&amp;A157)</x:f>
        <x:v>518</x:v>
      </x:c>
      <x:c r="C157" s="85" t="n">
        <x:f>COUNTIFS(WorkforceData[Total Days Worked],A157,WorkforceData[Employment End Date],"&lt;&gt;")</x:f>
        <x:v>1</x:v>
      </x:c>
      <x:c r="D157" s="86" t="n">
        <x:f>D156*(1-C157/B157)</x:f>
        <x:v>0.5914688453675988</x:v>
      </x:c>
    </x:row>
    <x:row r="158">
      <x:c r="A158" s="84">
        <x:v>245</x:v>
      </x:c>
      <x:c r="B158" s="85" t="n">
        <x:f>COUNTIF(WorkforceData[Total Days Worked],"&gt;="&amp;A158)</x:f>
        <x:v>513</x:v>
      </x:c>
      <x:c r="C158" s="85" t="n">
        <x:f>COUNTIFS(WorkforceData[Total Days Worked],A158,WorkforceData[Employment End Date],"&lt;&gt;")</x:f>
        <x:v>1</x:v>
      </x:c>
      <x:c r="D158" s="86" t="n">
        <x:f>D157*(1-C158/B158)</x:f>
        <x:v>0.5903158846553812</x:v>
      </x:c>
    </x:row>
    <x:row r="159">
      <x:c r="A159" s="84">
        <x:v>247</x:v>
      </x:c>
      <x:c r="B159" s="85" t="n">
        <x:f>COUNTIF(WorkforceData[Total Days Worked],"&gt;="&amp;A159)</x:f>
        <x:v>510</x:v>
      </x:c>
      <x:c r="C159" s="85" t="n">
        <x:f>COUNTIFS(WorkforceData[Total Days Worked],A159,WorkforceData[Employment End Date],"&lt;&gt;")</x:f>
        <x:v>5</x:v>
      </x:c>
      <x:c r="D159" s="86" t="n">
        <x:f>D158*(1-C159/B159)</x:f>
        <x:v>0.584528474021505</x:v>
      </x:c>
    </x:row>
    <x:row r="160">
      <x:c r="A160" s="84">
        <x:v>248</x:v>
      </x:c>
      <x:c r="B160" s="85" t="n">
        <x:f>COUNTIF(WorkforceData[Total Days Worked],"&gt;="&amp;A160)</x:f>
        <x:v>499</x:v>
      </x:c>
      <x:c r="C160" s="85" t="n">
        <x:f>COUNTIFS(WorkforceData[Total Days Worked],A160,WorkforceData[Employment End Date],"&lt;&gt;")</x:f>
        <x:v>1</x:v>
      </x:c>
      <x:c r="D160" s="86" t="n">
        <x:f>D159*(1-C160/B160)</x:f>
        <x:v>0.5833570742739669</x:v>
      </x:c>
    </x:row>
    <x:row r="161">
      <x:c r="A161" s="84">
        <x:v>249</x:v>
      </x:c>
      <x:c r="B161" s="85" t="n">
        <x:f>COUNTIF(WorkforceData[Total Days Worked],"&gt;="&amp;A161)</x:f>
        <x:v>492</x:v>
      </x:c>
      <x:c r="C161" s="85" t="n">
        <x:f>COUNTIFS(WorkforceData[Total Days Worked],A161,WorkforceData[Employment End Date],"&lt;&gt;")</x:f>
        <x:v>2</x:v>
      </x:c>
      <x:c r="D161" s="86" t="n">
        <x:f>D160*(1-C161/B161)</x:f>
        <x:v>0.580985704053341</x:v>
      </x:c>
    </x:row>
    <x:row r="162">
      <x:c r="A162" s="84">
        <x:v>250</x:v>
      </x:c>
      <x:c r="B162" s="85" t="n">
        <x:f>COUNTIF(WorkforceData[Total Days Worked],"&gt;="&amp;A162)</x:f>
        <x:v>489</x:v>
      </x:c>
      <x:c r="C162" s="85" t="n">
        <x:f>COUNTIFS(WorkforceData[Total Days Worked],A162,WorkforceData[Employment End Date],"&lt;&gt;")</x:f>
        <x:v>1</x:v>
      </x:c>
      <x:c r="D162" s="86" t="n">
        <x:f>D161*(1-C162/B162)</x:f>
        <x:v>0.5797975942291012</x:v>
      </x:c>
    </x:row>
    <x:row r="163">
      <x:c r="A163" s="84">
        <x:v>255</x:v>
      </x:c>
      <x:c r="B163" s="85" t="n">
        <x:f>COUNTIF(WorkforceData[Total Days Worked],"&gt;="&amp;A163)</x:f>
        <x:v>483</x:v>
      </x:c>
      <x:c r="C163" s="85" t="n">
        <x:f>COUNTIFS(WorkforceData[Total Days Worked],A163,WorkforceData[Employment End Date],"&lt;&gt;")</x:f>
        <x:v>2</x:v>
      </x:c>
      <x:c r="D163" s="86" t="n">
        <x:f>D162*(1-C163/B163)</x:f>
        <x:v>0.5773967760335356</x:v>
      </x:c>
    </x:row>
    <x:row r="164">
      <x:c r="A164" s="84">
        <x:v>260</x:v>
      </x:c>
      <x:c r="B164" s="85" t="n">
        <x:f>COUNTIF(WorkforceData[Total Days Worked],"&gt;="&amp;A164)</x:f>
        <x:v>479</x:v>
      </x:c>
      <x:c r="C164" s="85" t="n">
        <x:f>COUNTIFS(WorkforceData[Total Days Worked],A164,WorkforceData[Employment End Date],"&lt;&gt;")</x:f>
        <x:v>2</x:v>
      </x:c>
      <x:c r="D164" s="86" t="n">
        <x:f>D163*(1-C164/B164)</x:f>
        <x:v>0.5749859335448778</x:v>
      </x:c>
    </x:row>
    <x:row r="165">
      <x:c r="A165" s="84">
        <x:v>266</x:v>
      </x:c>
      <x:c r="B165" s="85" t="n">
        <x:f>COUNTIF(WorkforceData[Total Days Worked],"&gt;="&amp;A165)</x:f>
        <x:v>475</x:v>
      </x:c>
      <x:c r="C165" s="85" t="n">
        <x:f>COUNTIFS(WorkforceData[Total Days Worked],A165,WorkforceData[Employment End Date],"&lt;&gt;")</x:f>
        <x:v>1</x:v>
      </x:c>
      <x:c r="D165" s="86" t="n">
        <x:f>D164*(1-C165/B165)</x:f>
        <x:v>0.5737754368426781</x:v>
      </x:c>
    </x:row>
    <x:row r="166">
      <x:c r="A166" s="84">
        <x:v>273</x:v>
      </x:c>
      <x:c r="B166" s="85" t="n">
        <x:f>COUNTIF(WorkforceData[Total Days Worked],"&gt;="&amp;A166)</x:f>
        <x:v>466</x:v>
      </x:c>
      <x:c r="C166" s="85" t="n">
        <x:f>COUNTIFS(WorkforceData[Total Days Worked],A166,WorkforceData[Employment End Date],"&lt;&gt;")</x:f>
        <x:v>2</x:v>
      </x:c>
      <x:c r="D166" s="86" t="n">
        <x:f>D165*(1-C166/B166)</x:f>
        <x:v>0.5713128813197481</x:v>
      </x:c>
    </x:row>
    <x:row r="167">
      <x:c r="A167" s="84">
        <x:v>274</x:v>
      </x:c>
      <x:c r="B167" s="85" t="n">
        <x:f>COUNTIF(WorkforceData[Total Days Worked],"&gt;="&amp;A167)</x:f>
        <x:v>463</x:v>
      </x:c>
      <x:c r="C167" s="85" t="n">
        <x:f>COUNTIFS(WorkforceData[Total Days Worked],A167,WorkforceData[Employment End Date],"&lt;&gt;")</x:f>
        <x:v>2</x:v>
      </x:c>
      <x:c r="D167" s="86" t="n">
        <x:f>D166*(1-C167/B167)</x:f>
        <x:v>0.5688450071023842</x:v>
      </x:c>
    </x:row>
    <x:row r="168">
      <x:c r="A168" s="84">
        <x:v>278</x:v>
      </x:c>
      <x:c r="B168" s="85" t="n">
        <x:f>COUNTIF(WorkforceData[Total Days Worked],"&gt;="&amp;A168)</x:f>
        <x:v>457</x:v>
      </x:c>
      <x:c r="C168" s="85" t="n">
        <x:f>COUNTIFS(WorkforceData[Total Days Worked],A168,WorkforceData[Employment End Date],"&lt;&gt;")</x:f>
        <x:v>2</x:v>
      </x:c>
      <x:c r="D168" s="86" t="n">
        <x:f>D167*(1-C168/B168)</x:f>
        <x:v>0.5663555322354152</x:v>
      </x:c>
    </x:row>
    <x:row r="169">
      <x:c r="A169" s="84">
        <x:v>283</x:v>
      </x:c>
      <x:c r="B169" s="85" t="n">
        <x:f>COUNTIF(WorkforceData[Total Days Worked],"&gt;="&amp;A169)</x:f>
        <x:v>453</x:v>
      </x:c>
      <x:c r="C169" s="85" t="n">
        <x:f>COUNTIFS(WorkforceData[Total Days Worked],A169,WorkforceData[Employment End Date],"&lt;&gt;")</x:f>
        <x:v>1</x:v>
      </x:c>
      <x:c r="D169" s="86" t="n">
        <x:f>D168*(1-C169/B169)</x:f>
        <x:v>0.5651052992724231</x:v>
      </x:c>
    </x:row>
    <x:row r="170">
      <x:c r="A170" s="84">
        <x:v>286</x:v>
      </x:c>
      <x:c r="B170" s="85" t="n">
        <x:f>COUNTIF(WorkforceData[Total Days Worked],"&gt;="&amp;A170)</x:f>
        <x:v>452</x:v>
      </x:c>
      <x:c r="C170" s="85" t="n">
        <x:f>COUNTIFS(WorkforceData[Total Days Worked],A170,WorkforceData[Employment End Date],"&lt;&gt;")</x:f>
        <x:v>2</x:v>
      </x:c>
      <x:c r="D170" s="86" t="n">
        <x:f>D169*(1-C170/B170)</x:f>
        <x:v>0.562604833346439</x:v>
      </x:c>
    </x:row>
    <x:row r="171">
      <x:c r="A171" s="84">
        <x:v>289</x:v>
      </x:c>
      <x:c r="B171" s="85" t="n">
        <x:f>COUNTIF(WorkforceData[Total Days Worked],"&gt;="&amp;A171)</x:f>
        <x:v>450</x:v>
      </x:c>
      <x:c r="C171" s="85" t="n">
        <x:f>COUNTIFS(WorkforceData[Total Days Worked],A171,WorkforceData[Employment End Date],"&lt;&gt;")</x:f>
        <x:v>1</x:v>
      </x:c>
      <x:c r="D171" s="86" t="n">
        <x:f>D170*(1-C171/B171)</x:f>
        <x:v>0.5613546003834469</x:v>
      </x:c>
    </x:row>
    <x:row r="172">
      <x:c r="A172" s="84">
        <x:v>292</x:v>
      </x:c>
      <x:c r="B172" s="85" t="n">
        <x:f>COUNTIF(WorkforceData[Total Days Worked],"&gt;="&amp;A172)</x:f>
        <x:v>449</x:v>
      </x:c>
      <x:c r="C172" s="85" t="n">
        <x:f>COUNTIFS(WorkforceData[Total Days Worked],A172,WorkforceData[Employment End Date],"&lt;&gt;")</x:f>
        <x:v>1</x:v>
      </x:c>
      <x:c r="D172" s="86" t="n">
        <x:f>D171*(1-C172/B172)</x:f>
        <x:v>0.5601043674204548</x:v>
      </x:c>
    </x:row>
    <x:row r="173">
      <x:c r="A173" s="84">
        <x:v>293</x:v>
      </x:c>
      <x:c r="B173" s="85" t="n">
        <x:f>COUNTIF(WorkforceData[Total Days Worked],"&gt;="&amp;A173)</x:f>
        <x:v>448</x:v>
      </x:c>
      <x:c r="C173" s="85" t="n">
        <x:f>COUNTIFS(WorkforceData[Total Days Worked],A173,WorkforceData[Employment End Date],"&lt;&gt;")</x:f>
        <x:v>1</x:v>
      </x:c>
      <x:c r="D173" s="86" t="n">
        <x:f>D172*(1-C173/B173)</x:f>
        <x:v>0.5588541344574627</x:v>
      </x:c>
    </x:row>
    <x:row r="174">
      <x:c r="A174" s="84">
        <x:v>304</x:v>
      </x:c>
      <x:c r="B174" s="85" t="n">
        <x:f>COUNTIF(WorkforceData[Total Days Worked],"&gt;="&amp;A174)</x:f>
        <x:v>440</x:v>
      </x:c>
      <x:c r="C174" s="85" t="n">
        <x:f>COUNTIFS(WorkforceData[Total Days Worked],A174,WorkforceData[Employment End Date],"&lt;&gt;")</x:f>
        <x:v>1</x:v>
      </x:c>
      <x:c r="D174" s="86" t="n">
        <x:f>D173*(1-C174/B174)</x:f>
        <x:v>0.5575840114246048</x:v>
      </x:c>
    </x:row>
    <x:row r="175">
      <x:c r="A175" s="84">
        <x:v>305</x:v>
      </x:c>
      <x:c r="B175" s="85" t="n">
        <x:f>COUNTIF(WorkforceData[Total Days Worked],"&gt;="&amp;A175)</x:f>
        <x:v>439</x:v>
      </x:c>
      <x:c r="C175" s="85" t="n">
        <x:f>COUNTIFS(WorkforceData[Total Days Worked],A175,WorkforceData[Employment End Date],"&lt;&gt;")</x:f>
        <x:v>1</x:v>
      </x:c>
      <x:c r="D175" s="86" t="n">
        <x:f>D174*(1-C175/B175)</x:f>
        <x:v>0.5563138883917469</x:v>
      </x:c>
    </x:row>
    <x:row r="176">
      <x:c r="A176" s="84">
        <x:v>312</x:v>
      </x:c>
      <x:c r="B176" s="85" t="n">
        <x:f>COUNTIF(WorkforceData[Total Days Worked],"&gt;="&amp;A176)</x:f>
        <x:v>434</x:v>
      </x:c>
      <x:c r="C176" s="85" t="n">
        <x:f>COUNTIFS(WorkforceData[Total Days Worked],A176,WorkforceData[Employment End Date],"&lt;&gt;")</x:f>
        <x:v>1</x:v>
      </x:c>
      <x:c r="D176" s="86" t="n">
        <x:f>D175*(1-C176/B176)</x:f>
        <x:v>0.5550320591558212</x:v>
      </x:c>
    </x:row>
    <x:row r="177">
      <x:c r="A177" s="84">
        <x:v>327</x:v>
      </x:c>
      <x:c r="B177" s="85" t="n">
        <x:f>COUNTIF(WorkforceData[Total Days Worked],"&gt;="&amp;A177)</x:f>
        <x:v>433</x:v>
      </x:c>
      <x:c r="C177" s="85" t="n">
        <x:f>COUNTIFS(WorkforceData[Total Days Worked],A177,WorkforceData[Employment End Date],"&lt;&gt;")</x:f>
        <x:v>1</x:v>
      </x:c>
      <x:c r="D177" s="86" t="n">
        <x:f>D176*(1-C177/B177)</x:f>
        <x:v>0.5537502299198955</x:v>
      </x:c>
    </x:row>
    <x:row r="178">
      <x:c r="A178" s="84">
        <x:v>329</x:v>
      </x:c>
      <x:c r="B178" s="85" t="n">
        <x:f>COUNTIF(WorkforceData[Total Days Worked],"&gt;="&amp;A178)</x:f>
        <x:v>432</x:v>
      </x:c>
      <x:c r="C178" s="85" t="n">
        <x:f>COUNTIFS(WorkforceData[Total Days Worked],A178,WorkforceData[Employment End Date],"&lt;&gt;")</x:f>
        <x:v>1</x:v>
      </x:c>
      <x:c r="D178" s="86" t="n">
        <x:f>D177*(1-C178/B178)</x:f>
        <x:v>0.5524684006839699</x:v>
      </x:c>
    </x:row>
    <x:row r="179">
      <x:c r="A179" s="84">
        <x:v>345</x:v>
      </x:c>
      <x:c r="B179" s="85" t="n">
        <x:f>COUNTIF(WorkforceData[Total Days Worked],"&gt;="&amp;A179)</x:f>
        <x:v>427</x:v>
      </x:c>
      <x:c r="C179" s="85" t="n">
        <x:f>COUNTIFS(WorkforceData[Total Days Worked],A179,WorkforceData[Employment End Date],"&lt;&gt;")</x:f>
        <x:v>1</x:v>
      </x:c>
      <x:c r="D179" s="86" t="n">
        <x:f>D178*(1-C179/B179)</x:f>
        <x:v>0.5511745636800262</x:v>
      </x:c>
    </x:row>
    <x:row r="180">
      <x:c r="A180" s="84">
        <x:v>346</x:v>
      </x:c>
      <x:c r="B180" s="85" t="n">
        <x:f>COUNTIF(WorkforceData[Total Days Worked],"&gt;="&amp;A180)</x:f>
        <x:v>425</x:v>
      </x:c>
      <x:c r="C180" s="85" t="n">
        <x:f>COUNTIFS(WorkforceData[Total Days Worked],A180,WorkforceData[Employment End Date],"&lt;&gt;")</x:f>
        <x:v>1</x:v>
      </x:c>
      <x:c r="D180" s="86" t="n">
        <x:f>D179*(1-C180/B180)</x:f>
        <x:v>0.5498776823537203</x:v>
      </x:c>
    </x:row>
    <x:row r="181">
      <x:c r="A181" s="84">
        <x:v>352</x:v>
      </x:c>
      <x:c r="B181" s="85" t="n">
        <x:f>COUNTIF(WorkforceData[Total Days Worked],"&gt;="&amp;A181)</x:f>
        <x:v>423</x:v>
      </x:c>
      <x:c r="C181" s="85" t="n">
        <x:f>COUNTIFS(WorkforceData[Total Days Worked],A181,WorkforceData[Employment End Date],"&lt;&gt;")</x:f>
        <x:v>1</x:v>
      </x:c>
      <x:c r="D181" s="86" t="n">
        <x:f>D180*(1-C181/B181)</x:f>
        <x:v>0.5485777351141133</x:v>
      </x:c>
    </x:row>
    <x:row r="182">
      <x:c r="A182" s="84">
        <x:v>358</x:v>
      </x:c>
      <x:c r="B182" s="85" t="n">
        <x:f>COUNTIF(WorkforceData[Total Days Worked],"&gt;="&amp;A182)</x:f>
        <x:v>421</x:v>
      </x:c>
      <x:c r="C182" s="85" t="n">
        <x:f>COUNTIFS(WorkforceData[Total Days Worked],A182,WorkforceData[Employment End Date],"&lt;&gt;")</x:f>
        <x:v>1</x:v>
      </x:c>
      <x:c r="D182" s="86" t="n">
        <x:f>D181*(1-C182/B182)</x:f>
        <x:v>0.5472747001138423</x:v>
      </x:c>
    </x:row>
    <x:row r="183">
      <x:c r="A183" s="84">
        <x:v>362</x:v>
      </x:c>
      <x:c r="B183" s="85" t="n">
        <x:f>COUNTIF(WorkforceData[Total Days Worked],"&gt;="&amp;A183)</x:f>
        <x:v>420</x:v>
      </x:c>
      <x:c r="C183" s="85" t="n">
        <x:f>COUNTIFS(WorkforceData[Total Days Worked],A183,WorkforceData[Employment End Date],"&lt;&gt;")</x:f>
        <x:v>1</x:v>
      </x:c>
      <x:c r="D183" s="86" t="n">
        <x:f>D182*(1-C183/B183)</x:f>
        <x:v>0.5459716651135712</x:v>
      </x:c>
    </x:row>
    <x:row r="184">
      <x:c r="A184" s="84">
        <x:v>365</x:v>
      </x:c>
      <x:c r="B184" s="85" t="n">
        <x:f>COUNTIF(WorkforceData[Total Days Worked],"&gt;="&amp;A184)</x:f>
        <x:v>419</x:v>
      </x:c>
      <x:c r="C184" s="85" t="n">
        <x:f>COUNTIFS(WorkforceData[Total Days Worked],A184,WorkforceData[Employment End Date],"&lt;&gt;")</x:f>
        <x:v>1</x:v>
      </x:c>
      <x:c r="D184" s="86" t="n">
        <x:f>D183*(1-C184/B184)</x:f>
        <x:v>0.5446686301133001</x:v>
      </x:c>
    </x:row>
    <x:row r="185">
      <x:c r="A185" s="84">
        <x:v>366</x:v>
      </x:c>
      <x:c r="B185" s="85" t="n">
        <x:f>COUNTIF(WorkforceData[Total Days Worked],"&gt;="&amp;A185)</x:f>
        <x:v>418</x:v>
      </x:c>
      <x:c r="C185" s="85" t="n">
        <x:f>COUNTIFS(WorkforceData[Total Days Worked],A185,WorkforceData[Employment End Date],"&lt;&gt;")</x:f>
        <x:v>2</x:v>
      </x:c>
      <x:c r="D185" s="86" t="n">
        <x:f>D184*(1-C185/B185)</x:f>
        <x:v>0.542062560112758</x:v>
      </x:c>
    </x:row>
    <x:row r="186">
      <x:c r="A186" s="84">
        <x:v>371</x:v>
      </x:c>
      <x:c r="B186" s="85" t="n">
        <x:f>COUNTIF(WorkforceData[Total Days Worked],"&gt;="&amp;A186)</x:f>
        <x:v>416</x:v>
      </x:c>
      <x:c r="C186" s="85" t="n">
        <x:f>COUNTIFS(WorkforceData[Total Days Worked],A186,WorkforceData[Employment End Date],"&lt;&gt;")</x:f>
        <x:v>1</x:v>
      </x:c>
      <x:c r="D186" s="86" t="n">
        <x:f>D185*(1-C186/B186)</x:f>
        <x:v>0.5407595251124869</x:v>
      </x:c>
    </x:row>
    <x:row r="187">
      <x:c r="A187" s="84">
        <x:v>376</x:v>
      </x:c>
      <x:c r="B187" s="85" t="n">
        <x:f>COUNTIF(WorkforceData[Total Days Worked],"&gt;="&amp;A187)</x:f>
        <x:v>415</x:v>
      </x:c>
      <x:c r="C187" s="85" t="n">
        <x:f>COUNTIFS(WorkforceData[Total Days Worked],A187,WorkforceData[Employment End Date],"&lt;&gt;")</x:f>
        <x:v>1</x:v>
      </x:c>
      <x:c r="D187" s="86" t="n">
        <x:f>D186*(1-C187/B187)</x:f>
        <x:v>0.5394564901122159</x:v>
      </x:c>
    </x:row>
    <x:row r="188">
      <x:c r="A188" s="84">
        <x:v>377</x:v>
      </x:c>
      <x:c r="B188" s="85" t="n">
        <x:f>COUNTIF(WorkforceData[Total Days Worked],"&gt;="&amp;A188)</x:f>
        <x:v>414</x:v>
      </x:c>
      <x:c r="C188" s="85" t="n">
        <x:f>COUNTIFS(WorkforceData[Total Days Worked],A188,WorkforceData[Employment End Date],"&lt;&gt;")</x:f>
        <x:v>1</x:v>
      </x:c>
      <x:c r="D188" s="86" t="n">
        <x:f>D187*(1-C188/B188)</x:f>
        <x:v>0.5381534551119448</x:v>
      </x:c>
    </x:row>
    <x:row r="189">
      <x:c r="A189" s="84">
        <x:v>384</x:v>
      </x:c>
      <x:c r="B189" s="85" t="n">
        <x:f>COUNTIF(WorkforceData[Total Days Worked],"&gt;="&amp;A189)</x:f>
        <x:v>413</x:v>
      </x:c>
      <x:c r="C189" s="85" t="n">
        <x:f>COUNTIFS(WorkforceData[Total Days Worked],A189,WorkforceData[Employment End Date],"&lt;&gt;")</x:f>
        <x:v>1</x:v>
      </x:c>
      <x:c r="D189" s="86" t="n">
        <x:f>D188*(1-C189/B189)</x:f>
        <x:v>0.5368504201116737</x:v>
      </x:c>
    </x:row>
    <x:row r="190">
      <x:c r="A190" s="84">
        <x:v>386</x:v>
      </x:c>
      <x:c r="B190" s="85" t="n">
        <x:f>COUNTIF(WorkforceData[Total Days Worked],"&gt;="&amp;A190)</x:f>
        <x:v>412</x:v>
      </x:c>
      <x:c r="C190" s="85" t="n">
        <x:f>COUNTIFS(WorkforceData[Total Days Worked],A190,WorkforceData[Employment End Date],"&lt;&gt;")</x:f>
        <x:v>1</x:v>
      </x:c>
      <x:c r="D190" s="86" t="n">
        <x:f>D189*(1-C190/B190)</x:f>
        <x:v>0.5355473851114027</x:v>
      </x:c>
    </x:row>
    <x:row r="191">
      <x:c r="A191" s="84">
        <x:v>407</x:v>
      </x:c>
      <x:c r="B191" s="85" t="n">
        <x:f>COUNTIF(WorkforceData[Total Days Worked],"&gt;="&amp;A191)</x:f>
        <x:v>411</x:v>
      </x:c>
      <x:c r="C191" s="85" t="n">
        <x:f>COUNTIFS(WorkforceData[Total Days Worked],A191,WorkforceData[Employment End Date],"&lt;&gt;")</x:f>
        <x:v>1</x:v>
      </x:c>
      <x:c r="D191" s="86" t="n">
        <x:f>D190*(1-C191/B191)</x:f>
        <x:v>0.5342443501111316</x:v>
      </x:c>
    </x:row>
    <x:row r="192">
      <x:c r="A192" s="84">
        <x:v>414</x:v>
      </x:c>
      <x:c r="B192" s="85" t="n">
        <x:f>COUNTIF(WorkforceData[Total Days Worked],"&gt;="&amp;A192)</x:f>
        <x:v>410</x:v>
      </x:c>
      <x:c r="C192" s="85" t="n">
        <x:f>COUNTIFS(WorkforceData[Total Days Worked],A192,WorkforceData[Employment End Date],"&lt;&gt;")</x:f>
        <x:v>1</x:v>
      </x:c>
      <x:c r="D192" s="86" t="n">
        <x:f>D191*(1-C192/B192)</x:f>
        <x:v>0.5329413151108605</x:v>
      </x:c>
    </x:row>
    <x:row r="193">
      <x:c r="A193" s="84">
        <x:v>435</x:v>
      </x:c>
      <x:c r="B193" s="85" t="n">
        <x:f>COUNTIF(WorkforceData[Total Days Worked],"&gt;="&amp;A193)</x:f>
        <x:v>401</x:v>
      </x:c>
      <x:c r="C193" s="85" t="n">
        <x:f>COUNTIFS(WorkforceData[Total Days Worked],A193,WorkforceData[Employment End Date],"&lt;&gt;")</x:f>
        <x:v>1</x:v>
      </x:c>
      <x:c r="D193" s="86" t="n">
        <x:f>D192*(1-C193/B193)</x:f>
        <x:v>0.5316122843998609</x:v>
      </x:c>
    </x:row>
    <x:row r="194">
      <x:c r="A194" s="84">
        <x:v>448</x:v>
      </x:c>
      <x:c r="B194" s="85" t="n">
        <x:f>COUNTIF(WorkforceData[Total Days Worked],"&gt;="&amp;A194)</x:f>
        <x:v>390</x:v>
      </x:c>
      <x:c r="C194" s="85" t="n">
        <x:f>COUNTIFS(WorkforceData[Total Days Worked],A194,WorkforceData[Employment End Date],"&lt;&gt;")</x:f>
        <x:v>2</x:v>
      </x:c>
      <x:c r="D194" s="86" t="n">
        <x:f>D193*(1-C194/B194)</x:f>
        <x:v>0.5288860675567847</x:v>
      </x:c>
    </x:row>
    <x:row r="195">
      <x:c r="A195" s="84">
        <x:v>451</x:v>
      </x:c>
      <x:c r="B195" s="85" t="n">
        <x:f>COUNTIF(WorkforceData[Total Days Worked],"&gt;="&amp;A195)</x:f>
        <x:v>383</x:v>
      </x:c>
      <x:c r="C195" s="85" t="n">
        <x:f>COUNTIFS(WorkforceData[Total Days Worked],A195,WorkforceData[Employment End Date],"&lt;&gt;")</x:f>
        <x:v>1</x:v>
      </x:c>
      <x:c r="D195" s="86" t="n">
        <x:f>D194*(1-C195/B195)</x:f>
        <x:v>0.5275051639861403</x:v>
      </x:c>
    </x:row>
    <x:row r="196">
      <x:c r="A196" s="84">
        <x:v>469</x:v>
      </x:c>
      <x:c r="B196" s="85" t="n">
        <x:f>COUNTIF(WorkforceData[Total Days Worked],"&gt;="&amp;A196)</x:f>
        <x:v>373</x:v>
      </x:c>
      <x:c r="C196" s="85" t="n">
        <x:f>COUNTIFS(WorkforceData[Total Days Worked],A196,WorkforceData[Employment End Date],"&lt;&gt;")</x:f>
        <x:v>1</x:v>
      </x:c>
      <x:c r="D196" s="86" t="n">
        <x:f>D195*(1-C196/B196)</x:f>
        <x:v>0.526090941026392</x:v>
      </x:c>
    </x:row>
    <x:row r="197">
      <x:c r="A197" s="84">
        <x:v>482</x:v>
      </x:c>
      <x:c r="B197" s="85" t="n">
        <x:f>COUNTIF(WorkforceData[Total Days Worked],"&gt;="&amp;A197)</x:f>
        <x:v>365</x:v>
      </x:c>
      <x:c r="C197" s="85" t="n">
        <x:f>COUNTIFS(WorkforceData[Total Days Worked],A197,WorkforceData[Employment End Date],"&lt;&gt;")</x:f>
        <x:v>1</x:v>
      </x:c>
      <x:c r="D197" s="86" t="n">
        <x:f>D196*(1-C197/B197)</x:f>
        <x:v>0.5246495959824841</x:v>
      </x:c>
    </x:row>
    <x:row r="198">
      <x:c r="A198" s="84">
        <x:v>491</x:v>
      </x:c>
      <x:c r="B198" s="85" t="n">
        <x:f>COUNTIF(WorkforceData[Total Days Worked],"&gt;="&amp;A198)</x:f>
        <x:v>360</x:v>
      </x:c>
      <x:c r="C198" s="85" t="n">
        <x:f>COUNTIFS(WorkforceData[Total Days Worked],A198,WorkforceData[Employment End Date],"&lt;&gt;")</x:f>
        <x:v>2</x:v>
      </x:c>
      <x:c r="D198" s="86" t="n">
        <x:f>D197*(1-C198/B198)</x:f>
        <x:v>0.5217348760048036</x:v>
      </x:c>
    </x:row>
    <x:row r="199">
      <x:c r="A199" s="84">
        <x:v>493</x:v>
      </x:c>
      <x:c r="B199" s="85" t="n">
        <x:f>COUNTIF(WorkforceData[Total Days Worked],"&gt;="&amp;A199)</x:f>
        <x:v>354</x:v>
      </x:c>
      <x:c r="C199" s="85" t="n">
        <x:f>COUNTIFS(WorkforceData[Total Days Worked],A199,WorkforceData[Employment End Date],"&lt;&gt;")</x:f>
        <x:v>1</x:v>
      </x:c>
      <x:c r="D199" s="86" t="n">
        <x:f>D198*(1-C199/B199)</x:f>
        <x:v>0.5202610486714567</x:v>
      </x:c>
    </x:row>
    <x:row r="200">
      <x:c r="A200" s="84">
        <x:v>496</x:v>
      </x:c>
      <x:c r="B200" s="85" t="n">
        <x:f>COUNTIF(WorkforceData[Total Days Worked],"&gt;="&amp;A200)</x:f>
        <x:v>349</x:v>
      </x:c>
      <x:c r="C200" s="85" t="n">
        <x:f>COUNTIFS(WorkforceData[Total Days Worked],A200,WorkforceData[Employment End Date],"&lt;&gt;")</x:f>
        <x:v>3</x:v>
      </x:c>
      <x:c r="D200" s="86" t="n">
        <x:f>D199*(1-C200/B200)</x:f>
        <x:v>0.5157888906599543</x:v>
      </x:c>
    </x:row>
    <x:row r="201">
      <x:c r="A201" s="84">
        <x:v>501</x:v>
      </x:c>
      <x:c r="B201" s="85" t="n">
        <x:f>COUNTIF(WorkforceData[Total Days Worked],"&gt;="&amp;A201)</x:f>
        <x:v>344</x:v>
      </x:c>
      <x:c r="C201" s="85" t="n">
        <x:f>COUNTIFS(WorkforceData[Total Days Worked],A201,WorkforceData[Employment End Date],"&lt;&gt;")</x:f>
        <x:v>1</x:v>
      </x:c>
      <x:c r="D201" s="86" t="n">
        <x:f>D200*(1-C201/B201)</x:f>
        <x:v>0.5142895043498963</x:v>
      </x:c>
    </x:row>
    <x:row r="202">
      <x:c r="A202" s="84">
        <x:v>507</x:v>
      </x:c>
      <x:c r="B202" s="85" t="n">
        <x:f>COUNTIF(WorkforceData[Total Days Worked],"&gt;="&amp;A202)</x:f>
        <x:v>340</x:v>
      </x:c>
      <x:c r="C202" s="85" t="n">
        <x:f>COUNTIFS(WorkforceData[Total Days Worked],A202,WorkforceData[Employment End Date],"&lt;&gt;")</x:f>
        <x:v>1</x:v>
      </x:c>
      <x:c r="D202" s="86" t="n">
        <x:f>D201*(1-C202/B202)</x:f>
        <x:v>0.5127768881606319</x:v>
      </x:c>
    </x:row>
    <x:row r="203">
      <x:c r="A203" s="84">
        <x:v>512</x:v>
      </x:c>
      <x:c r="B203" s="85" t="n">
        <x:f>COUNTIF(WorkforceData[Total Days Worked],"&gt;="&amp;A203)</x:f>
        <x:v>332</x:v>
      </x:c>
      <x:c r="C203" s="85" t="n">
        <x:f>COUNTIFS(WorkforceData[Total Days Worked],A203,WorkforceData[Employment End Date],"&lt;&gt;")</x:f>
        <x:v>1</x:v>
      </x:c>
      <x:c r="D203" s="86" t="n">
        <x:f>D202*(1-C203/B203)</x:f>
        <x:v>0.5112323794613529</x:v>
      </x:c>
    </x:row>
    <x:row r="204">
      <x:c r="A204" s="84">
        <x:v>525</x:v>
      </x:c>
      <x:c r="B204" s="85" t="n">
        <x:f>COUNTIF(WorkforceData[Total Days Worked],"&gt;="&amp;A204)</x:f>
        <x:v>312</x:v>
      </x:c>
      <x:c r="C204" s="85" t="n">
        <x:f>COUNTIFS(WorkforceData[Total Days Worked],A204,WorkforceData[Employment End Date],"&lt;&gt;")</x:f>
        <x:v>1</x:v>
      </x:c>
      <x:c r="D204" s="86" t="n">
        <x:f>D203*(1-C204/B204)</x:f>
        <x:v>0.5095938141425665</x:v>
      </x:c>
    </x:row>
    <x:row r="205">
      <x:c r="A205" s="84">
        <x:v>535</x:v>
      </x:c>
      <x:c r="B205" s="85" t="n">
        <x:f>COUNTIF(WorkforceData[Total Days Worked],"&gt;="&amp;A205)</x:f>
        <x:v>309</x:v>
      </x:c>
      <x:c r="C205" s="85" t="n">
        <x:f>COUNTIFS(WorkforceData[Total Days Worked],A205,WorkforceData[Employment End Date],"&lt;&gt;")</x:f>
        <x:v>1</x:v>
      </x:c>
      <x:c r="D205" s="86" t="n">
        <x:f>D204*(1-C205/B205)</x:f>
        <x:v>0.5079446432230114</x:v>
      </x:c>
    </x:row>
    <x:row r="206">
      <x:c r="A206" s="84">
        <x:v>541</x:v>
      </x:c>
      <x:c r="B206" s="85" t="n">
        <x:f>COUNTIF(WorkforceData[Total Days Worked],"&gt;="&amp;A206)</x:f>
        <x:v>308</x:v>
      </x:c>
      <x:c r="C206" s="85" t="n">
        <x:f>COUNTIFS(WorkforceData[Total Days Worked],A206,WorkforceData[Employment End Date],"&lt;&gt;")</x:f>
        <x:v>1</x:v>
      </x:c>
      <x:c r="D206" s="86" t="n">
        <x:f>D205*(1-C206/B206)</x:f>
        <x:v>0.5062954723034561</x:v>
      </x:c>
    </x:row>
    <x:row r="207">
      <x:c r="A207" s="84">
        <x:v>543</x:v>
      </x:c>
      <x:c r="B207" s="85" t="n">
        <x:f>COUNTIF(WorkforceData[Total Days Worked],"&gt;="&amp;A207)</x:f>
        <x:v>307</x:v>
      </x:c>
      <x:c r="C207" s="85" t="n">
        <x:f>COUNTIFS(WorkforceData[Total Days Worked],A207,WorkforceData[Employment End Date],"&lt;&gt;")</x:f>
        <x:v>1</x:v>
      </x:c>
      <x:c r="D207" s="86" t="n">
        <x:f>D206*(1-C207/B207)</x:f>
        <x:v>0.5046463013839009</x:v>
      </x:c>
    </x:row>
    <x:row r="208">
      <x:c r="A208" s="84">
        <x:v>553</x:v>
      </x:c>
      <x:c r="B208" s="85" t="n">
        <x:f>COUNTIF(WorkforceData[Total Days Worked],"&gt;="&amp;A208)</x:f>
        <x:v>306</x:v>
      </x:c>
      <x:c r="C208" s="85" t="n">
        <x:f>COUNTIFS(WorkforceData[Total Days Worked],A208,WorkforceData[Employment End Date],"&lt;&gt;")</x:f>
        <x:v>1</x:v>
      </x:c>
      <x:c r="D208" s="86" t="n">
        <x:f>D207*(1-C208/B208)</x:f>
        <x:v>0.5029971304643457</x:v>
      </x:c>
    </x:row>
    <x:row r="209">
      <x:c r="A209" s="84">
        <x:v>556</x:v>
      </x:c>
      <x:c r="B209" s="85" t="n">
        <x:f>COUNTIF(WorkforceData[Total Days Worked],"&gt;="&amp;A209)</x:f>
        <x:v>305</x:v>
      </x:c>
      <x:c r="C209" s="85" t="n">
        <x:f>COUNTIFS(WorkforceData[Total Days Worked],A209,WorkforceData[Employment End Date],"&lt;&gt;")</x:f>
        <x:v>1</x:v>
      </x:c>
      <x:c r="D209" s="86" t="n">
        <x:f>D208*(1-C209/B209)</x:f>
        <x:v>0.5013479595447905</x:v>
      </x:c>
    </x:row>
    <x:row r="210">
      <x:c r="A210" s="84">
        <x:v>557</x:v>
      </x:c>
      <x:c r="B210" s="85" t="n">
        <x:f>COUNTIF(WorkforceData[Total Days Worked],"&gt;="&amp;A210)</x:f>
        <x:v>304</x:v>
      </x:c>
      <x:c r="C210" s="85" t="n">
        <x:f>COUNTIFS(WorkforceData[Total Days Worked],A210,WorkforceData[Employment End Date],"&lt;&gt;")</x:f>
        <x:v>1</x:v>
      </x:c>
      <x:c r="D210" s="86" t="n">
        <x:f>D209*(1-C210/B210)</x:f>
        <x:v>0.49969878862523526</x:v>
      </x:c>
    </x:row>
    <x:row r="211">
      <x:c r="A211" s="84">
        <x:v>559</x:v>
      </x:c>
      <x:c r="B211" s="85" t="n">
        <x:f>COUNTIF(WorkforceData[Total Days Worked],"&gt;="&amp;A211)</x:f>
        <x:v>299</x:v>
      </x:c>
      <x:c r="C211" s="85" t="n">
        <x:f>COUNTIFS(WorkforceData[Total Days Worked],A211,WorkforceData[Employment End Date],"&lt;&gt;")</x:f>
        <x:v>2</x:v>
      </x:c>
      <x:c r="D211" s="86" t="n">
        <x:f>D210*(1-C211/B211)</x:f>
        <x:v>0.49635632181168854</x:v>
      </x:c>
    </x:row>
    <x:row r="212">
      <x:c r="A212" s="84">
        <x:v>567</x:v>
      </x:c>
      <x:c r="B212" s="85" t="n">
        <x:f>COUNTIF(WorkforceData[Total Days Worked],"&gt;="&amp;A212)</x:f>
        <x:v>288</x:v>
      </x:c>
      <x:c r="C212" s="85" t="n">
        <x:f>COUNTIFS(WorkforceData[Total Days Worked],A212,WorkforceData[Employment End Date],"&lt;&gt;")</x:f>
        <x:v>1</x:v>
      </x:c>
      <x:c r="D212" s="86" t="n">
        <x:f>D211*(1-C212/B212)</x:f>
        <x:v>0.4946328623609535</x:v>
      </x:c>
    </x:row>
    <x:row r="213">
      <x:c r="A213" s="84">
        <x:v>573</x:v>
      </x:c>
      <x:c r="B213" s="85" t="n">
        <x:f>COUNTIF(WorkforceData[Total Days Worked],"&gt;="&amp;A213)</x:f>
        <x:v>285</x:v>
      </x:c>
      <x:c r="C213" s="85" t="n">
        <x:f>COUNTIFS(WorkforceData[Total Days Worked],A213,WorkforceData[Employment End Date],"&lt;&gt;")</x:f>
        <x:v>1</x:v>
      </x:c>
      <x:c r="D213" s="86" t="n">
        <x:f>D212*(1-C213/B213)</x:f>
        <x:v>0.4928973084579326</x:v>
      </x:c>
    </x:row>
    <x:row r="214">
      <x:c r="A214" s="84">
        <x:v>592</x:v>
      </x:c>
      <x:c r="B214" s="85" t="n">
        <x:f>COUNTIF(WorkforceData[Total Days Worked],"&gt;="&amp;A214)</x:f>
        <x:v>284</x:v>
      </x:c>
      <x:c r="C214" s="85" t="n">
        <x:f>COUNTIFS(WorkforceData[Total Days Worked],A214,WorkforceData[Employment End Date],"&lt;&gt;")</x:f>
        <x:v>1</x:v>
      </x:c>
      <x:c r="D214" s="86" t="n">
        <x:f>D213*(1-C214/B214)</x:f>
        <x:v>0.49116175455491173</x:v>
      </x:c>
    </x:row>
    <x:row r="215">
      <x:c r="A215" s="84">
        <x:v>609</x:v>
      </x:c>
      <x:c r="B215" s="85" t="n">
        <x:f>COUNTIF(WorkforceData[Total Days Worked],"&gt;="&amp;A215)</x:f>
        <x:v>283</x:v>
      </x:c>
      <x:c r="C215" s="85" t="n">
        <x:f>COUNTIFS(WorkforceData[Total Days Worked],A215,WorkforceData[Employment End Date],"&lt;&gt;")</x:f>
        <x:v>1</x:v>
      </x:c>
      <x:c r="D215" s="86" t="n">
        <x:f>D214*(1-C215/B215)</x:f>
        <x:v>0.48942620065189085</x:v>
      </x:c>
    </x:row>
    <x:row r="216">
      <x:c r="A216" s="84">
        <x:v>624</x:v>
      </x:c>
      <x:c r="B216" s="85" t="n">
        <x:f>COUNTIF(WorkforceData[Total Days Worked],"&gt;="&amp;A216)</x:f>
        <x:v>275</x:v>
      </x:c>
      <x:c r="C216" s="85" t="n">
        <x:f>COUNTIFS(WorkforceData[Total Days Worked],A216,WorkforceData[Employment End Date],"&lt;&gt;")</x:f>
        <x:v>1</x:v>
      </x:c>
      <x:c r="D216" s="86" t="n">
        <x:f>D215*(1-C216/B216)</x:f>
        <x:v>0.48764646901315667</x:v>
      </x:c>
    </x:row>
    <x:row r="217">
      <x:c r="A217" s="84">
        <x:v>631</x:v>
      </x:c>
      <x:c r="B217" s="85" t="n">
        <x:f>COUNTIF(WorkforceData[Total Days Worked],"&gt;="&amp;A217)</x:f>
        <x:v>264</x:v>
      </x:c>
      <x:c r="C217" s="85" t="n">
        <x:f>COUNTIFS(WorkforceData[Total Days Worked],A217,WorkforceData[Employment End Date],"&lt;&gt;")</x:f>
        <x:v>1</x:v>
      </x:c>
      <x:c r="D217" s="86" t="n">
        <x:f>D216*(1-C217/B217)</x:f>
        <x:v>0.48579932329719777</x:v>
      </x:c>
    </x:row>
    <x:row r="218">
      <x:c r="A218" s="84">
        <x:v>634</x:v>
      </x:c>
      <x:c r="B218" s="85" t="n">
        <x:f>COUNTIF(WorkforceData[Total Days Worked],"&gt;="&amp;A218)</x:f>
        <x:v>253</x:v>
      </x:c>
      <x:c r="C218" s="85" t="n">
        <x:f>COUNTIFS(WorkforceData[Total Days Worked],A218,WorkforceData[Employment End Date],"&lt;&gt;")</x:f>
        <x:v>1</x:v>
      </x:c>
      <x:c r="D218" s="86" t="n">
        <x:f>D217*(1-C218/B218)</x:f>
        <x:v>0.48387916786914564</x:v>
      </x:c>
    </x:row>
    <x:row r="219">
      <x:c r="A219" s="84">
        <x:v>636</x:v>
      </x:c>
      <x:c r="B219" s="85" t="n">
        <x:f>COUNTIF(WorkforceData[Total Days Worked],"&gt;="&amp;A219)</x:f>
        <x:v>250</x:v>
      </x:c>
      <x:c r="C219" s="85" t="n">
        <x:f>COUNTIFS(WorkforceData[Total Days Worked],A219,WorkforceData[Employment End Date],"&lt;&gt;")</x:f>
        <x:v>1</x:v>
      </x:c>
      <x:c r="D219" s="86" t="n">
        <x:f>D218*(1-C219/B219)</x:f>
        <x:v>0.4819436511976691</x:v>
      </x:c>
    </x:row>
    <x:row r="220">
      <x:c r="A220" s="84">
        <x:v>638</x:v>
      </x:c>
      <x:c r="B220" s="85" t="n">
        <x:f>COUNTIF(WorkforceData[Total Days Worked],"&gt;="&amp;A220)</x:f>
        <x:v>246</x:v>
      </x:c>
      <x:c r="C220" s="85" t="n">
        <x:f>COUNTIFS(WorkforceData[Total Days Worked],A220,WorkforceData[Employment End Date],"&lt;&gt;")</x:f>
        <x:v>1</x:v>
      </x:c>
      <x:c r="D220" s="86" t="n">
        <x:f>D219*(1-C220/B220)</x:f>
        <x:v>0.4799845306643452</x:v>
      </x:c>
    </x:row>
    <x:row r="221">
      <x:c r="A221" s="84">
        <x:v>650</x:v>
      </x:c>
      <x:c r="B221" s="85" t="n">
        <x:f>COUNTIF(WorkforceData[Total Days Worked],"&gt;="&amp;A221)</x:f>
        <x:v>242</x:v>
      </x:c>
      <x:c r="C221" s="85" t="n">
        <x:f>COUNTIFS(WorkforceData[Total Days Worked],A221,WorkforceData[Employment End Date],"&lt;&gt;")</x:f>
        <x:v>1</x:v>
      </x:c>
      <x:c r="D221" s="86" t="n">
        <x:f>D220*(1-C221/B221)</x:f>
        <x:v>0.47800112351283963</x:v>
      </x:c>
    </x:row>
    <x:row r="222">
      <x:c r="A222" s="84">
        <x:v>654</x:v>
      </x:c>
      <x:c r="B222" s="85" t="n">
        <x:f>COUNTIF(WorkforceData[Total Days Worked],"&gt;="&amp;A222)</x:f>
        <x:v>241</x:v>
      </x:c>
      <x:c r="C222" s="85" t="n">
        <x:f>COUNTIFS(WorkforceData[Total Days Worked],A222,WorkforceData[Employment End Date],"&lt;&gt;")</x:f>
        <x:v>1</x:v>
      </x:c>
      <x:c r="D222" s="86" t="n">
        <x:f>D221*(1-C222/B222)</x:f>
        <x:v>0.47601771636133405</x:v>
      </x:c>
    </x:row>
    <x:row r="223">
      <x:c r="A223" s="84">
        <x:v>656</x:v>
      </x:c>
      <x:c r="B223" s="85" t="n">
        <x:f>COUNTIF(WorkforceData[Total Days Worked],"&gt;="&amp;A223)</x:f>
        <x:v>240</x:v>
      </x:c>
      <x:c r="C223" s="85" t="n">
        <x:f>COUNTIFS(WorkforceData[Total Days Worked],A223,WorkforceData[Employment End Date],"&lt;&gt;")</x:f>
        <x:v>2</x:v>
      </x:c>
      <x:c r="D223" s="86" t="n">
        <x:f>D222*(1-C223/B223)</x:f>
        <x:v>0.47205090205832295</x:v>
      </x:c>
    </x:row>
    <x:row r="224">
      <x:c r="A224" s="84">
        <x:v>703</x:v>
      </x:c>
      <x:c r="B224" s="85" t="n">
        <x:f>COUNTIF(WorkforceData[Total Days Worked],"&gt;="&amp;A224)</x:f>
        <x:v>208</x:v>
      </x:c>
      <x:c r="C224" s="85" t="n">
        <x:f>COUNTIFS(WorkforceData[Total Days Worked],A224,WorkforceData[Employment End Date],"&lt;&gt;")</x:f>
        <x:v>1</x:v>
      </x:c>
      <x:c r="D224" s="86" t="n">
        <x:f>D223*(1-C224/B224)</x:f>
        <x:v>0.4697814265676579</x:v>
      </x:c>
    </x:row>
    <x:row r="225">
      <x:c r="A225" s="84">
        <x:v>800</x:v>
      </x:c>
      <x:c r="B225" s="85" t="n">
        <x:f>COUNTIF(WorkforceData[Total Days Worked],"&gt;="&amp;A225)</x:f>
        <x:v>156</x:v>
      </x:c>
      <x:c r="C225" s="85" t="n">
        <x:f>COUNTIFS(WorkforceData[Total Days Worked],A225,WorkforceData[Employment End Date],"&lt;&gt;")</x:f>
        <x:v>1</x:v>
      </x:c>
      <x:c r="D225" s="86" t="n">
        <x:f>D224*(1-C225/B225)</x:f>
        <x:v>0.4667700071665832</x:v>
      </x:c>
    </x:row>
    <x:row r="226">
      <x:c r="A226" s="84">
        <x:v>801</x:v>
      </x:c>
      <x:c r="B226" s="85" t="n">
        <x:f>COUNTIF(WorkforceData[Total Days Worked],"&gt;="&amp;A226)</x:f>
        <x:v>154</x:v>
      </x:c>
      <x:c r="C226" s="85" t="n">
        <x:f>COUNTIFS(WorkforceData[Total Days Worked],A226,WorkforceData[Employment End Date],"&lt;&gt;")</x:f>
        <x:v>1</x:v>
      </x:c>
      <x:c r="D226" s="86" t="n">
        <x:f>D225*(1-C226/B226)</x:f>
        <x:v>0.46373903309407294</x:v>
      </x:c>
    </x:row>
    <x:row r="227">
      <x:c r="A227" s="84">
        <x:v>838</x:v>
      </x:c>
      <x:c r="B227" s="85" t="n">
        <x:f>COUNTIF(WorkforceData[Total Days Worked],"&gt;="&amp;A227)</x:f>
        <x:v>139</x:v>
      </x:c>
      <x:c r="C227" s="85" t="n">
        <x:f>COUNTIFS(WorkforceData[Total Days Worked],A227,WorkforceData[Employment End Date],"&lt;&gt;")</x:f>
        <x:v>1</x:v>
      </x:c>
      <x:c r="D227" s="86" t="n">
        <x:f>D226*(1-C227/B227)</x:f>
        <x:v>0.46040278105742494</x:v>
      </x:c>
    </x:row>
    <x:row r="228">
      <x:c r="A228" s="84">
        <x:v>840</x:v>
      </x:c>
      <x:c r="B228" s="85" t="n">
        <x:f>COUNTIF(WorkforceData[Total Days Worked],"&gt;="&amp;A228)</x:f>
        <x:v>138</x:v>
      </x:c>
      <x:c r="C228" s="85" t="n">
        <x:f>COUNTIFS(WorkforceData[Total Days Worked],A228,WorkforceData[Employment End Date],"&lt;&gt;")</x:f>
        <x:v>1</x:v>
      </x:c>
      <x:c r="D228" s="86" t="n">
        <x:f>D227*(1-C228/B228)</x:f>
        <x:v>0.45706652902077693</x:v>
      </x:c>
    </x:row>
    <x:row r="229">
      <x:c r="A229" s="84">
        <x:v>875</x:v>
      </x:c>
      <x:c r="B229" s="85" t="n">
        <x:f>COUNTIF(WorkforceData[Total Days Worked],"&gt;="&amp;A229)</x:f>
        <x:v>112</x:v>
      </x:c>
      <x:c r="C229" s="85" t="n">
        <x:f>COUNTIFS(WorkforceData[Total Days Worked],A229,WorkforceData[Employment End Date],"&lt;&gt;")</x:f>
        <x:v>1</x:v>
      </x:c>
      <x:c r="D229" s="86" t="n">
        <x:f>D228*(1-C229/B229)</x:f>
        <x:v>0.4529855778688057</x:v>
      </x:c>
    </x:row>
    <x:row r="230">
      <x:c r="A230" s="84">
        <x:v>882</x:v>
      </x:c>
      <x:c r="B230" s="85" t="n">
        <x:f>COUNTIF(WorkforceData[Total Days Worked],"&gt;="&amp;A230)</x:f>
        <x:v>89</x:v>
      </x:c>
      <x:c r="C230" s="85" t="n">
        <x:f>COUNTIFS(WorkforceData[Total Days Worked],A230,WorkforceData[Employment End Date],"&lt;&gt;")</x:f>
        <x:v>1</x:v>
      </x:c>
      <x:c r="D230" s="86" t="n">
        <x:f>D229*(1-C230/B230)</x:f>
        <x:v>0.4478958522747742</x:v>
      </x:c>
    </x:row>
    <x:row r="231">
      <x:c r="A231" s="84">
        <x:v>965</x:v>
      </x:c>
      <x:c r="B231" s="85" t="n">
        <x:f>COUNTIF(WorkforceData[Total Days Worked],"&gt;="&amp;A231)</x:f>
        <x:v>71</x:v>
      </x:c>
      <x:c r="C231" s="85" t="n">
        <x:f>COUNTIFS(WorkforceData[Total Days Worked],A231,WorkforceData[Employment End Date],"&lt;&gt;")</x:f>
        <x:v>1</x:v>
      </x:c>
      <x:c r="D231" s="86" t="n">
        <x:f>D230*(1-C231/B231)</x:f>
        <x:v>0.441587459989214</x:v>
      </x:c>
    </x:row>
    <x:row r="232">
      <x:c r="A232" s="84">
        <x:v>1007</x:v>
      </x:c>
      <x:c r="B232" s="85" t="n">
        <x:f>COUNTIF(WorkforceData[Total Days Worked],"&gt;="&amp;A232)</x:f>
        <x:v>65</x:v>
      </x:c>
      <x:c r="C232" s="85" t="n">
        <x:f>COUNTIFS(WorkforceData[Total Days Worked],A232,WorkforceData[Employment End Date],"&lt;&gt;")</x:f>
        <x:v>1</x:v>
      </x:c>
      <x:c r="D232" s="86" t="n">
        <x:f>D231*(1-C232/B232)</x:f>
        <x:v>0.43479380675861073</x:v>
      </x:c>
    </x:row>
    <x:row r="233">
      <x:c r="A233" s="84">
        <x:v>1015</x:v>
      </x:c>
      <x:c r="B233" s="85" t="n">
        <x:f>COUNTIF(WorkforceData[Total Days Worked],"&gt;="&amp;A233)</x:f>
        <x:v>59</x:v>
      </x:c>
      <x:c r="C233" s="85" t="n">
        <x:f>COUNTIFS(WorkforceData[Total Days Worked],A233,WorkforceData[Employment End Date],"&lt;&gt;")</x:f>
        <x:v>1</x:v>
      </x:c>
      <x:c r="D233" s="86" t="n">
        <x:f>D232*(1-C233/B233)</x:f>
        <x:v>0.42742442020338006</x:v>
      </x:c>
    </x:row>
    <x:row r="234">
      <x:c r="A234" s="84">
        <x:v>1070</x:v>
      </x:c>
      <x:c r="B234" s="85" t="n">
        <x:f>COUNTIF(WorkforceData[Total Days Worked],"&gt;="&amp;A234)</x:f>
        <x:v>23</x:v>
      </x:c>
      <x:c r="C234" s="85" t="n">
        <x:f>COUNTIFS(WorkforceData[Total Days Worked],A234,WorkforceData[Employment End Date],"&lt;&gt;")</x:f>
        <x:v>1</x:v>
      </x:c>
      <x:c r="D234" s="86" t="n">
        <x:f>D233*(1-C234/B234)</x:f>
        <x:v>0.4088407497597549</x:v>
      </x:c>
    </x:row>
  </x:sheetData>
  <x:mergeCells>
    <x:mergeCell ref="A1:H1"/>
    <x:mergeCell ref="A2:H2"/>
    <x:mergeCell ref="A3:H3"/>
  </x:mergeCells>
  <x:conditionalFormatting sqref="A6:D234">
    <x:cfRule type="expression" dxfId="2" priority="1">
      <x:formula>MOD(ROW()-6,2)=1</x:formula>
    </x:cfRule>
  </x:conditionalFormatting>
  <x:conditionalFormatting sqref="F6:H10 H11:H13">
    <x:cfRule type="expression" dxfId="1" priority="2">
      <x:formula>MOD(ROW()-6,2)=1</x:formula>
    </x:cfRule>
  </x:conditionalFormatting>
  <x:pageMargins left="0.7" right="0.7" top="0.75" bottom="0.75" header="0.3" footer="0.3"/>
  <x:drawing xmlns:r="http://schemas.openxmlformats.org/officeDocument/2006/relationships" r:id="R45fcbad49e574ce1"/>
</x:worksheet>
</file>

<file path=xl/worksheets/sheet10.xml><?xml version="1.0" encoding="utf-8"?>
<x:worksheet xmlns:x="http://schemas.openxmlformats.org/spreadsheetml/2006/main">
  <x:sheetFormatPr defaultRowHeight="14.5"/>
  <x:cols>
    <x:col min="1" max="1" width="17.26953125" customWidth="1"/>
    <x:col min="2" max="10" width="14.54296875" customWidth="1"/>
  </x:cols>
  <x:sheetData>
    <x:row r="1" ht="32" customHeight="1">
      <x:c r="A1" s="79" t="s">
        <x:v>152</x:v>
      </x:c>
      <x:c r="B1" s="79"/>
      <x:c r="C1" s="79"/>
      <x:c r="D1" s="79"/>
      <x:c r="E1" s="79"/>
      <x:c r="F1" s="79"/>
      <x:c r="G1" s="79"/>
      <x:c r="H1" s="79"/>
      <x:c r="I1" s="79"/>
      <x:c r="J1" s="79"/>
    </x:row>
    <x:row r="2">
      <x:c r="A2" s="81" t="s">
        <x:v>153</x:v>
      </x:c>
      <x:c r="B2" s="81"/>
      <x:c r="C2" s="81"/>
      <x:c r="D2" s="81"/>
      <x:c r="E2" s="81"/>
      <x:c r="F2" s="81"/>
      <x:c r="G2" s="81"/>
      <x:c r="H2" s="81"/>
      <x:c r="I2" s="81"/>
      <x:c r="J2" s="81"/>
    </x:row>
    <x:row r="3" ht="45" customHeight="1">
      <x:c r="A3" s="82" t="str">
        <x:v>Each rate includes only cohorts old enough to reach the stated milestone by the Aug. 2026 reporting snapshot. Blank cells identify immature cohorts rather than counting them as failures.</x:v>
      </x:c>
      <x:c r="B3" s="80"/>
      <x:c r="C3" s="80"/>
      <x:c r="D3" s="80"/>
      <x:c r="E3" s="80"/>
      <x:c r="F3" s="80"/>
      <x:c r="G3" s="80"/>
      <x:c r="H3" s="80"/>
      <x:c r="I3" s="80"/>
      <x:c r="J3" s="80"/>
    </x:row>
    <x:row r="5">
      <x:c r="A5" s="83" t="s">
        <x:v>81</x:v>
      </x:c>
      <x:c r="B5" s="83" t="s">
        <x:v>154</x:v>
      </x:c>
      <x:c r="C5" s="83" t="s">
        <x:v>155</x:v>
      </x:c>
      <x:c r="D5" s="83" t="s">
        <x:v>156</x:v>
      </x:c>
      <x:c r="E5" s="83" t="s">
        <x:v>157</x:v>
      </x:c>
      <x:c r="F5" s="83" t="s">
        <x:v>158</x:v>
      </x:c>
      <x:c r="G5" s="83" t="s">
        <x:v>159</x:v>
      </x:c>
      <x:c r="H5" s="83" t="s">
        <x:v>160</x:v>
      </x:c>
      <x:c r="I5" s="83" t="s">
        <x:v>161</x:v>
      </x:c>
      <x:c r="J5" s="83" t="s">
        <x:v>162</x:v>
      </x:c>
    </x:row>
    <x:row r="6">
      <x:c r="A6" s="222">
        <x:v>45169</x:v>
      </x:c>
      <x:c r="B6" s="85" t="n">
        <x:f>COUNTIF(WorkforceData[Cohort Month],A6)</x:f>
        <x:v>14</x:v>
      </x:c>
      <x:c r="C6" s="226" t="n">
        <x:f>COUNTIFS(WorkforceData[Cohort Month],A6,WorkforceData[Training Date],"&lt;="&amp;DATE(2026,8,17)-30)</x:f>
        <x:v>14</x:v>
      </x:c>
      <x:c r="D6" s="230" t="n">
        <x:f>IF(C6=0,"",COUNTIFS(WorkforceData[Cohort Month],A6,WorkforceData[Training Date],"&lt;="&amp;DATE(2026,8,17)-30,WorkforceData[Total Days Worked],"&gt;="&amp;30)/C6)</x:f>
        <x:v>0.9285714351851851</x:v>
      </x:c>
      <x:c r="E6" s="226" t="n">
        <x:f>COUNTIFS(WorkforceData[Cohort Month],A6,WorkforceData[Training Date],"&lt;="&amp;DATE(2026,8,17)-60)</x:f>
        <x:v>14</x:v>
      </x:c>
      <x:c r="F6" s="231" t="n">
        <x:f>IF(E6=0,"",COUNTIFS(WorkforceData[Cohort Month],A6,WorkforceData[Training Date],"&lt;="&amp;DATE(2026,8,17)-60,WorkforceData[Total Days Worked],"&gt;="&amp;60)/E6)</x:f>
        <x:v>0.7857142939814815</x:v>
      </x:c>
      <x:c r="G6" s="226" t="n">
        <x:f>COUNTIFS(WorkforceData[Cohort Month],A6,WorkforceData[Training Date],"&lt;="&amp;DATE(2026,8,17)-90)</x:f>
        <x:v>14</x:v>
      </x:c>
      <x:c r="H6" s="233" t="n">
        <x:f>IF(G6=0,"",COUNTIFS(WorkforceData[Cohort Month],A6,WorkforceData[Training Date],"&lt;="&amp;DATE(2026,8,17)-90,WorkforceData[Total Days Worked],"&gt;="&amp;90)/G6)</x:f>
        <x:v>0.7142857175925926</x:v>
      </x:c>
      <x:c r="I6" s="226" t="n">
        <x:f>COUNTIFS(WorkforceData[Cohort Month],A6,WorkforceData[Training Date],"&lt;="&amp;DATE(2026,8,17)-121)</x:f>
        <x:v>14</x:v>
      </x:c>
      <x:c r="J6" s="234" t="n">
        <x:f>IF(I6=0,"",COUNTIFS(WorkforceData[Cohort Month],A6,WorkforceData[Training Date],"&lt;="&amp;DATE(2026,8,17)-121,WorkforceData[Total Days Worked],"&gt;="&amp;121)/I6)</x:f>
        <x:v>0.6428571527777778</x:v>
      </x:c>
    </x:row>
    <x:row r="7">
      <x:c r="A7" s="223">
        <x:v>45199</x:v>
      </x:c>
      <x:c r="B7" s="89" t="n">
        <x:f>COUNTIF(WorkforceData[Cohort Month],A7)</x:f>
        <x:v>51</x:v>
      </x:c>
      <x:c r="C7" s="227" t="n">
        <x:f>COUNTIFS(WorkforceData[Cohort Month],A7,WorkforceData[Training Date],"&lt;="&amp;DATE(2026,8,17)-30)</x:f>
        <x:v>51</x:v>
      </x:c>
      <x:c r="D7" s="230" t="n">
        <x:f>IF(C7=0,"",COUNTIFS(WorkforceData[Cohort Month],A7,WorkforceData[Training Date],"&lt;="&amp;DATE(2026,8,17)-30,WorkforceData[Total Days Worked],"&gt;="&amp;30)/C7)</x:f>
        <x:v>0.9019607870370371</x:v>
      </x:c>
      <x:c r="E7" s="227" t="n">
        <x:f>COUNTIFS(WorkforceData[Cohort Month],A7,WorkforceData[Training Date],"&lt;="&amp;DATE(2026,8,17)-60)</x:f>
        <x:v>51</x:v>
      </x:c>
      <x:c r="F7" s="231" t="n">
        <x:f>IF(E7=0,"",COUNTIFS(WorkforceData[Cohort Month],A7,WorkforceData[Training Date],"&lt;="&amp;DATE(2026,8,17)-60,WorkforceData[Total Days Worked],"&gt;="&amp;60)/E7)</x:f>
        <x:v>0.8431372569444444</x:v>
      </x:c>
      <x:c r="G7" s="227" t="n">
        <x:f>COUNTIFS(WorkforceData[Cohort Month],A7,WorkforceData[Training Date],"&lt;="&amp;DATE(2026,8,17)-90)</x:f>
        <x:v>51</x:v>
      </x:c>
      <x:c r="H7" s="231" t="n">
        <x:f>IF(G7=0,"",COUNTIFS(WorkforceData[Cohort Month],A7,WorkforceData[Training Date],"&lt;="&amp;DATE(2026,8,17)-90,WorkforceData[Total Days Worked],"&gt;="&amp;90)/G7)</x:f>
        <x:v>0.803921574074074</x:v>
      </x:c>
      <x:c r="I7" s="227" t="n">
        <x:f>COUNTIFS(WorkforceData[Cohort Month],A7,WorkforceData[Training Date],"&lt;="&amp;DATE(2026,8,17)-121)</x:f>
        <x:v>51</x:v>
      </x:c>
      <x:c r="J7" s="233" t="n">
        <x:f>IF(I7=0,"",COUNTIFS(WorkforceData[Cohort Month],A7,WorkforceData[Training Date],"&lt;="&amp;DATE(2026,8,17)-121,WorkforceData[Total Days Worked],"&gt;="&amp;121)/I7)</x:f>
        <x:v>0.7254901967592593</x:v>
      </x:c>
    </x:row>
    <x:row r="8">
      <x:c r="A8" s="222">
        <x:v>45230</x:v>
      </x:c>
      <x:c r="B8" s="85" t="n">
        <x:f>COUNTIF(WorkforceData[Cohort Month],A8)</x:f>
        <x:v>67</x:v>
      </x:c>
      <x:c r="C8" s="226" t="n">
        <x:f>COUNTIFS(WorkforceData[Cohort Month],A8,WorkforceData[Training Date],"&lt;="&amp;DATE(2026,8,17)-30)</x:f>
        <x:v>67</x:v>
      </x:c>
      <x:c r="D8" s="230" t="n">
        <x:f>IF(C8=0,"",COUNTIFS(WorkforceData[Cohort Month],A8,WorkforceData[Training Date],"&lt;="&amp;DATE(2026,8,17)-30,WorkforceData[Total Days Worked],"&gt;="&amp;30)/C8)</x:f>
        <x:v>0.8656716435185186</x:v>
      </x:c>
      <x:c r="E8" s="226" t="n">
        <x:f>COUNTIFS(WorkforceData[Cohort Month],A8,WorkforceData[Training Date],"&lt;="&amp;DATE(2026,8,17)-60)</x:f>
        <x:v>67</x:v>
      </x:c>
      <x:c r="F8" s="231" t="n">
        <x:f>IF(E8=0,"",COUNTIFS(WorkforceData[Cohort Month],A8,WorkforceData[Training Date],"&lt;="&amp;DATE(2026,8,17)-60,WorkforceData[Total Days Worked],"&gt;="&amp;60)/E8)</x:f>
        <x:v>0.7611940393518518</x:v>
      </x:c>
      <x:c r="G8" s="226" t="n">
        <x:f>COUNTIFS(WorkforceData[Cohort Month],A8,WorkforceData[Training Date],"&lt;="&amp;DATE(2026,8,17)-90)</x:f>
        <x:v>67</x:v>
      </x:c>
      <x:c r="H8" s="233" t="n">
        <x:f>IF(G8=0,"",COUNTIFS(WorkforceData[Cohort Month],A8,WorkforceData[Training Date],"&lt;="&amp;DATE(2026,8,17)-90,WorkforceData[Total Days Worked],"&gt;="&amp;90)/G8)</x:f>
        <x:v>0.7462686574074074</x:v>
      </x:c>
      <x:c r="I8" s="226" t="n">
        <x:f>COUNTIFS(WorkforceData[Cohort Month],A8,WorkforceData[Training Date],"&lt;="&amp;DATE(2026,8,17)-121)</x:f>
        <x:v>67</x:v>
      </x:c>
      <x:c r="J8" s="234" t="n">
        <x:f>IF(I8=0,"",COUNTIFS(WorkforceData[Cohort Month],A8,WorkforceData[Training Date],"&lt;="&amp;DATE(2026,8,17)-121,WorkforceData[Total Days Worked],"&gt;="&amp;121)/I8)</x:f>
        <x:v>0.6268656828703704</x:v>
      </x:c>
    </x:row>
    <x:row r="9">
      <x:c r="A9" s="223">
        <x:v>45260</x:v>
      </x:c>
      <x:c r="B9" s="89" t="n">
        <x:f>COUNTIF(WorkforceData[Cohort Month],A9)</x:f>
        <x:v>25</x:v>
      </x:c>
      <x:c r="C9" s="227" t="n">
        <x:f>COUNTIFS(WorkforceData[Cohort Month],A9,WorkforceData[Training Date],"&lt;="&amp;DATE(2026,8,17)-30)</x:f>
        <x:v>25</x:v>
      </x:c>
      <x:c r="D9" s="230" t="n">
        <x:f>IF(C9=0,"",COUNTIFS(WorkforceData[Cohort Month],A9,WorkforceData[Training Date],"&lt;="&amp;DATE(2026,8,17)-30,WorkforceData[Total Days Worked],"&gt;="&amp;30)/C9)</x:f>
        <x:v>0.92</x:v>
      </x:c>
      <x:c r="E9" s="227" t="n">
        <x:f>COUNTIFS(WorkforceData[Cohort Month],A9,WorkforceData[Training Date],"&lt;="&amp;DATE(2026,8,17)-60)</x:f>
        <x:v>25</x:v>
      </x:c>
      <x:c r="F9" s="231" t="n">
        <x:f>IF(E9=0,"",COUNTIFS(WorkforceData[Cohort Month],A9,WorkforceData[Training Date],"&lt;="&amp;DATE(2026,8,17)-60,WorkforceData[Total Days Worked],"&gt;="&amp;60)/E9)</x:f>
        <x:v>0.76</x:v>
      </x:c>
      <x:c r="G9" s="227" t="n">
        <x:f>COUNTIFS(WorkforceData[Cohort Month],A9,WorkforceData[Training Date],"&lt;="&amp;DATE(2026,8,17)-90)</x:f>
        <x:v>25</x:v>
      </x:c>
      <x:c r="H9" s="231" t="n">
        <x:f>IF(G9=0,"",COUNTIFS(WorkforceData[Cohort Month],A9,WorkforceData[Training Date],"&lt;="&amp;DATE(2026,8,17)-90,WorkforceData[Total Days Worked],"&gt;="&amp;90)/G9)</x:f>
        <x:v>0.76</x:v>
      </x:c>
      <x:c r="I9" s="227" t="n">
        <x:f>COUNTIFS(WorkforceData[Cohort Month],A9,WorkforceData[Training Date],"&lt;="&amp;DATE(2026,8,17)-121)</x:f>
        <x:v>25</x:v>
      </x:c>
      <x:c r="J9" s="231" t="n">
        <x:f>IF(I9=0,"",COUNTIFS(WorkforceData[Cohort Month],A9,WorkforceData[Training Date],"&lt;="&amp;DATE(2026,8,17)-121,WorkforceData[Total Days Worked],"&gt;="&amp;121)/I9)</x:f>
        <x:v>0.76</x:v>
      </x:c>
    </x:row>
    <x:row r="10">
      <x:c r="A10" s="222">
        <x:v>45382</x:v>
      </x:c>
      <x:c r="B10" s="85" t="n">
        <x:f>COUNTIF(WorkforceData[Cohort Month],A10)</x:f>
        <x:v>68</x:v>
      </x:c>
      <x:c r="C10" s="226" t="n">
        <x:f>COUNTIFS(WorkforceData[Cohort Month],A10,WorkforceData[Training Date],"&lt;="&amp;DATE(2026,8,17)-30)</x:f>
        <x:v>68</x:v>
      </x:c>
      <x:c r="D10" s="230" t="n">
        <x:f>IF(C10=0,"",COUNTIFS(WorkforceData[Cohort Month],A10,WorkforceData[Training Date],"&lt;="&amp;DATE(2026,8,17)-30,WorkforceData[Total Days Worked],"&gt;="&amp;30)/C10)</x:f>
        <x:v>0.9411764814814815</x:v>
      </x:c>
      <x:c r="E10" s="226" t="n">
        <x:f>COUNTIFS(WorkforceData[Cohort Month],A10,WorkforceData[Training Date],"&lt;="&amp;DATE(2026,8,17)-60)</x:f>
        <x:v>68</x:v>
      </x:c>
      <x:c r="F10" s="230" t="n">
        <x:f>IF(E10=0,"",COUNTIFS(WorkforceData[Cohort Month],A10,WorkforceData[Training Date],"&lt;="&amp;DATE(2026,8,17)-60,WorkforceData[Total Days Worked],"&gt;="&amp;60)/E10)</x:f>
        <x:v>0.9117647106481481</x:v>
      </x:c>
      <x:c r="G10" s="226" t="n">
        <x:f>COUNTIFS(WorkforceData[Cohort Month],A10,WorkforceData[Training Date],"&lt;="&amp;DATE(2026,8,17)-90)</x:f>
        <x:v>68</x:v>
      </x:c>
      <x:c r="H10" s="230" t="n">
        <x:f>IF(G10=0,"",COUNTIFS(WorkforceData[Cohort Month],A10,WorkforceData[Training Date],"&lt;="&amp;DATE(2026,8,17)-90,WorkforceData[Total Days Worked],"&gt;="&amp;90)/G10)</x:f>
        <x:v>0.8823529513888889</x:v>
      </x:c>
      <x:c r="I10" s="226" t="n">
        <x:f>COUNTIFS(WorkforceData[Cohort Month],A10,WorkforceData[Training Date],"&lt;="&amp;DATE(2026,8,17)-121)</x:f>
        <x:v>68</x:v>
      </x:c>
      <x:c r="J10" s="231" t="n">
        <x:f>IF(I10=0,"",COUNTIFS(WorkforceData[Cohort Month],A10,WorkforceData[Training Date],"&lt;="&amp;DATE(2026,8,17)-121,WorkforceData[Total Days Worked],"&gt;="&amp;121)/I10)</x:f>
        <x:v>0.8235294212962962</x:v>
      </x:c>
    </x:row>
    <x:row r="11">
      <x:c r="A11" s="223">
        <x:v>45412</x:v>
      </x:c>
      <x:c r="B11" s="89" t="n">
        <x:f>COUNTIF(WorkforceData[Cohort Month],A11)</x:f>
        <x:v>52</x:v>
      </x:c>
      <x:c r="C11" s="227" t="n">
        <x:f>COUNTIFS(WorkforceData[Cohort Month],A11,WorkforceData[Training Date],"&lt;="&amp;DATE(2026,8,17)-30)</x:f>
        <x:v>52</x:v>
      </x:c>
      <x:c r="D11" s="231" t="n">
        <x:f>IF(C11=0,"",COUNTIFS(WorkforceData[Cohort Month],A11,WorkforceData[Training Date],"&lt;="&amp;DATE(2026,8,17)-30,WorkforceData[Total Days Worked],"&gt;="&amp;30)/C11)</x:f>
        <x:v>0.8076923148148148</x:v>
      </x:c>
      <x:c r="E11" s="227" t="n">
        <x:f>COUNTIFS(WorkforceData[Cohort Month],A11,WorkforceData[Training Date],"&lt;="&amp;DATE(2026,8,17)-60)</x:f>
        <x:v>52</x:v>
      </x:c>
      <x:c r="F11" s="233" t="n">
        <x:f>IF(E11=0,"",COUNTIFS(WorkforceData[Cohort Month],A11,WorkforceData[Training Date],"&lt;="&amp;DATE(2026,8,17)-60,WorkforceData[Total Days Worked],"&gt;="&amp;60)/E11)</x:f>
        <x:v>0.6923076967592593</x:v>
      </x:c>
      <x:c r="G11" s="227" t="n">
        <x:f>COUNTIFS(WorkforceData[Cohort Month],A11,WorkforceData[Training Date],"&lt;="&amp;DATE(2026,8,17)-90)</x:f>
        <x:v>52</x:v>
      </x:c>
      <x:c r="H11" s="233" t="n">
        <x:f>IF(G11=0,"",COUNTIFS(WorkforceData[Cohort Month],A11,WorkforceData[Training Date],"&lt;="&amp;DATE(2026,8,17)-90,WorkforceData[Total Days Worked],"&gt;="&amp;90)/G11)</x:f>
        <x:v>0.6730769328703704</x:v>
      </x:c>
      <x:c r="I11" s="227" t="n">
        <x:f>COUNTIFS(WorkforceData[Cohort Month],A11,WorkforceData[Training Date],"&lt;="&amp;DATE(2026,8,17)-121)</x:f>
        <x:v>52</x:v>
      </x:c>
      <x:c r="J11" s="234" t="n">
        <x:f>IF(I11=0,"",COUNTIFS(WorkforceData[Cohort Month],A11,WorkforceData[Training Date],"&lt;="&amp;DATE(2026,8,17)-121,WorkforceData[Total Days Worked],"&gt;="&amp;121)/I11)</x:f>
        <x:v>0.6153846180555556</x:v>
      </x:c>
    </x:row>
    <x:row r="12">
      <x:c r="A12" s="222">
        <x:v>45443</x:v>
      </x:c>
      <x:c r="B12" s="85" t="n">
        <x:f>COUNTIF(WorkforceData[Cohort Month],A12)</x:f>
        <x:v>17</x:v>
      </x:c>
      <x:c r="C12" s="226" t="n">
        <x:f>COUNTIFS(WorkforceData[Cohort Month],A12,WorkforceData[Training Date],"&lt;="&amp;DATE(2026,8,17)-30)</x:f>
        <x:v>17</x:v>
      </x:c>
      <x:c r="D12" s="231" t="n">
        <x:f>IF(C12=0,"",COUNTIFS(WorkforceData[Cohort Month],A12,WorkforceData[Training Date],"&lt;="&amp;DATE(2026,8,17)-30,WorkforceData[Total Days Worked],"&gt;="&amp;30)/C12)</x:f>
        <x:v>0.7647058912037037</x:v>
      </x:c>
      <x:c r="E12" s="226" t="n">
        <x:f>COUNTIFS(WorkforceData[Cohort Month],A12,WorkforceData[Training Date],"&lt;="&amp;DATE(2026,8,17)-60)</x:f>
        <x:v>17</x:v>
      </x:c>
      <x:c r="F12" s="233" t="n">
        <x:f>IF(E12=0,"",COUNTIFS(WorkforceData[Cohort Month],A12,WorkforceData[Training Date],"&lt;="&amp;DATE(2026,8,17)-60,WorkforceData[Total Days Worked],"&gt;="&amp;60)/E12)</x:f>
        <x:v>0.7058823611111111</x:v>
      </x:c>
      <x:c r="G12" s="226" t="n">
        <x:f>COUNTIFS(WorkforceData[Cohort Month],A12,WorkforceData[Training Date],"&lt;="&amp;DATE(2026,8,17)-90)</x:f>
        <x:v>17</x:v>
      </x:c>
      <x:c r="H12" s="233" t="n">
        <x:f>IF(G12=0,"",COUNTIFS(WorkforceData[Cohort Month],A12,WorkforceData[Training Date],"&lt;="&amp;DATE(2026,8,17)-90,WorkforceData[Total Days Worked],"&gt;="&amp;90)/G12)</x:f>
        <x:v>0.7058823611111111</x:v>
      </x:c>
      <x:c r="I12" s="226" t="n">
        <x:f>COUNTIFS(WorkforceData[Cohort Month],A12,WorkforceData[Training Date],"&lt;="&amp;DATE(2026,8,17)-121)</x:f>
        <x:v>17</x:v>
      </x:c>
      <x:c r="J12" s="233" t="n">
        <x:f>IF(I12=0,"",COUNTIFS(WorkforceData[Cohort Month],A12,WorkforceData[Training Date],"&lt;="&amp;DATE(2026,8,17)-121,WorkforceData[Total Days Worked],"&gt;="&amp;121)/I12)</x:f>
        <x:v>0.7058823611111111</x:v>
      </x:c>
    </x:row>
    <x:row r="13">
      <x:c r="A13" s="223">
        <x:v>45473</x:v>
      </x:c>
      <x:c r="B13" s="89" t="n">
        <x:f>COUNTIF(WorkforceData[Cohort Month],A13)</x:f>
        <x:v>32</x:v>
      </x:c>
      <x:c r="C13" s="227" t="n">
        <x:f>COUNTIFS(WorkforceData[Cohort Month],A13,WorkforceData[Training Date],"&lt;="&amp;DATE(2026,8,17)-30)</x:f>
        <x:v>32</x:v>
      </x:c>
      <x:c r="D13" s="230" t="n">
        <x:f>IF(C13=0,"",COUNTIFS(WorkforceData[Cohort Month],A13,WorkforceData[Training Date],"&lt;="&amp;DATE(2026,8,17)-30,WorkforceData[Total Days Worked],"&gt;="&amp;30)/C13)</x:f>
        <x:v>0.9375</x:v>
      </x:c>
      <x:c r="E13" s="227" t="n">
        <x:f>COUNTIFS(WorkforceData[Cohort Month],A13,WorkforceData[Training Date],"&lt;="&amp;DATE(2026,8,17)-60)</x:f>
        <x:v>32</x:v>
      </x:c>
      <x:c r="F13" s="230" t="n">
        <x:f>IF(E13=0,"",COUNTIFS(WorkforceData[Cohort Month],A13,WorkforceData[Training Date],"&lt;="&amp;DATE(2026,8,17)-60,WorkforceData[Total Days Worked],"&gt;="&amp;60)/E13)</x:f>
        <x:v>0.90625</x:v>
      </x:c>
      <x:c r="G13" s="227" t="n">
        <x:f>COUNTIFS(WorkforceData[Cohort Month],A13,WorkforceData[Training Date],"&lt;="&amp;DATE(2026,8,17)-90)</x:f>
        <x:v>32</x:v>
      </x:c>
      <x:c r="H13" s="231" t="n">
        <x:f>IF(G13=0,"",COUNTIFS(WorkforceData[Cohort Month],A13,WorkforceData[Training Date],"&lt;="&amp;DATE(2026,8,17)-90,WorkforceData[Total Days Worked],"&gt;="&amp;90)/G13)</x:f>
        <x:v>0.84375</x:v>
      </x:c>
      <x:c r="I13" s="227" t="n">
        <x:f>COUNTIFS(WorkforceData[Cohort Month],A13,WorkforceData[Training Date],"&lt;="&amp;DATE(2026,8,17)-121)</x:f>
        <x:v>32</x:v>
      </x:c>
      <x:c r="J13" s="233" t="n">
        <x:f>IF(I13=0,"",COUNTIFS(WorkforceData[Cohort Month],A13,WorkforceData[Training Date],"&lt;="&amp;DATE(2026,8,17)-121,WorkforceData[Total Days Worked],"&gt;="&amp;121)/I13)</x:f>
        <x:v>0.71875</x:v>
      </x:c>
    </x:row>
    <x:row r="14">
      <x:c r="A14" s="222">
        <x:v>45504</x:v>
      </x:c>
      <x:c r="B14" s="85" t="n">
        <x:f>COUNTIF(WorkforceData[Cohort Month],A14)</x:f>
        <x:v>62</x:v>
      </x:c>
      <x:c r="C14" s="226" t="n">
        <x:f>COUNTIFS(WorkforceData[Cohort Month],A14,WorkforceData[Training Date],"&lt;="&amp;DATE(2026,8,17)-30)</x:f>
        <x:v>62</x:v>
      </x:c>
      <x:c r="D14" s="230" t="n">
        <x:f>IF(C14=0,"",COUNTIFS(WorkforceData[Cohort Month],A14,WorkforceData[Training Date],"&lt;="&amp;DATE(2026,8,17)-30,WorkforceData[Total Days Worked],"&gt;="&amp;30)/C14)</x:f>
        <x:v>0.8870967824074074</x:v>
      </x:c>
      <x:c r="E14" s="226" t="n">
        <x:f>COUNTIFS(WorkforceData[Cohort Month],A14,WorkforceData[Training Date],"&lt;="&amp;DATE(2026,8,17)-60)</x:f>
        <x:v>62</x:v>
      </x:c>
      <x:c r="F14" s="231" t="n">
        <x:f>IF(E14=0,"",COUNTIFS(WorkforceData[Cohort Month],A14,WorkforceData[Training Date],"&lt;="&amp;DATE(2026,8,17)-60,WorkforceData[Total Days Worked],"&gt;="&amp;60)/E14)</x:f>
        <x:v>0.7903225810185185</x:v>
      </x:c>
      <x:c r="G14" s="226" t="n">
        <x:f>COUNTIFS(WorkforceData[Cohort Month],A14,WorkforceData[Training Date],"&lt;="&amp;DATE(2026,8,17)-90)</x:f>
        <x:v>62</x:v>
      </x:c>
      <x:c r="H14" s="231" t="n">
        <x:f>IF(G14=0,"",COUNTIFS(WorkforceData[Cohort Month],A14,WorkforceData[Training Date],"&lt;="&amp;DATE(2026,8,17)-90,WorkforceData[Total Days Worked],"&gt;="&amp;90)/G14)</x:f>
        <x:v>0.7903225810185185</x:v>
      </x:c>
      <x:c r="I14" s="226" t="n">
        <x:f>COUNTIFS(WorkforceData[Cohort Month],A14,WorkforceData[Training Date],"&lt;="&amp;DATE(2026,8,17)-121)</x:f>
        <x:v>62</x:v>
      </x:c>
      <x:c r="J14" s="233" t="n">
        <x:f>IF(I14=0,"",COUNTIFS(WorkforceData[Cohort Month],A14,WorkforceData[Training Date],"&lt;="&amp;DATE(2026,8,17)-121,WorkforceData[Total Days Worked],"&gt;="&amp;121)/I14)</x:f>
        <x:v>0.7258064583333333</x:v>
      </x:c>
    </x:row>
    <x:row r="15">
      <x:c r="A15" s="223">
        <x:v>45535</x:v>
      </x:c>
      <x:c r="B15" s="89" t="n">
        <x:f>COUNTIF(WorkforceData[Cohort Month],A15)</x:f>
        <x:v>18</x:v>
      </x:c>
      <x:c r="C15" s="227" t="n">
        <x:f>COUNTIFS(WorkforceData[Cohort Month],A15,WorkforceData[Training Date],"&lt;="&amp;DATE(2026,8,17)-30)</x:f>
        <x:v>18</x:v>
      </x:c>
      <x:c r="D15" s="231" t="n">
        <x:f>IF(C15=0,"",COUNTIFS(WorkforceData[Cohort Month],A15,WorkforceData[Training Date],"&lt;="&amp;DATE(2026,8,17)-30,WorkforceData[Total Days Worked],"&gt;="&amp;30)/C15)</x:f>
        <x:v>0.7777777777777778</x:v>
      </x:c>
      <x:c r="E15" s="227" t="n">
        <x:f>COUNTIFS(WorkforceData[Cohort Month],A15,WorkforceData[Training Date],"&lt;="&amp;DATE(2026,8,17)-60)</x:f>
        <x:v>18</x:v>
      </x:c>
      <x:c r="F15" s="233" t="n">
        <x:f>IF(E15=0,"",COUNTIFS(WorkforceData[Cohort Month],A15,WorkforceData[Training Date],"&lt;="&amp;DATE(2026,8,17)-60,WorkforceData[Total Days Worked],"&gt;="&amp;60)/E15)</x:f>
        <x:v>0.7222222222222222</x:v>
      </x:c>
      <x:c r="G15" s="227" t="n">
        <x:f>COUNTIFS(WorkforceData[Cohort Month],A15,WorkforceData[Training Date],"&lt;="&amp;DATE(2026,8,17)-90)</x:f>
        <x:v>18</x:v>
      </x:c>
      <x:c r="H15" s="233" t="n">
        <x:f>IF(G15=0,"",COUNTIFS(WorkforceData[Cohort Month],A15,WorkforceData[Training Date],"&lt;="&amp;DATE(2026,8,17)-90,WorkforceData[Total Days Worked],"&gt;="&amp;90)/G15)</x:f>
        <x:v>0.7222222222222222</x:v>
      </x:c>
      <x:c r="I15" s="227" t="n">
        <x:f>COUNTIFS(WorkforceData[Cohort Month],A15,WorkforceData[Training Date],"&lt;="&amp;DATE(2026,8,17)-121)</x:f>
        <x:v>18</x:v>
      </x:c>
      <x:c r="J15" s="234" t="n">
        <x:f>IF(I15=0,"",COUNTIFS(WorkforceData[Cohort Month],A15,WorkforceData[Training Date],"&lt;="&amp;DATE(2026,8,17)-121,WorkforceData[Total Days Worked],"&gt;="&amp;121)/I15)</x:f>
        <x:v>0.6111111111111112</x:v>
      </x:c>
    </x:row>
    <x:row r="16">
      <x:c r="A16" s="222">
        <x:v>45565</x:v>
      </x:c>
      <x:c r="B16" s="85" t="n">
        <x:f>COUNTIF(WorkforceData[Cohort Month],A16)</x:f>
        <x:v>22</x:v>
      </x:c>
      <x:c r="C16" s="226" t="n">
        <x:f>COUNTIFS(WorkforceData[Cohort Month],A16,WorkforceData[Training Date],"&lt;="&amp;DATE(2026,8,17)-30)</x:f>
        <x:v>22</x:v>
      </x:c>
      <x:c r="D16" s="231" t="n">
        <x:f>IF(C16=0,"",COUNTIFS(WorkforceData[Cohort Month],A16,WorkforceData[Training Date],"&lt;="&amp;DATE(2026,8,17)-30,WorkforceData[Total Days Worked],"&gt;="&amp;30)/C16)</x:f>
        <x:v>0.7727272800925926</x:v>
      </x:c>
      <x:c r="E16" s="226" t="n">
        <x:f>COUNTIFS(WorkforceData[Cohort Month],A16,WorkforceData[Training Date],"&lt;="&amp;DATE(2026,8,17)-60)</x:f>
        <x:v>22</x:v>
      </x:c>
      <x:c r="F16" s="234" t="n">
        <x:f>IF(E16=0,"",COUNTIFS(WorkforceData[Cohort Month],A16,WorkforceData[Training Date],"&lt;="&amp;DATE(2026,8,17)-60,WorkforceData[Total Days Worked],"&gt;="&amp;60)/E16)</x:f>
        <x:v>0.6363636458333334</x:v>
      </x:c>
      <x:c r="G16" s="226" t="n">
        <x:f>COUNTIFS(WorkforceData[Cohort Month],A16,WorkforceData[Training Date],"&lt;="&amp;DATE(2026,8,17)-90)</x:f>
        <x:v>22</x:v>
      </x:c>
      <x:c r="H16" s="234" t="n">
        <x:f>IF(G16=0,"",COUNTIFS(WorkforceData[Cohort Month],A16,WorkforceData[Training Date],"&lt;="&amp;DATE(2026,8,17)-90,WorkforceData[Total Days Worked],"&gt;="&amp;90)/G16)</x:f>
        <x:v>0.5454545486111111</x:v>
      </x:c>
      <x:c r="I16" s="226" t="n">
        <x:f>COUNTIFS(WorkforceData[Cohort Month],A16,WorkforceData[Training Date],"&lt;="&amp;DATE(2026,8,17)-121)</x:f>
        <x:v>22</x:v>
      </x:c>
      <x:c r="J16" s="234" t="n">
        <x:f>IF(I16=0,"",COUNTIFS(WorkforceData[Cohort Month],A16,WorkforceData[Training Date],"&lt;="&amp;DATE(2026,8,17)-121,WorkforceData[Total Days Worked],"&gt;="&amp;121)/I16)</x:f>
        <x:v>0.5</x:v>
      </x:c>
    </x:row>
    <x:row r="17">
      <x:c r="A17" s="223">
        <x:v>45596</x:v>
      </x:c>
      <x:c r="B17" s="89" t="n">
        <x:f>COUNTIF(WorkforceData[Cohort Month],A17)</x:f>
        <x:v>37</x:v>
      </x:c>
      <x:c r="C17" s="227" t="n">
        <x:f>COUNTIFS(WorkforceData[Cohort Month],A17,WorkforceData[Training Date],"&lt;="&amp;DATE(2026,8,17)-30)</x:f>
        <x:v>37</x:v>
      </x:c>
      <x:c r="D17" s="230" t="n">
        <x:f>IF(C17=0,"",COUNTIFS(WorkforceData[Cohort Month],A17,WorkforceData[Training Date],"&lt;="&amp;DATE(2026,8,17)-30,WorkforceData[Total Days Worked],"&gt;="&amp;30)/C17)</x:f>
        <x:v>0.8648648726851852</x:v>
      </x:c>
      <x:c r="E17" s="227" t="n">
        <x:f>COUNTIFS(WorkforceData[Cohort Month],A17,WorkforceData[Training Date],"&lt;="&amp;DATE(2026,8,17)-60)</x:f>
        <x:v>37</x:v>
      </x:c>
      <x:c r="F17" s="231" t="n">
        <x:f>IF(E17=0,"",COUNTIFS(WorkforceData[Cohort Month],A17,WorkforceData[Training Date],"&lt;="&amp;DATE(2026,8,17)-60,WorkforceData[Total Days Worked],"&gt;="&amp;60)/E17)</x:f>
        <x:v>0.7567567592592592</x:v>
      </x:c>
      <x:c r="G17" s="227" t="n">
        <x:f>COUNTIFS(WorkforceData[Cohort Month],A17,WorkforceData[Training Date],"&lt;="&amp;DATE(2026,8,17)-90)</x:f>
        <x:v>37</x:v>
      </x:c>
      <x:c r="H17" s="231" t="n">
        <x:f>IF(G17=0,"",COUNTIFS(WorkforceData[Cohort Month],A17,WorkforceData[Training Date],"&lt;="&amp;DATE(2026,8,17)-90,WorkforceData[Total Days Worked],"&gt;="&amp;90)/G17)</x:f>
        <x:v>0.7567567592592592</x:v>
      </x:c>
      <x:c r="I17" s="227" t="n">
        <x:f>COUNTIFS(WorkforceData[Cohort Month],A17,WorkforceData[Training Date],"&lt;="&amp;DATE(2026,8,17)-121)</x:f>
        <x:v>37</x:v>
      </x:c>
      <x:c r="J17" s="233" t="n">
        <x:f>IF(I17=0,"",COUNTIFS(WorkforceData[Cohort Month],A17,WorkforceData[Training Date],"&lt;="&amp;DATE(2026,8,17)-121,WorkforceData[Total Days Worked],"&gt;="&amp;121)/I17)</x:f>
        <x:v>0.7297297337962962</x:v>
      </x:c>
    </x:row>
    <x:row r="18">
      <x:c r="A18" s="222">
        <x:v>45626</x:v>
      </x:c>
      <x:c r="B18" s="85" t="n">
        <x:f>COUNTIF(WorkforceData[Cohort Month],A18)</x:f>
        <x:v>32</x:v>
      </x:c>
      <x:c r="C18" s="226" t="n">
        <x:f>COUNTIFS(WorkforceData[Cohort Month],A18,WorkforceData[Training Date],"&lt;="&amp;DATE(2026,8,17)-30)</x:f>
        <x:v>32</x:v>
      </x:c>
      <x:c r="D18" s="230" t="n">
        <x:f>IF(C18=0,"",COUNTIFS(WorkforceData[Cohort Month],A18,WorkforceData[Training Date],"&lt;="&amp;DATE(2026,8,17)-30,WorkforceData[Total Days Worked],"&gt;="&amp;30)/C18)</x:f>
        <x:v>0.90625</x:v>
      </x:c>
      <x:c r="E18" s="226" t="n">
        <x:f>COUNTIFS(WorkforceData[Cohort Month],A18,WorkforceData[Training Date],"&lt;="&amp;DATE(2026,8,17)-60)</x:f>
        <x:v>32</x:v>
      </x:c>
      <x:c r="F18" s="230" t="n">
        <x:f>IF(E18=0,"",COUNTIFS(WorkforceData[Cohort Month],A18,WorkforceData[Training Date],"&lt;="&amp;DATE(2026,8,17)-60,WorkforceData[Total Days Worked],"&gt;="&amp;60)/E18)</x:f>
        <x:v>0.875</x:v>
      </x:c>
      <x:c r="G18" s="226" t="n">
        <x:f>COUNTIFS(WorkforceData[Cohort Month],A18,WorkforceData[Training Date],"&lt;="&amp;DATE(2026,8,17)-90)</x:f>
        <x:v>32</x:v>
      </x:c>
      <x:c r="H18" s="231" t="n">
        <x:f>IF(G18=0,"",COUNTIFS(WorkforceData[Cohort Month],A18,WorkforceData[Training Date],"&lt;="&amp;DATE(2026,8,17)-90,WorkforceData[Total Days Worked],"&gt;="&amp;90)/G18)</x:f>
        <x:v>0.78125</x:v>
      </x:c>
      <x:c r="I18" s="226" t="n">
        <x:f>COUNTIFS(WorkforceData[Cohort Month],A18,WorkforceData[Training Date],"&lt;="&amp;DATE(2026,8,17)-121)</x:f>
        <x:v>32</x:v>
      </x:c>
      <x:c r="J18" s="231" t="n">
        <x:f>IF(I18=0,"",COUNTIFS(WorkforceData[Cohort Month],A18,WorkforceData[Training Date],"&lt;="&amp;DATE(2026,8,17)-121,WorkforceData[Total Days Worked],"&gt;="&amp;121)/I18)</x:f>
        <x:v>0.78125</x:v>
      </x:c>
    </x:row>
    <x:row r="19">
      <x:c r="A19" s="223">
        <x:v>45657</x:v>
      </x:c>
      <x:c r="B19" s="89" t="n">
        <x:f>COUNTIF(WorkforceData[Cohort Month],A19)</x:f>
        <x:v>38</x:v>
      </x:c>
      <x:c r="C19" s="227" t="n">
        <x:f>COUNTIFS(WorkforceData[Cohort Month],A19,WorkforceData[Training Date],"&lt;="&amp;DATE(2026,8,17)-30)</x:f>
        <x:v>38</x:v>
      </x:c>
      <x:c r="D19" s="230" t="n">
        <x:f>IF(C19=0,"",COUNTIFS(WorkforceData[Cohort Month],A19,WorkforceData[Training Date],"&lt;="&amp;DATE(2026,8,17)-30,WorkforceData[Total Days Worked],"&gt;="&amp;30)/C19)</x:f>
        <x:v>0.8684210532407407</x:v>
      </x:c>
      <x:c r="E19" s="227" t="n">
        <x:f>COUNTIFS(WorkforceData[Cohort Month],A19,WorkforceData[Training Date],"&lt;="&amp;DATE(2026,8,17)-60)</x:f>
        <x:v>38</x:v>
      </x:c>
      <x:c r="F19" s="231" t="n">
        <x:f>IF(E19=0,"",COUNTIFS(WorkforceData[Cohort Month],A19,WorkforceData[Training Date],"&lt;="&amp;DATE(2026,8,17)-60,WorkforceData[Total Days Worked],"&gt;="&amp;60)/E19)</x:f>
        <x:v>0.8421052662037037</x:v>
      </x:c>
      <x:c r="G19" s="227" t="n">
        <x:f>COUNTIFS(WorkforceData[Cohort Month],A19,WorkforceData[Training Date],"&lt;="&amp;DATE(2026,8,17)-90)</x:f>
        <x:v>38</x:v>
      </x:c>
      <x:c r="H19" s="231" t="n">
        <x:f>IF(G19=0,"",COUNTIFS(WorkforceData[Cohort Month],A19,WorkforceData[Training Date],"&lt;="&amp;DATE(2026,8,17)-90,WorkforceData[Total Days Worked],"&gt;="&amp;90)/G19)</x:f>
        <x:v>0.7631579050925926</x:v>
      </x:c>
      <x:c r="I19" s="227" t="n">
        <x:f>COUNTIFS(WorkforceData[Cohort Month],A19,WorkforceData[Training Date],"&lt;="&amp;DATE(2026,8,17)-121)</x:f>
        <x:v>38</x:v>
      </x:c>
      <x:c r="J19" s="233" t="n">
        <x:f>IF(I19=0,"",COUNTIFS(WorkforceData[Cohort Month],A19,WorkforceData[Training Date],"&lt;="&amp;DATE(2026,8,17)-121,WorkforceData[Total Days Worked],"&gt;="&amp;121)/I19)</x:f>
        <x:v>0.7368421064814815</x:v>
      </x:c>
    </x:row>
    <x:row r="20">
      <x:c r="A20" s="222">
        <x:v>45716</x:v>
      </x:c>
      <x:c r="B20" s="85" t="n">
        <x:f>COUNTIF(WorkforceData[Cohort Month],A20)</x:f>
        <x:v>30</x:v>
      </x:c>
      <x:c r="C20" s="226" t="n">
        <x:f>COUNTIFS(WorkforceData[Cohort Month],A20,WorkforceData[Training Date],"&lt;="&amp;DATE(2026,8,17)-30)</x:f>
        <x:v>30</x:v>
      </x:c>
      <x:c r="D20" s="230" t="n">
        <x:f>IF(C20=0,"",COUNTIFS(WorkforceData[Cohort Month],A20,WorkforceData[Training Date],"&lt;="&amp;DATE(2026,8,17)-30,WorkforceData[Total Days Worked],"&gt;="&amp;30)/C20)</x:f>
        <x:v>0.9</x:v>
      </x:c>
      <x:c r="E20" s="226" t="n">
        <x:f>COUNTIFS(WorkforceData[Cohort Month],A20,WorkforceData[Training Date],"&lt;="&amp;DATE(2026,8,17)-60)</x:f>
        <x:v>30</x:v>
      </x:c>
      <x:c r="F20" s="230" t="n">
        <x:f>IF(E20=0,"",COUNTIFS(WorkforceData[Cohort Month],A20,WorkforceData[Training Date],"&lt;="&amp;DATE(2026,8,17)-60,WorkforceData[Total Days Worked],"&gt;="&amp;60)/E20)</x:f>
        <x:v>0.8666666666666667</x:v>
      </x:c>
      <x:c r="G20" s="226" t="n">
        <x:f>COUNTIFS(WorkforceData[Cohort Month],A20,WorkforceData[Training Date],"&lt;="&amp;DATE(2026,8,17)-90)</x:f>
        <x:v>30</x:v>
      </x:c>
      <x:c r="H20" s="231" t="n">
        <x:f>IF(G20=0,"",COUNTIFS(WorkforceData[Cohort Month],A20,WorkforceData[Training Date],"&lt;="&amp;DATE(2026,8,17)-90,WorkforceData[Total Days Worked],"&gt;="&amp;90)/G20)</x:f>
        <x:v>0.8</x:v>
      </x:c>
      <x:c r="I20" s="226" t="n">
        <x:f>COUNTIFS(WorkforceData[Cohort Month],A20,WorkforceData[Training Date],"&lt;="&amp;DATE(2026,8,17)-121)</x:f>
        <x:v>30</x:v>
      </x:c>
      <x:c r="J20" s="233" t="n">
        <x:f>IF(I20=0,"",COUNTIFS(WorkforceData[Cohort Month],A20,WorkforceData[Training Date],"&lt;="&amp;DATE(2026,8,17)-121,WorkforceData[Total Days Worked],"&gt;="&amp;121)/I20)</x:f>
        <x:v>0.7333333333333333</x:v>
      </x:c>
    </x:row>
    <x:row r="21">
      <x:c r="A21" s="223">
        <x:v>45747</x:v>
      </x:c>
      <x:c r="B21" s="89" t="n">
        <x:f>COUNTIF(WorkforceData[Cohort Month],A21)</x:f>
        <x:v>64</x:v>
      </x:c>
      <x:c r="C21" s="227" t="n">
        <x:f>COUNTIFS(WorkforceData[Cohort Month],A21,WorkforceData[Training Date],"&lt;="&amp;DATE(2026,8,17)-30)</x:f>
        <x:v>64</x:v>
      </x:c>
      <x:c r="D21" s="230" t="n">
        <x:f>IF(C21=0,"",COUNTIFS(WorkforceData[Cohort Month],A21,WorkforceData[Training Date],"&lt;="&amp;DATE(2026,8,17)-30,WorkforceData[Total Days Worked],"&gt;="&amp;30)/C21)</x:f>
        <x:v>0.859375</x:v>
      </x:c>
      <x:c r="E21" s="227" t="n">
        <x:f>COUNTIFS(WorkforceData[Cohort Month],A21,WorkforceData[Training Date],"&lt;="&amp;DATE(2026,8,17)-60)</x:f>
        <x:v>64</x:v>
      </x:c>
      <x:c r="F21" s="231" t="n">
        <x:f>IF(E21=0,"",COUNTIFS(WorkforceData[Cohort Month],A21,WorkforceData[Training Date],"&lt;="&amp;DATE(2026,8,17)-60,WorkforceData[Total Days Worked],"&gt;="&amp;60)/E21)</x:f>
        <x:v>0.75</x:v>
      </x:c>
      <x:c r="G21" s="227" t="n">
        <x:f>COUNTIFS(WorkforceData[Cohort Month],A21,WorkforceData[Training Date],"&lt;="&amp;DATE(2026,8,17)-90)</x:f>
        <x:v>64</x:v>
      </x:c>
      <x:c r="H21" s="231" t="n">
        <x:f>IF(G21=0,"",COUNTIFS(WorkforceData[Cohort Month],A21,WorkforceData[Training Date],"&lt;="&amp;DATE(2026,8,17)-90,WorkforceData[Total Days Worked],"&gt;="&amp;90)/G21)</x:f>
        <x:v>0.75</x:v>
      </x:c>
      <x:c r="I21" s="227" t="n">
        <x:f>COUNTIFS(WorkforceData[Cohort Month],A21,WorkforceData[Training Date],"&lt;="&amp;DATE(2026,8,17)-121)</x:f>
        <x:v>64</x:v>
      </x:c>
      <x:c r="J21" s="234" t="n">
        <x:f>IF(I21=0,"",COUNTIFS(WorkforceData[Cohort Month],A21,WorkforceData[Training Date],"&lt;="&amp;DATE(2026,8,17)-121,WorkforceData[Total Days Worked],"&gt;="&amp;121)/I21)</x:f>
        <x:v>0.625</x:v>
      </x:c>
    </x:row>
    <x:row r="22">
      <x:c r="A22" s="222">
        <x:v>45777</x:v>
      </x:c>
      <x:c r="B22" s="85" t="n">
        <x:f>COUNTIF(WorkforceData[Cohort Month],A22)</x:f>
        <x:v>42</x:v>
      </x:c>
      <x:c r="C22" s="226" t="n">
        <x:f>COUNTIFS(WorkforceData[Cohort Month],A22,WorkforceData[Training Date],"&lt;="&amp;DATE(2026,8,17)-30)</x:f>
        <x:v>42</x:v>
      </x:c>
      <x:c r="D22" s="231" t="n">
        <x:f>IF(C22=0,"",COUNTIFS(WorkforceData[Cohort Month],A22,WorkforceData[Training Date],"&lt;="&amp;DATE(2026,8,17)-30,WorkforceData[Total Days Worked],"&gt;="&amp;30)/C22)</x:f>
        <x:v>0.8333333333333334</x:v>
      </x:c>
      <x:c r="E22" s="226" t="n">
        <x:f>COUNTIFS(WorkforceData[Cohort Month],A22,WorkforceData[Training Date],"&lt;="&amp;DATE(2026,8,17)-60)</x:f>
        <x:v>42</x:v>
      </x:c>
      <x:c r="F22" s="231" t="n">
        <x:f>IF(E22=0,"",COUNTIFS(WorkforceData[Cohort Month],A22,WorkforceData[Training Date],"&lt;="&amp;DATE(2026,8,17)-60,WorkforceData[Total Days Worked],"&gt;="&amp;60)/E22)</x:f>
        <x:v>0.7857142939814815</x:v>
      </x:c>
      <x:c r="G22" s="226" t="n">
        <x:f>COUNTIFS(WorkforceData[Cohort Month],A22,WorkforceData[Training Date],"&lt;="&amp;DATE(2026,8,17)-90)</x:f>
        <x:v>42</x:v>
      </x:c>
      <x:c r="H22" s="231" t="n">
        <x:f>IF(G22=0,"",COUNTIFS(WorkforceData[Cohort Month],A22,WorkforceData[Training Date],"&lt;="&amp;DATE(2026,8,17)-90,WorkforceData[Total Days Worked],"&gt;="&amp;90)/G22)</x:f>
        <x:v>0.7857142939814815</x:v>
      </x:c>
      <x:c r="I22" s="226" t="n">
        <x:f>COUNTIFS(WorkforceData[Cohort Month],A22,WorkforceData[Training Date],"&lt;="&amp;DATE(2026,8,17)-121)</x:f>
        <x:v>42</x:v>
      </x:c>
      <x:c r="J22" s="233" t="n">
        <x:f>IF(I22=0,"",COUNTIFS(WorkforceData[Cohort Month],A22,WorkforceData[Training Date],"&lt;="&amp;DATE(2026,8,17)-121,WorkforceData[Total Days Worked],"&gt;="&amp;121)/I22)</x:f>
        <x:v>0.7142857175925926</x:v>
      </x:c>
    </x:row>
    <x:row r="23">
      <x:c r="A23" s="223">
        <x:v>45808</x:v>
      </x:c>
      <x:c r="B23" s="89" t="n">
        <x:f>COUNTIF(WorkforceData[Cohort Month],A23)</x:f>
        <x:v>33</x:v>
      </x:c>
      <x:c r="C23" s="227" t="n">
        <x:f>COUNTIFS(WorkforceData[Cohort Month],A23,WorkforceData[Training Date],"&lt;="&amp;DATE(2026,8,17)-30)</x:f>
        <x:v>33</x:v>
      </x:c>
      <x:c r="D23" s="230" t="n">
        <x:f>IF(C23=0,"",COUNTIFS(WorkforceData[Cohort Month],A23,WorkforceData[Training Date],"&lt;="&amp;DATE(2026,8,17)-30,WorkforceData[Total Days Worked],"&gt;="&amp;30)/C23)</x:f>
        <x:v>1</x:v>
      </x:c>
      <x:c r="E23" s="227" t="n">
        <x:f>COUNTIFS(WorkforceData[Cohort Month],A23,WorkforceData[Training Date],"&lt;="&amp;DATE(2026,8,17)-60)</x:f>
        <x:v>33</x:v>
      </x:c>
      <x:c r="F23" s="230" t="n">
        <x:f>IF(E23=0,"",COUNTIFS(WorkforceData[Cohort Month],A23,WorkforceData[Training Date],"&lt;="&amp;DATE(2026,8,17)-60,WorkforceData[Total Days Worked],"&gt;="&amp;60)/E23)</x:f>
        <x:v>0.9393939467592592</x:v>
      </x:c>
      <x:c r="G23" s="227" t="n">
        <x:f>COUNTIFS(WorkforceData[Cohort Month],A23,WorkforceData[Training Date],"&lt;="&amp;DATE(2026,8,17)-90)</x:f>
        <x:v>33</x:v>
      </x:c>
      <x:c r="H23" s="230" t="n">
        <x:f>IF(G23=0,"",COUNTIFS(WorkforceData[Cohort Month],A23,WorkforceData[Training Date],"&lt;="&amp;DATE(2026,8,17)-90,WorkforceData[Total Days Worked],"&gt;="&amp;90)/G23)</x:f>
        <x:v>0.9393939467592592</x:v>
      </x:c>
      <x:c r="I23" s="227" t="n">
        <x:f>COUNTIFS(WorkforceData[Cohort Month],A23,WorkforceData[Training Date],"&lt;="&amp;DATE(2026,8,17)-121)</x:f>
        <x:v>33</x:v>
      </x:c>
      <x:c r="J23" s="230" t="n">
        <x:f>IF(I23=0,"",COUNTIFS(WorkforceData[Cohort Month],A23,WorkforceData[Training Date],"&lt;="&amp;DATE(2026,8,17)-121,WorkforceData[Total Days Worked],"&gt;="&amp;121)/I23)</x:f>
        <x:v>0.8787878819444445</x:v>
      </x:c>
    </x:row>
    <x:row r="24">
      <x:c r="A24" s="222">
        <x:v>45838</x:v>
      </x:c>
      <x:c r="B24" s="85" t="n">
        <x:f>COUNTIF(WorkforceData[Cohort Month],A24)</x:f>
        <x:v>17</x:v>
      </x:c>
      <x:c r="C24" s="226" t="n">
        <x:f>COUNTIFS(WorkforceData[Cohort Month],A24,WorkforceData[Training Date],"&lt;="&amp;DATE(2026,8,17)-30)</x:f>
        <x:v>17</x:v>
      </x:c>
      <x:c r="D24" s="230" t="n">
        <x:f>IF(C24=0,"",COUNTIFS(WorkforceData[Cohort Month],A24,WorkforceData[Training Date],"&lt;="&amp;DATE(2026,8,17)-30,WorkforceData[Total Days Worked],"&gt;="&amp;30)/C24)</x:f>
        <x:v>0.8823529513888889</x:v>
      </x:c>
      <x:c r="E24" s="226" t="n">
        <x:f>COUNTIFS(WorkforceData[Cohort Month],A24,WorkforceData[Training Date],"&lt;="&amp;DATE(2026,8,17)-60)</x:f>
        <x:v>17</x:v>
      </x:c>
      <x:c r="F24" s="231" t="n">
        <x:f>IF(E24=0,"",COUNTIFS(WorkforceData[Cohort Month],A24,WorkforceData[Training Date],"&lt;="&amp;DATE(2026,8,17)-60,WorkforceData[Total Days Worked],"&gt;="&amp;60)/E24)</x:f>
        <x:v>0.7647058912037037</x:v>
      </x:c>
      <x:c r="G24" s="226" t="n">
        <x:f>COUNTIFS(WorkforceData[Cohort Month],A24,WorkforceData[Training Date],"&lt;="&amp;DATE(2026,8,17)-90)</x:f>
        <x:v>17</x:v>
      </x:c>
      <x:c r="H24" s="231" t="n">
        <x:f>IF(G24=0,"",COUNTIFS(WorkforceData[Cohort Month],A24,WorkforceData[Training Date],"&lt;="&amp;DATE(2026,8,17)-90,WorkforceData[Total Days Worked],"&gt;="&amp;90)/G24)</x:f>
        <x:v>0.7647058912037037</x:v>
      </x:c>
      <x:c r="I24" s="226" t="n">
        <x:f>COUNTIFS(WorkforceData[Cohort Month],A24,WorkforceData[Training Date],"&lt;="&amp;DATE(2026,8,17)-121)</x:f>
        <x:v>17</x:v>
      </x:c>
      <x:c r="J24" s="234" t="n">
        <x:f>IF(I24=0,"",COUNTIFS(WorkforceData[Cohort Month],A24,WorkforceData[Training Date],"&lt;="&amp;DATE(2026,8,17)-121,WorkforceData[Total Days Worked],"&gt;="&amp;121)/I24)</x:f>
        <x:v>0.6470588310185185</x:v>
      </x:c>
    </x:row>
    <x:row r="25">
      <x:c r="A25" s="223">
        <x:v>45930</x:v>
      </x:c>
      <x:c r="B25" s="89" t="n">
        <x:f>COUNTIF(WorkforceData[Cohort Month],A25)</x:f>
        <x:v>15</x:v>
      </x:c>
      <x:c r="C25" s="227" t="n">
        <x:f>COUNTIFS(WorkforceData[Cohort Month],A25,WorkforceData[Training Date],"&lt;="&amp;DATE(2026,8,17)-30)</x:f>
        <x:v>15</x:v>
      </x:c>
      <x:c r="D25" s="231" t="n">
        <x:f>IF(C25=0,"",COUNTIFS(WorkforceData[Cohort Month],A25,WorkforceData[Training Date],"&lt;="&amp;DATE(2026,8,17)-30,WorkforceData[Total Days Worked],"&gt;="&amp;30)/C25)</x:f>
        <x:v>0.8</x:v>
      </x:c>
      <x:c r="E25" s="227" t="n">
        <x:f>COUNTIFS(WorkforceData[Cohort Month],A25,WorkforceData[Training Date],"&lt;="&amp;DATE(2026,8,17)-60)</x:f>
        <x:v>15</x:v>
      </x:c>
      <x:c r="F25" s="233" t="n">
        <x:f>IF(E25=0,"",COUNTIFS(WorkforceData[Cohort Month],A25,WorkforceData[Training Date],"&lt;="&amp;DATE(2026,8,17)-60,WorkforceData[Total Days Worked],"&gt;="&amp;60)/E25)</x:f>
        <x:v>0.7333333333333333</x:v>
      </x:c>
      <x:c r="G25" s="227" t="n">
        <x:f>COUNTIFS(WorkforceData[Cohort Month],A25,WorkforceData[Training Date],"&lt;="&amp;DATE(2026,8,17)-90)</x:f>
        <x:v>15</x:v>
      </x:c>
      <x:c r="H25" s="233" t="n">
        <x:f>IF(G25=0,"",COUNTIFS(WorkforceData[Cohort Month],A25,WorkforceData[Training Date],"&lt;="&amp;DATE(2026,8,17)-90,WorkforceData[Total Days Worked],"&gt;="&amp;90)/G25)</x:f>
        <x:v>0.7333333333333333</x:v>
      </x:c>
      <x:c r="I25" s="227" t="n">
        <x:f>COUNTIFS(WorkforceData[Cohort Month],A25,WorkforceData[Training Date],"&lt;="&amp;DATE(2026,8,17)-121)</x:f>
        <x:v>15</x:v>
      </x:c>
      <x:c r="J25" s="234" t="n">
        <x:f>IF(I25=0,"",COUNTIFS(WorkforceData[Cohort Month],A25,WorkforceData[Training Date],"&lt;="&amp;DATE(2026,8,17)-121,WorkforceData[Total Days Worked],"&gt;="&amp;121)/I25)</x:f>
        <x:v>0.6</x:v>
      </x:c>
    </x:row>
    <x:row r="26">
      <x:c r="A26" s="222">
        <x:v>45961</x:v>
      </x:c>
      <x:c r="B26" s="85" t="n">
        <x:f>COUNTIF(WorkforceData[Cohort Month],A26)</x:f>
        <x:v>23</x:v>
      </x:c>
      <x:c r="C26" s="226" t="n">
        <x:f>COUNTIFS(WorkforceData[Cohort Month],A26,WorkforceData[Training Date],"&lt;="&amp;DATE(2026,8,17)-30)</x:f>
        <x:v>23</x:v>
      </x:c>
      <x:c r="D26" s="231" t="n">
        <x:f>IF(C26=0,"",COUNTIFS(WorkforceData[Cohort Month],A26,WorkforceData[Training Date],"&lt;="&amp;DATE(2026,8,17)-30,WorkforceData[Total Days Worked],"&gt;="&amp;30)/C26)</x:f>
        <x:v>0.7826087037037037</x:v>
      </x:c>
      <x:c r="E26" s="226" t="n">
        <x:f>COUNTIFS(WorkforceData[Cohort Month],A26,WorkforceData[Training Date],"&lt;="&amp;DATE(2026,8,17)-60)</x:f>
        <x:v>23</x:v>
      </x:c>
      <x:c r="F26" s="233" t="n">
        <x:f>IF(E26=0,"",COUNTIFS(WorkforceData[Cohort Month],A26,WorkforceData[Training Date],"&lt;="&amp;DATE(2026,8,17)-60,WorkforceData[Total Days Worked],"&gt;="&amp;60)/E26)</x:f>
        <x:v>0.6956521759259259</x:v>
      </x:c>
      <x:c r="G26" s="226" t="n">
        <x:f>COUNTIFS(WorkforceData[Cohort Month],A26,WorkforceData[Training Date],"&lt;="&amp;DATE(2026,8,17)-90)</x:f>
        <x:v>23</x:v>
      </x:c>
      <x:c r="H26" s="233" t="n">
        <x:f>IF(G26=0,"",COUNTIFS(WorkforceData[Cohort Month],A26,WorkforceData[Training Date],"&lt;="&amp;DATE(2026,8,17)-90,WorkforceData[Total Days Worked],"&gt;="&amp;90)/G26)</x:f>
        <x:v>0.6956521759259259</x:v>
      </x:c>
      <x:c r="I26" s="226" t="n">
        <x:f>COUNTIFS(WorkforceData[Cohort Month],A26,WorkforceData[Training Date],"&lt;="&amp;DATE(2026,8,17)-121)</x:f>
        <x:v>23</x:v>
      </x:c>
      <x:c r="J26" s="233" t="n">
        <x:f>IF(I26=0,"",COUNTIFS(WorkforceData[Cohort Month],A26,WorkforceData[Training Date],"&lt;="&amp;DATE(2026,8,17)-121,WorkforceData[Total Days Worked],"&gt;="&amp;121)/I26)</x:f>
        <x:v>0.6521739236111112</x:v>
      </x:c>
    </x:row>
    <x:row r="27">
      <x:c r="A27" s="223">
        <x:v>45991</x:v>
      </x:c>
      <x:c r="B27" s="89" t="n">
        <x:f>COUNTIF(WorkforceData[Cohort Month],A27)</x:f>
        <x:v>44</x:v>
      </x:c>
      <x:c r="C27" s="227" t="n">
        <x:f>COUNTIFS(WorkforceData[Cohort Month],A27,WorkforceData[Training Date],"&lt;="&amp;DATE(2026,8,17)-30)</x:f>
        <x:v>44</x:v>
      </x:c>
      <x:c r="D27" s="231" t="n">
        <x:f>IF(C27=0,"",COUNTIFS(WorkforceData[Cohort Month],A27,WorkforceData[Training Date],"&lt;="&amp;DATE(2026,8,17)-30,WorkforceData[Total Days Worked],"&gt;="&amp;30)/C27)</x:f>
        <x:v>0.7954545486111111</x:v>
      </x:c>
      <x:c r="E27" s="227" t="n">
        <x:f>COUNTIFS(WorkforceData[Cohort Month],A27,WorkforceData[Training Date],"&lt;="&amp;DATE(2026,8,17)-60)</x:f>
        <x:v>44</x:v>
      </x:c>
      <x:c r="F27" s="231" t="n">
        <x:f>IF(E27=0,"",COUNTIFS(WorkforceData[Cohort Month],A27,WorkforceData[Training Date],"&lt;="&amp;DATE(2026,8,17)-60,WorkforceData[Total Days Worked],"&gt;="&amp;60)/E27)</x:f>
        <x:v>0.7727272800925926</x:v>
      </x:c>
      <x:c r="G27" s="227" t="n">
        <x:f>COUNTIFS(WorkforceData[Cohort Month],A27,WorkforceData[Training Date],"&lt;="&amp;DATE(2026,8,17)-90)</x:f>
        <x:v>44</x:v>
      </x:c>
      <x:c r="H27" s="231" t="n">
        <x:f>IF(G27=0,"",COUNTIFS(WorkforceData[Cohort Month],A27,WorkforceData[Training Date],"&lt;="&amp;DATE(2026,8,17)-90,WorkforceData[Total Days Worked],"&gt;="&amp;90)/G27)</x:f>
        <x:v>0.75</x:v>
      </x:c>
      <x:c r="I27" s="227" t="n">
        <x:f>COUNTIFS(WorkforceData[Cohort Month],A27,WorkforceData[Training Date],"&lt;="&amp;DATE(2026,8,17)-121)</x:f>
        <x:v>44</x:v>
      </x:c>
      <x:c r="J27" s="233" t="n">
        <x:f>IF(I27=0,"",COUNTIFS(WorkforceData[Cohort Month],A27,WorkforceData[Training Date],"&lt;="&amp;DATE(2026,8,17)-121,WorkforceData[Total Days Worked],"&gt;="&amp;121)/I27)</x:f>
        <x:v>0.7272727314814815</x:v>
      </x:c>
    </x:row>
    <x:row r="28">
      <x:c r="A28" s="222">
        <x:v>46022</x:v>
      </x:c>
      <x:c r="B28" s="85" t="n">
        <x:f>COUNTIF(WorkforceData[Cohort Month],A28)</x:f>
        <x:v>49</x:v>
      </x:c>
      <x:c r="C28" s="226" t="n">
        <x:f>COUNTIFS(WorkforceData[Cohort Month],A28,WorkforceData[Training Date],"&lt;="&amp;DATE(2026,8,17)-30)</x:f>
        <x:v>49</x:v>
      </x:c>
      <x:c r="D28" s="230" t="n">
        <x:f>IF(C28=0,"",COUNTIFS(WorkforceData[Cohort Month],A28,WorkforceData[Training Date],"&lt;="&amp;DATE(2026,8,17)-30,WorkforceData[Total Days Worked],"&gt;="&amp;30)/C28)</x:f>
        <x:v>0.8775510300925926</x:v>
      </x:c>
      <x:c r="E28" s="226" t="n">
        <x:f>COUNTIFS(WorkforceData[Cohort Month],A28,WorkforceData[Training Date],"&lt;="&amp;DATE(2026,8,17)-60)</x:f>
        <x:v>49</x:v>
      </x:c>
      <x:c r="F28" s="231" t="n">
        <x:f>IF(E28=0,"",COUNTIFS(WorkforceData[Cohort Month],A28,WorkforceData[Training Date],"&lt;="&amp;DATE(2026,8,17)-60,WorkforceData[Total Days Worked],"&gt;="&amp;60)/E28)</x:f>
        <x:v>0.8163265393518518</x:v>
      </x:c>
      <x:c r="G28" s="226" t="n">
        <x:f>COUNTIFS(WorkforceData[Cohort Month],A28,WorkforceData[Training Date],"&lt;="&amp;DATE(2026,8,17)-90)</x:f>
        <x:v>49</x:v>
      </x:c>
      <x:c r="H28" s="231" t="n">
        <x:f>IF(G28=0,"",COUNTIFS(WorkforceData[Cohort Month],A28,WorkforceData[Training Date],"&lt;="&amp;DATE(2026,8,17)-90,WorkforceData[Total Days Worked],"&gt;="&amp;90)/G28)</x:f>
        <x:v>0.7959183680555556</x:v>
      </x:c>
      <x:c r="I28" s="226" t="n">
        <x:f>COUNTIFS(WorkforceData[Cohort Month],A28,WorkforceData[Training Date],"&lt;="&amp;DATE(2026,8,17)-121)</x:f>
        <x:v>49</x:v>
      </x:c>
      <x:c r="J28" s="231" t="n">
        <x:f>IF(I28=0,"",COUNTIFS(WorkforceData[Cohort Month],A28,WorkforceData[Training Date],"&lt;="&amp;DATE(2026,8,17)-121,WorkforceData[Total Days Worked],"&gt;="&amp;121)/I28)</x:f>
        <x:v>0.7551020486111111</x:v>
      </x:c>
    </x:row>
    <x:row r="29">
      <x:c r="A29" s="223">
        <x:v>46081</x:v>
      </x:c>
      <x:c r="B29" s="89" t="n">
        <x:f>COUNTIF(WorkforceData[Cohort Month],A29)</x:f>
        <x:v>66</x:v>
      </x:c>
      <x:c r="C29" s="227" t="n">
        <x:f>COUNTIFS(WorkforceData[Cohort Month],A29,WorkforceData[Training Date],"&lt;="&amp;DATE(2026,8,17)-30)</x:f>
        <x:v>66</x:v>
      </x:c>
      <x:c r="D29" s="230" t="n">
        <x:f>IF(C29=0,"",COUNTIFS(WorkforceData[Cohort Month],A29,WorkforceData[Training Date],"&lt;="&amp;DATE(2026,8,17)-30,WorkforceData[Total Days Worked],"&gt;="&amp;30)/C29)</x:f>
        <x:v>0.8939393981481482</x:v>
      </x:c>
      <x:c r="E29" s="227" t="n">
        <x:f>COUNTIFS(WorkforceData[Cohort Month],A29,WorkforceData[Training Date],"&lt;="&amp;DATE(2026,8,17)-60)</x:f>
        <x:v>66</x:v>
      </x:c>
      <x:c r="F29" s="231" t="n">
        <x:f>IF(E29=0,"",COUNTIFS(WorkforceData[Cohort Month],A29,WorkforceData[Training Date],"&lt;="&amp;DATE(2026,8,17)-60,WorkforceData[Total Days Worked],"&gt;="&amp;60)/E29)</x:f>
        <x:v>0.8333333333333334</x:v>
      </x:c>
      <x:c r="G29" s="227" t="n">
        <x:f>COUNTIFS(WorkforceData[Cohort Month],A29,WorkforceData[Training Date],"&lt;="&amp;DATE(2026,8,17)-90)</x:f>
        <x:v>66</x:v>
      </x:c>
      <x:c r="H29" s="231" t="n">
        <x:f>IF(G29=0,"",COUNTIFS(WorkforceData[Cohort Month],A29,WorkforceData[Training Date],"&lt;="&amp;DATE(2026,8,17)-90,WorkforceData[Total Days Worked],"&gt;="&amp;90)/G29)</x:f>
        <x:v>0.7575757638888889</x:v>
      </x:c>
      <x:c r="I29" s="227" t="n">
        <x:f>COUNTIFS(WorkforceData[Cohort Month],A29,WorkforceData[Training Date],"&lt;="&amp;DATE(2026,8,17)-121)</x:f>
        <x:v>66</x:v>
      </x:c>
      <x:c r="J29" s="233" t="n">
        <x:f>IF(I29=0,"",COUNTIFS(WorkforceData[Cohort Month],A29,WorkforceData[Training Date],"&lt;="&amp;DATE(2026,8,17)-121,WorkforceData[Total Days Worked],"&gt;="&amp;121)/I29)</x:f>
        <x:v>0.7121212152777778</x:v>
      </x:c>
    </x:row>
    <x:row r="30">
      <x:c r="A30" s="222">
        <x:v>46142</x:v>
      </x:c>
      <x:c r="B30" s="85" t="n">
        <x:f>COUNTIF(WorkforceData[Cohort Month],A30)</x:f>
        <x:v>57</x:v>
      </x:c>
      <x:c r="C30" s="226" t="n">
        <x:f>COUNTIFS(WorkforceData[Cohort Month],A30,WorkforceData[Training Date],"&lt;="&amp;DATE(2026,8,17)-30)</x:f>
        <x:v>57</x:v>
      </x:c>
      <x:c r="D30" s="230" t="n">
        <x:f>IF(C30=0,"",COUNTIFS(WorkforceData[Cohort Month],A30,WorkforceData[Training Date],"&lt;="&amp;DATE(2026,8,17)-30,WorkforceData[Total Days Worked],"&gt;="&amp;30)/C30)</x:f>
        <x:v>0.8947368518518518</x:v>
      </x:c>
      <x:c r="E30" s="226" t="n">
        <x:f>COUNTIFS(WorkforceData[Cohort Month],A30,WorkforceData[Training Date],"&lt;="&amp;DATE(2026,8,17)-60)</x:f>
        <x:v>57</x:v>
      </x:c>
      <x:c r="F30" s="230" t="n">
        <x:f>IF(E30=0,"",COUNTIFS(WorkforceData[Cohort Month],A30,WorkforceData[Training Date],"&lt;="&amp;DATE(2026,8,17)-60,WorkforceData[Total Days Worked],"&gt;="&amp;60)/E30)</x:f>
        <x:v>0.8596491319444445</x:v>
      </x:c>
      <x:c r="G30" s="226" t="n">
        <x:f>COUNTIFS(WorkforceData[Cohort Month],A30,WorkforceData[Training Date],"&lt;="&amp;DATE(2026,8,17)-90)</x:f>
        <x:v>57</x:v>
      </x:c>
      <x:c r="H30" s="231" t="n">
        <x:f>IF(G30=0,"",COUNTIFS(WorkforceData[Cohort Month],A30,WorkforceData[Training Date],"&lt;="&amp;DATE(2026,8,17)-90,WorkforceData[Total Days Worked],"&gt;="&amp;90)/G30)</x:f>
        <x:v>0.8421052662037037</x:v>
      </x:c>
      <x:c r="I30" s="226" t="n">
        <x:f>COUNTIFS(WorkforceData[Cohort Month],A30,WorkforceData[Training Date],"&lt;="&amp;DATE(2026,8,17)-121)</x:f>
        <x:v>31</x:v>
      </x:c>
      <x:c r="J30" s="231" t="n">
        <x:f>IF(I30=0,"",COUNTIFS(WorkforceData[Cohort Month],A30,WorkforceData[Training Date],"&lt;="&amp;DATE(2026,8,17)-121,WorkforceData[Total Days Worked],"&gt;="&amp;121)/I30)</x:f>
        <x:v>0.8387096875</x:v>
      </x:c>
    </x:row>
    <x:row r="31">
      <x:c r="A31" s="223">
        <x:v>46173</x:v>
      </x:c>
      <x:c r="B31" s="89" t="n">
        <x:f>COUNTIF(WorkforceData[Cohort Month],A31)</x:f>
        <x:v>24</x:v>
      </x:c>
      <x:c r="C31" s="227" t="n">
        <x:f>COUNTIFS(WorkforceData[Cohort Month],A31,WorkforceData[Training Date],"&lt;="&amp;DATE(2026,8,17)-30)</x:f>
        <x:v>24</x:v>
      </x:c>
      <x:c r="D31" s="230" t="n">
        <x:f>IF(C31=0,"",COUNTIFS(WorkforceData[Cohort Month],A31,WorkforceData[Training Date],"&lt;="&amp;DATE(2026,8,17)-30,WorkforceData[Total Days Worked],"&gt;="&amp;30)/C31)</x:f>
        <x:v>0.9583333333333334</x:v>
      </x:c>
      <x:c r="E31" s="227" t="n">
        <x:f>COUNTIFS(WorkforceData[Cohort Month],A31,WorkforceData[Training Date],"&lt;="&amp;DATE(2026,8,17)-60)</x:f>
        <x:v>24</x:v>
      </x:c>
      <x:c r="F31" s="230" t="n">
        <x:f>IF(E31=0,"",COUNTIFS(WorkforceData[Cohort Month],A31,WorkforceData[Training Date],"&lt;="&amp;DATE(2026,8,17)-60,WorkforceData[Total Days Worked],"&gt;="&amp;60)/E31)</x:f>
        <x:v>0.9583333333333334</x:v>
      </x:c>
      <x:c r="G31" s="227" t="n">
        <x:f>COUNTIFS(WorkforceData[Cohort Month],A31,WorkforceData[Training Date],"&lt;="&amp;DATE(2026,8,17)-90)</x:f>
        <x:v>11</x:v>
      </x:c>
      <x:c r="H31" s="230" t="n">
        <x:f>IF(G31=0,"",COUNTIFS(WorkforceData[Cohort Month],A31,WorkforceData[Training Date],"&lt;="&amp;DATE(2026,8,17)-90,WorkforceData[Total Days Worked],"&gt;="&amp;90)/G31)</x:f>
        <x:v>1</x:v>
      </x:c>
      <x:c r="I31" s="227" t="n">
        <x:f>COUNTIFS(WorkforceData[Cohort Month],A31,WorkforceData[Training Date],"&lt;="&amp;DATE(2026,8,17)-121)</x:f>
        <x:v>0</x:v>
      </x:c>
      <x:c r="J31" s="232" t="str">
        <x:f>IF(I31=0,"",COUNTIFS(WorkforceData[Cohort Month],A31,WorkforceData[Training Date],"&lt;="&amp;DATE(2026,8,17)-121,WorkforceData[Total Days Worked],"&gt;="&amp;121)/I31)</x:f>
      </x:c>
    </x:row>
    <x:row r="32">
      <x:c r="A32" s="222">
        <x:v>46203</x:v>
      </x:c>
      <x:c r="B32" s="85" t="n">
        <x:f>COUNTIF(WorkforceData[Cohort Month],A32)</x:f>
        <x:v>35</x:v>
      </x:c>
      <x:c r="C32" s="226" t="n">
        <x:f>COUNTIFS(WorkforceData[Cohort Month],A32,WorkforceData[Training Date],"&lt;="&amp;DATE(2026,8,17)-30)</x:f>
        <x:v>35</x:v>
      </x:c>
      <x:c r="D32" s="231" t="n">
        <x:f>IF(C32=0,"",COUNTIFS(WorkforceData[Cohort Month],A32,WorkforceData[Training Date],"&lt;="&amp;DATE(2026,8,17)-30,WorkforceData[Total Days Worked],"&gt;="&amp;30)/C32)</x:f>
        <x:v>0.8285714351851852</x:v>
      </x:c>
      <x:c r="E32" s="226" t="n">
        <x:f>COUNTIFS(WorkforceData[Cohort Month],A32,WorkforceData[Training Date],"&lt;="&amp;DATE(2026,8,17)-60)</x:f>
        <x:v>0</x:v>
      </x:c>
      <x:c r="F32" s="235" t="str">
        <x:f>IF(E32=0,"",COUNTIFS(WorkforceData[Cohort Month],A32,WorkforceData[Training Date],"&lt;="&amp;DATE(2026,8,17)-60,WorkforceData[Total Days Worked],"&gt;="&amp;60)/E32)</x:f>
      </x:c>
      <x:c r="G32" s="226" t="n">
        <x:f>COUNTIFS(WorkforceData[Cohort Month],A32,WorkforceData[Training Date],"&lt;="&amp;DATE(2026,8,17)-90)</x:f>
        <x:v>0</x:v>
      </x:c>
      <x:c r="H32" s="235" t="str">
        <x:f>IF(G32=0,"",COUNTIFS(WorkforceData[Cohort Month],A32,WorkforceData[Training Date],"&lt;="&amp;DATE(2026,8,17)-90,WorkforceData[Total Days Worked],"&gt;="&amp;90)/G32)</x:f>
      </x:c>
      <x:c r="I32" s="226" t="n">
        <x:f>COUNTIFS(WorkforceData[Cohort Month],A32,WorkforceData[Training Date],"&lt;="&amp;DATE(2026,8,17)-121)</x:f>
        <x:v>0</x:v>
      </x:c>
      <x:c r="J32" s="235" t="str">
        <x:f>IF(I32=0,"",COUNTIFS(WorkforceData[Cohort Month],A32,WorkforceData[Training Date],"&lt;="&amp;DATE(2026,8,17)-121,WorkforceData[Total Days Worked],"&gt;="&amp;121)/I32)</x:f>
      </x:c>
    </x:row>
    <x:row r="33">
      <x:c r="A33" s="223">
        <x:v>46234</x:v>
      </x:c>
      <x:c r="B33" s="89" t="n">
        <x:f>COUNTIF(WorkforceData[Cohort Month],A33)</x:f>
        <x:v>16</x:v>
      </x:c>
      <x:c r="C33" s="227" t="n">
        <x:f>COUNTIFS(WorkforceData[Cohort Month],A33,WorkforceData[Training Date],"&lt;="&amp;DATE(2026,8,17)-30)</x:f>
        <x:v>0</x:v>
      </x:c>
      <x:c r="D33" s="232" t="str">
        <x:f>IF(C33=0,"",COUNTIFS(WorkforceData[Cohort Month],A33,WorkforceData[Training Date],"&lt;="&amp;DATE(2026,8,17)-30,WorkforceData[Total Days Worked],"&gt;="&amp;30)/C33)</x:f>
      </x:c>
      <x:c r="E33" s="227" t="n">
        <x:f>COUNTIFS(WorkforceData[Cohort Month],A33,WorkforceData[Training Date],"&lt;="&amp;DATE(2026,8,17)-60)</x:f>
        <x:v>0</x:v>
      </x:c>
      <x:c r="F33" s="232" t="str">
        <x:f>IF(E33=0,"",COUNTIFS(WorkforceData[Cohort Month],A33,WorkforceData[Training Date],"&lt;="&amp;DATE(2026,8,17)-60,WorkforceData[Total Days Worked],"&gt;="&amp;60)/E33)</x:f>
      </x:c>
      <x:c r="G33" s="227" t="n">
        <x:f>COUNTIFS(WorkforceData[Cohort Month],A33,WorkforceData[Training Date],"&lt;="&amp;DATE(2026,8,17)-90)</x:f>
        <x:v>0</x:v>
      </x:c>
      <x:c r="H33" s="232" t="str">
        <x:f>IF(G33=0,"",COUNTIFS(WorkforceData[Cohort Month],A33,WorkforceData[Training Date],"&lt;="&amp;DATE(2026,8,17)-90,WorkforceData[Total Days Worked],"&gt;="&amp;90)/G33)</x:f>
      </x:c>
      <x:c r="I33" s="227" t="n">
        <x:f>COUNTIFS(WorkforceData[Cohort Month],A33,WorkforceData[Training Date],"&lt;="&amp;DATE(2026,8,17)-121)</x:f>
        <x:v>0</x:v>
      </x:c>
      <x:c r="J33" s="232" t="str">
        <x:f>IF(I33=0,"",COUNTIFS(WorkforceData[Cohort Month],A33,WorkforceData[Training Date],"&lt;="&amp;DATE(2026,8,17)-121,WorkforceData[Total Days Worked],"&gt;="&amp;121)/I33)</x:f>
      </x:c>
    </x:row>
  </x:sheetData>
  <x:mergeCells>
    <x:mergeCell ref="A1:J1"/>
    <x:mergeCell ref="A2:J2"/>
    <x:mergeCell ref="A3:J3"/>
  </x:mergeCells>
  <x:conditionalFormatting sqref="A6:J33">
    <x:cfRule type="expression" dxfId="0" priority="1">
      <x:formula>MOD(ROW()-6,2)=1</x:formula>
    </x:cfRule>
  </x:conditionalFormatting>
  <x:conditionalFormatting sqref="D6:D33">
    <x:cfRule type="colorScale" priority="2">
      <x:colorScale>
        <x:cfvo type="min"/>
        <x:cfvo type="percentile" val="70"/>
        <x:cfvo type="max"/>
        <x:color rgb="FFF3F3F3"/>
        <x:color rgb="FF95A78D"/>
        <x:color rgb="FF1B4332"/>
      </x:colorScale>
    </x:cfRule>
  </x:conditionalFormatting>
  <x:conditionalFormatting sqref="F6:F33">
    <x:cfRule type="colorScale" priority="3">
      <x:colorScale>
        <x:cfvo type="min"/>
        <x:cfvo type="percentile" val="70"/>
        <x:cfvo type="max"/>
        <x:color rgb="FFF3F3F3"/>
        <x:color rgb="FF95A78D"/>
        <x:color rgb="FF1B4332"/>
      </x:colorScale>
    </x:cfRule>
  </x:conditionalFormatting>
  <x:conditionalFormatting sqref="H6:H33">
    <x:cfRule type="colorScale" priority="4">
      <x:colorScale>
        <x:cfvo type="min"/>
        <x:cfvo type="percentile" val="70"/>
        <x:cfvo type="max"/>
        <x:color rgb="FFF3F3F3"/>
        <x:color rgb="FF95A78D"/>
        <x:color rgb="FF1B4332"/>
      </x:colorScale>
    </x:cfRule>
  </x:conditionalFormatting>
  <x:conditionalFormatting sqref="J6:J33">
    <x:cfRule type="colorScale" priority="5">
      <x:colorScale>
        <x:cfvo type="min"/>
        <x:cfvo type="percentile" val="70"/>
        <x:cfvo type="max"/>
        <x:color rgb="FFF3F3F3"/>
        <x:color rgb="FF95A78D"/>
        <x:color rgb="FF1B4332"/>
      </x:colorScale>
    </x:cfRule>
  </x:conditionalFormatting>
  <x:pageMargins left="0.7" right="0.7" top="0.75" bottom="0.75" header="0.3" footer="0.3"/>
</x:worksheet>
</file>

<file path=xl/worksheets/sheet11.xml><?xml version="1.0" encoding="utf-8"?>
<x:worksheet xmlns:x="http://schemas.openxmlformats.org/spreadsheetml/2006/main">
  <x:sheetFormatPr defaultRowHeight="14.5"/>
  <x:cols>
    <x:col min="1" max="1" width="26.36328125" customWidth="1"/>
    <x:col min="2" max="8" width="14.90625" customWidth="1"/>
  </x:cols>
  <x:sheetData>
    <x:row r="1" ht="32" customHeight="1">
      <x:c r="A1" s="79" t="s">
        <x:v>163</x:v>
      </x:c>
      <x:c r="B1" s="79"/>
      <x:c r="C1" s="79"/>
      <x:c r="D1" s="79"/>
      <x:c r="E1" s="79"/>
      <x:c r="F1" s="79"/>
      <x:c r="G1" s="79"/>
      <x:c r="H1" s="79"/>
    </x:row>
    <x:row r="2">
      <x:c r="A2" s="81" t="s">
        <x:v>164</x:v>
      </x:c>
      <x:c r="B2" s="81"/>
      <x:c r="C2" s="81"/>
      <x:c r="D2" s="81"/>
      <x:c r="E2" s="81"/>
      <x:c r="F2" s="81"/>
      <x:c r="G2" s="81"/>
      <x:c r="H2" s="81"/>
    </x:row>
    <x:row r="3" ht="45" customHeight="1">
      <x:c r="A3" s="82" t="s">
        <x:v>165</x:v>
      </x:c>
      <x:c r="B3" s="80"/>
      <x:c r="C3" s="80"/>
      <x:c r="D3" s="80"/>
      <x:c r="E3" s="80"/>
      <x:c r="F3" s="80"/>
      <x:c r="G3" s="80"/>
      <x:c r="H3" s="80"/>
    </x:row>
    <x:row r="5">
      <x:c r="A5" s="83" t="s">
        <x:v>166</x:v>
      </x:c>
      <x:c r="B5" s="83" t="s">
        <x:v>54</x:v>
      </x:c>
      <x:c r="C5" s="83" t="s">
        <x:v>167</x:v>
      </x:c>
    </x:row>
    <x:row r="6">
      <x:c r="A6" s="84" t="s">
        <x:v>168</x:v>
      </x:c>
      <x:c r="B6" s="85" t="n">
        <x:f>ROWS(WorkforceData[Employee Number])</x:f>
        <x:v>1050</x:v>
      </x:c>
      <x:c r="C6" s="86" t="n">
        <x:f>1</x:f>
        <x:v>1</x:v>
      </x:c>
    </x:row>
    <x:row r="7">
      <x:c r="A7" s="91" t="s">
        <x:v>106</x:v>
      </x:c>
      <x:c r="B7" s="89" t="n">
        <x:f>COUNTIF(WorkforceData[First Assignment],"&lt;&gt;")</x:f>
        <x:v>967</x:v>
      </x:c>
      <x:c r="C7" s="90" t="n">
        <x:f>B7/B6</x:f>
        <x:v>0.920952380952381</x:v>
      </x:c>
    </x:row>
    <x:row r="8">
      <x:c r="A8" s="84" t="s">
        <x:v>169</x:v>
      </x:c>
      <x:c r="B8" s="85" t="n">
        <x:f>COUNTIFS(WorkforceData[First Assignment],"&lt;&gt;",WorkforceData[Days Between Training and Assignment],"&lt;=7")</x:f>
        <x:v>444</x:v>
      </x:c>
      <x:c r="C8" s="86" t="n">
        <x:f>B8/B7</x:f>
        <x:v>0.4591520165460186</x:v>
      </x:c>
    </x:row>
    <x:row r="9">
      <x:c r="A9" s="91" t="s">
        <x:v>170</x:v>
      </x:c>
      <x:c r="B9" s="89" t="n">
        <x:f>COUNTIFS(WorkforceData[First Assignment],"&lt;&gt;",WorkforceData[Days Between Training and Assignment],"&lt;=7",WorkforceData[Total Days Worked],"&gt;=121")</x:f>
        <x:v>293</x:v>
      </x:c>
      <x:c r="C9" s="90" t="n">
        <x:f>B9/B8</x:f>
        <x:v>0.6599099099099099</x:v>
      </x:c>
    </x:row>
    <x:row r="10">
      <x:c r="A10" s="84" t="s">
        <x:v>26</x:v>
      </x:c>
      <x:c r="B10" s="85" t="n">
        <x:f>COUNTIFS(WorkforceData[First Assignment],"&lt;&gt;",WorkforceData[Days Between Training and Assignment],"&lt;=7",WorkforceData[Total Days Worked],"&gt;=121",WorkforceData[Promoted],"Yes")</x:f>
        <x:v>251</x:v>
      </x:c>
      <x:c r="C10" s="86" t="n">
        <x:f>B10/B9</x:f>
        <x:v>0.856655290102389</x:v>
      </x:c>
    </x:row>
  </x:sheetData>
  <x:mergeCells>
    <x:mergeCell ref="A1:H1"/>
    <x:mergeCell ref="A2:H2"/>
    <x:mergeCell ref="A3:H3"/>
  </x:mergeCells>
  <x:conditionalFormatting sqref="A6:C10">
    <x:cfRule type="expression" priority="1">
      <x:formula>MOD(ROW()-6,2)=1</x:formula>
    </x:cfRule>
  </x:conditionalFormatting>
  <x:pageMargins left="0.7" right="0.7" top="0.75" bottom="0.75" header="0.3" footer="0.3"/>
</x:worksheet>
</file>

<file path=xl/worksheets/sheet12.xml><?xml version="1.0" encoding="utf-8"?>
<x:worksheet xmlns:x="http://schemas.openxmlformats.org/spreadsheetml/2006/main">
  <x:sheetFormatPr defaultRowHeight="14.5"/>
  <x:cols>
    <x:col min="1" max="1" width="19.08984375" customWidth="1"/>
    <x:col min="2" max="8" width="14.90625" customWidth="1"/>
  </x:cols>
  <x:sheetData>
    <x:row r="1" ht="32" customHeight="1">
      <x:c r="A1" s="79" t="s">
        <x:v>171</x:v>
      </x:c>
      <x:c r="B1" s="79"/>
      <x:c r="C1" s="79"/>
      <x:c r="D1" s="79"/>
      <x:c r="E1" s="79"/>
      <x:c r="F1" s="79"/>
      <x:c r="G1" s="79"/>
      <x:c r="H1" s="79"/>
    </x:row>
    <x:row r="2">
      <x:c r="A2" s="108" t="s">
        <x:v>172</x:v>
      </x:c>
      <x:c r="B2" s="108"/>
      <x:c r="C2" s="108"/>
      <x:c r="D2" s="108"/>
      <x:c r="E2" s="108"/>
      <x:c r="F2" s="108"/>
      <x:c r="G2" s="108"/>
      <x:c r="H2" s="108"/>
    </x:row>
    <x:row r="3" ht="45" customHeight="1">
      <x:c r="A3" s="109" t="s">
        <x:v>173</x:v>
      </x:c>
      <x:c r="B3" s="110"/>
      <x:c r="C3" s="110"/>
      <x:c r="D3" s="110"/>
      <x:c r="E3" s="110"/>
      <x:c r="F3" s="110"/>
      <x:c r="G3" s="110"/>
      <x:c r="H3" s="110"/>
    </x:row>
    <x:row r="5">
      <x:c r="A5" s="83" t="s">
        <x:v>75</x:v>
      </x:c>
      <x:c r="B5" s="83" t="s">
        <x:v>54</x:v>
      </x:c>
      <x:c r="C5" s="83" t="s">
        <x:v>174</x:v>
      </x:c>
      <x:c r="D5" s="83" t="s">
        <x:v>40</x:v>
      </x:c>
      <x:c r="E5" s="83" t="s">
        <x:v>175</x:v>
      </x:c>
      <x:c r="F5" s="83" t="s">
        <x:v>176</x:v>
      </x:c>
      <x:c r="G5" s="83" t="s">
        <x:v>177</x:v>
      </x:c>
      <x:c r="H5" s="83" t="s">
        <x:v>178</x:v>
      </x:c>
    </x:row>
    <x:row r="6">
      <x:c r="A6" s="84" t="str">
        <x:v>Recruiter A</x:v>
      </x:c>
      <x:c r="B6" s="85" t="n">
        <x:f>COUNTIF(WorkforceData[Recruiter],A6)</x:f>
        <x:v>138</x:v>
      </x:c>
      <x:c r="C6" s="85" t="n">
        <x:f>SUMIFS(WorkforceData[Success Flag],WorkforceData[Recruiter],A6)</x:f>
        <x:v>95</x:v>
      </x:c>
      <x:c r="D6" s="86" t="n">
        <x:f>C6/B6</x:f>
        <x:v>0.6884057971014492</x:v>
      </x:c>
      <x:c r="E6" s="86" t="n">
        <x:f>SUM(WorkforceData[Success Flag])/ROWS(WorkforceData[Employee Number])</x:f>
        <x:v>0.6961904761904761</x:v>
      </x:c>
      <x:c r="F6" s="86" t="n">
        <x:f>MAX(0,E6-1.96*SQRT(E6*(1-E6)/B6))</x:f>
        <x:v>0.6194576385419767</x:v>
      </x:c>
      <x:c r="G6" s="86" t="n">
        <x:f>MIN(1,E6+1.96*SQRT(E6*(1-E6)/B6))</x:f>
        <x:v>0.7729233138389756</x:v>
      </x:c>
      <x:c r="H6" s="84" t="str">
        <x:f>IF(D6&gt;G6,"Above",IF(D6&lt;F6,"Below","Within"))</x:f>
        <x:v>Within</x:v>
      </x:c>
    </x:row>
    <x:row r="7">
      <x:c r="A7" s="91" t="str">
        <x:v>Recruiter B</x:v>
      </x:c>
      <x:c r="B7" s="89" t="n">
        <x:f>COUNTIF(WorkforceData[Recruiter],A7)</x:f>
        <x:v>136</x:v>
      </x:c>
      <x:c r="C7" s="89" t="n">
        <x:f>SUMIFS(WorkforceData[Success Flag],WorkforceData[Recruiter],A7)</x:f>
        <x:v>101</x:v>
      </x:c>
      <x:c r="D7" s="90" t="n">
        <x:f>C7/B7</x:f>
        <x:v>0.7426470588235294</x:v>
      </x:c>
      <x:c r="E7" s="90" t="n">
        <x:f>SUM(WorkforceData[Success Flag])/ROWS(WorkforceData[Employee Number])</x:f>
        <x:v>0.6961904761904761</x:v>
      </x:c>
      <x:c r="F7" s="90" t="n">
        <x:f>MAX(0,E7-1.96*SQRT(E7*(1-E7)/B7))</x:f>
        <x:v>0.6188954856959068</x:v>
      </x:c>
      <x:c r="G7" s="90" t="n">
        <x:f>MIN(1,E7+1.96*SQRT(E7*(1-E7)/B7))</x:f>
        <x:v>0.7734854666850455</x:v>
      </x:c>
      <x:c r="H7" s="91" t="str">
        <x:f>IF(D7&gt;G7,"Above",IF(D7&lt;F7,"Below","Within"))</x:f>
        <x:v>Within</x:v>
      </x:c>
    </x:row>
    <x:row r="8">
      <x:c r="A8" s="84" t="str">
        <x:v>Recruiter C</x:v>
      </x:c>
      <x:c r="B8" s="85" t="n">
        <x:f>COUNTIF(WorkforceData[Recruiter],A8)</x:f>
        <x:v>124</x:v>
      </x:c>
      <x:c r="C8" s="85" t="n">
        <x:f>SUMIFS(WorkforceData[Success Flag],WorkforceData[Recruiter],A8)</x:f>
        <x:v>87</x:v>
      </x:c>
      <x:c r="D8" s="86" t="n">
        <x:f>C8/B8</x:f>
        <x:v>0.7016129032258065</x:v>
      </x:c>
      <x:c r="E8" s="86" t="n">
        <x:f>SUM(WorkforceData[Success Flag])/ROWS(WorkforceData[Employee Number])</x:f>
        <x:v>0.6961904761904761</x:v>
      </x:c>
      <x:c r="F8" s="86" t="n">
        <x:f>MAX(0,E8-1.96*SQRT(E8*(1-E8)/B8))</x:f>
        <x:v>0.6152417610661041</x:v>
      </x:c>
      <x:c r="G8" s="86" t="n">
        <x:f>MIN(1,E8+1.96*SQRT(E8*(1-E8)/B8))</x:f>
        <x:v>0.7771391913148482</x:v>
      </x:c>
      <x:c r="H8" s="84" t="str">
        <x:f>IF(D8&gt;G8,"Above",IF(D8&lt;F8,"Below","Within"))</x:f>
        <x:v>Within</x:v>
      </x:c>
    </x:row>
    <x:row r="9">
      <x:c r="A9" s="91" t="str">
        <x:v>Recruiter D</x:v>
      </x:c>
      <x:c r="B9" s="89" t="n">
        <x:f>COUNTIF(WorkforceData[Recruiter],A9)</x:f>
        <x:v>122</x:v>
      </x:c>
      <x:c r="C9" s="89" t="n">
        <x:f>SUMIFS(WorkforceData[Success Flag],WorkforceData[Recruiter],A9)</x:f>
        <x:v>82</x:v>
      </x:c>
      <x:c r="D9" s="90" t="n">
        <x:f>C9/B9</x:f>
        <x:v>0.6721311475409836</x:v>
      </x:c>
      <x:c r="E9" s="90" t="n">
        <x:f>SUM(WorkforceData[Success Flag])/ROWS(WorkforceData[Employee Number])</x:f>
        <x:v>0.6961904761904761</x:v>
      </x:c>
      <x:c r="F9" s="90" t="n">
        <x:f>MAX(0,E9-1.96*SQRT(E9*(1-E9)/B9))</x:f>
        <x:v>0.6145809442638988</x:v>
      </x:c>
      <x:c r="G9" s="90" t="n">
        <x:f>MIN(1,E9+1.96*SQRT(E9*(1-E9)/B9))</x:f>
        <x:v>0.7778000081170535</x:v>
      </x:c>
      <x:c r="H9" s="91" t="str">
        <x:f>IF(D9&gt;G9,"Above",IF(D9&lt;F9,"Below","Within"))</x:f>
        <x:v>Within</x:v>
      </x:c>
    </x:row>
    <x:row r="10">
      <x:c r="A10" s="84" t="str">
        <x:v>Recruiter E</x:v>
      </x:c>
      <x:c r="B10" s="85" t="n">
        <x:f>COUNTIF(WorkforceData[Recruiter],A10)</x:f>
        <x:v>118</x:v>
      </x:c>
      <x:c r="C10" s="85" t="n">
        <x:f>SUMIFS(WorkforceData[Success Flag],WorkforceData[Recruiter],A10)</x:f>
        <x:v>84</x:v>
      </x:c>
      <x:c r="D10" s="86" t="n">
        <x:f>C10/B10</x:f>
        <x:v>0.711864406779661</x:v>
      </x:c>
      <x:c r="E10" s="86" t="n">
        <x:f>SUM(WorkforceData[Success Flag])/ROWS(WorkforceData[Employee Number])</x:f>
        <x:v>0.6961904761904761</x:v>
      </x:c>
      <x:c r="F10" s="86" t="n">
        <x:f>MAX(0,E10-1.96*SQRT(E10*(1-E10)/B10))</x:f>
        <x:v>0.6132092594289911</x:v>
      </x:c>
      <x:c r="G10" s="86" t="n">
        <x:f>MIN(1,E10+1.96*SQRT(E10*(1-E10)/B10))</x:f>
        <x:v>0.7791716929519612</x:v>
      </x:c>
      <x:c r="H10" s="84" t="str">
        <x:f>IF(D10&gt;G10,"Above",IF(D10&lt;F10,"Below","Within"))</x:f>
        <x:v>Within</x:v>
      </x:c>
    </x:row>
    <x:row r="11">
      <x:c r="A11" s="91" t="str">
        <x:v>Recruiter F</x:v>
      </x:c>
      <x:c r="B11" s="89" t="n">
        <x:f>COUNTIF(WorkforceData[Recruiter],A11)</x:f>
        <x:v>138</x:v>
      </x:c>
      <x:c r="C11" s="89" t="n">
        <x:f>SUMIFS(WorkforceData[Success Flag],WorkforceData[Recruiter],A11)</x:f>
        <x:v>95</x:v>
      </x:c>
      <x:c r="D11" s="90" t="n">
        <x:f>C11/B11</x:f>
        <x:v>0.6884057971014492</x:v>
      </x:c>
      <x:c r="E11" s="90" t="n">
        <x:f>SUM(WorkforceData[Success Flag])/ROWS(WorkforceData[Employee Number])</x:f>
        <x:v>0.6961904761904761</x:v>
      </x:c>
      <x:c r="F11" s="90" t="n">
        <x:f>MAX(0,E11-1.96*SQRT(E11*(1-E11)/B11))</x:f>
        <x:v>0.6194576385419767</x:v>
      </x:c>
      <x:c r="G11" s="90" t="n">
        <x:f>MIN(1,E11+1.96*SQRT(E11*(1-E11)/B11))</x:f>
        <x:v>0.7729233138389756</x:v>
      </x:c>
      <x:c r="H11" s="91" t="str">
        <x:f>IF(D11&gt;G11,"Above",IF(D11&lt;F11,"Below","Within"))</x:f>
        <x:v>Within</x:v>
      </x:c>
    </x:row>
    <x:row r="12">
      <x:c r="A12" s="84" t="str">
        <x:v>Recruiter G</x:v>
      </x:c>
      <x:c r="B12" s="85" t="n">
        <x:f>COUNTIF(WorkforceData[Recruiter],A12)</x:f>
        <x:v>149</x:v>
      </x:c>
      <x:c r="C12" s="85" t="n">
        <x:f>SUMIFS(WorkforceData[Success Flag],WorkforceData[Recruiter],A12)</x:f>
        <x:v>102</x:v>
      </x:c>
      <x:c r="D12" s="86" t="n">
        <x:f>C12/B12</x:f>
        <x:v>0.6845637583892618</x:v>
      </x:c>
      <x:c r="E12" s="86" t="n">
        <x:f>SUM(WorkforceData[Success Flag])/ROWS(WorkforceData[Employee Number])</x:f>
        <x:v>0.6961904761904761</x:v>
      </x:c>
      <x:c r="F12" s="86" t="n">
        <x:f>MAX(0,E12-1.96*SQRT(E12*(1-E12)/B12))</x:f>
        <x:v>0.6223443585018102</x:v>
      </x:c>
      <x:c r="G12" s="86" t="n">
        <x:f>MIN(1,E12+1.96*SQRT(E12*(1-E12)/B12))</x:f>
        <x:v>0.770036593879142</x:v>
      </x:c>
      <x:c r="H12" s="84" t="str">
        <x:f>IF(D12&gt;G12,"Above",IF(D12&lt;F12,"Below","Within"))</x:f>
        <x:v>Within</x:v>
      </x:c>
    </x:row>
    <x:row r="13">
      <x:c r="A13" s="91" t="str">
        <x:v>Recruiter H</x:v>
      </x:c>
      <x:c r="B13" s="89" t="n">
        <x:f>COUNTIF(WorkforceData[Recruiter],A13)</x:f>
        <x:v>125</x:v>
      </x:c>
      <x:c r="C13" s="89" t="n">
        <x:f>SUMIFS(WorkforceData[Success Flag],WorkforceData[Recruiter],A13)</x:f>
        <x:v>85</x:v>
      </x:c>
      <x:c r="D13" s="90" t="n">
        <x:f>C13/B13</x:f>
        <x:v>0.68</x:v>
      </x:c>
      <x:c r="E13" s="90" t="n">
        <x:f>SUM(WorkforceData[Success Flag])/ROWS(WorkforceData[Employee Number])</x:f>
        <x:v>0.6961904761904761</x:v>
      </x:c>
      <x:c r="F13" s="90" t="n">
        <x:f>MAX(0,E13-1.96*SQRT(E13*(1-E13)/B13))</x:f>
        <x:v>0.6155662061197062</x:v>
      </x:c>
      <x:c r="G13" s="90" t="n">
        <x:f>MIN(1,E13+1.96*SQRT(E13*(1-E13)/B13))</x:f>
        <x:v>0.776814746261246</x:v>
      </x:c>
      <x:c r="H13" s="91" t="str">
        <x:f>IF(D13&gt;G13,"Above",IF(D13&lt;F13,"Below","Within"))</x:f>
        <x:v>Within</x:v>
      </x:c>
    </x:row>
    <x:row r="14">
      <x:c r="B14" s="2"/>
      <x:c r="C14" s="2"/>
      <x:c r="D14" s="1"/>
      <x:c r="E14" s="1"/>
      <x:c r="F14" s="1"/>
      <x:c r="G14" s="1"/>
    </x:row>
    <x:row r="15">
      <x:c r="B15" s="2"/>
      <x:c r="C15" s="2"/>
      <x:c r="D15" s="1"/>
      <x:c r="E15" s="1"/>
      <x:c r="F15" s="1"/>
      <x:c r="G15" s="1"/>
    </x:row>
    <x:row r="16">
      <x:c r="A16" s="83" t="str">
        <x:v>Region</x:v>
      </x:c>
      <x:c r="B16" s="92" t="s">
        <x:v>54</x:v>
      </x:c>
      <x:c r="C16" s="92" t="s">
        <x:v>174</x:v>
      </x:c>
      <x:c r="D16" s="93" t="s">
        <x:v>40</x:v>
      </x:c>
      <x:c r="E16" s="93" t="s">
        <x:v>175</x:v>
      </x:c>
      <x:c r="F16" s="93" t="s">
        <x:v>176</x:v>
      </x:c>
      <x:c r="G16" s="93" t="s">
        <x:v>177</x:v>
      </x:c>
      <x:c r="H16" s="83" t="s">
        <x:v>178</x:v>
      </x:c>
    </x:row>
    <x:row r="17">
      <x:c r="A17" s="84" t="str">
        <x:v>Region A</x:v>
      </x:c>
      <x:c r="B17" s="85" t="n">
        <x:f>COUNTIF(WorkforceData[First Assignment],A17)</x:f>
        <x:v>200</x:v>
      </x:c>
      <x:c r="C17" s="85" t="n">
        <x:f>SUMIFS(WorkforceData[Success Flag],WorkforceData[First Assignment],A17)</x:f>
        <x:v>136</x:v>
      </x:c>
      <x:c r="D17" s="86" t="n">
        <x:f>C17/B17</x:f>
        <x:v>0.68</x:v>
      </x:c>
      <x:c r="E17" s="86" t="n">
        <x:f>SUMIFS(WorkforceData[Success Flag],WorkforceData[First Assignment],"&lt;&gt;")/COUNTIF(WorkforceData[First Assignment],"&lt;&gt;")</x:f>
        <x:v>0.717683557394002</x:v>
      </x:c>
      <x:c r="F17" s="86" t="n">
        <x:f>MAX(0,E17-1.96*SQRT(E17*(1-E17)/B17))</x:f>
        <x:v>0.6552992068509024</x:v>
      </x:c>
      <x:c r="G17" s="86" t="n">
        <x:f>MIN(1,E17+1.96*SQRT(E17*(1-E17)/B17))</x:f>
        <x:v>0.7800679079371017</x:v>
      </x:c>
      <x:c r="H17" s="84" t="str">
        <x:f>IF(D17&gt;G17,"Above",IF(D17&lt;F17,"Below","Within"))</x:f>
        <x:v>Within</x:v>
      </x:c>
    </x:row>
    <x:row r="18">
      <x:c r="A18" s="91" t="str">
        <x:v>Region B</x:v>
      </x:c>
      <x:c r="B18" s="89" t="n">
        <x:f>COUNTIF(WorkforceData[First Assignment],A18)</x:f>
        <x:v>286</x:v>
      </x:c>
      <x:c r="C18" s="89" t="n">
        <x:f>SUMIFS(WorkforceData[Success Flag],WorkforceData[First Assignment],A18)</x:f>
        <x:v>216</x:v>
      </x:c>
      <x:c r="D18" s="90" t="n">
        <x:f>C18/B18</x:f>
        <x:v>0.7552447552447552</x:v>
      </x:c>
      <x:c r="E18" s="90" t="n">
        <x:f>SUMIFS(WorkforceData[Success Flag],WorkforceData[First Assignment],"&lt;&gt;")/COUNTIF(WorkforceData[First Assignment],"&lt;&gt;")</x:f>
        <x:v>0.717683557394002</x:v>
      </x:c>
      <x:c r="F18" s="90" t="n">
        <x:f>MAX(0,E18-1.96*SQRT(E18*(1-E18)/B18))</x:f>
        <x:v>0.6655151427028535</x:v>
      </x:c>
      <x:c r="G18" s="90" t="n">
        <x:f>MIN(1,E18+1.96*SQRT(E18*(1-E18)/B18))</x:f>
        <x:v>0.7698519720851505</x:v>
      </x:c>
      <x:c r="H18" s="91" t="str">
        <x:f>IF(D18&gt;G18,"Above",IF(D18&lt;F18,"Below","Within"))</x:f>
        <x:v>Within</x:v>
      </x:c>
    </x:row>
    <x:row r="19">
      <x:c r="A19" s="84" t="str">
        <x:v>Region C</x:v>
      </x:c>
      <x:c r="B19" s="85" t="n">
        <x:f>COUNTIF(WorkforceData[First Assignment],A19)</x:f>
        <x:v>147</x:v>
      </x:c>
      <x:c r="C19" s="85" t="n">
        <x:f>SUMIFS(WorkforceData[Success Flag],WorkforceData[First Assignment],A19)</x:f>
        <x:v>107</x:v>
      </x:c>
      <x:c r="D19" s="86" t="n">
        <x:f>C19/B19</x:f>
        <x:v>0.7278911564625851</x:v>
      </x:c>
      <x:c r="E19" s="86" t="n">
        <x:f>SUMIFS(WorkforceData[Success Flag],WorkforceData[First Assignment],"&lt;&gt;")/COUNTIF(WorkforceData[First Assignment],"&lt;&gt;")</x:f>
        <x:v>0.717683557394002</x:v>
      </x:c>
      <x:c r="F19" s="86" t="n">
        <x:f>MAX(0,E19-1.96*SQRT(E19*(1-E19)/B19))</x:f>
        <x:v>0.6449169732199483</x:v>
      </x:c>
      <x:c r="G19" s="86" t="n">
        <x:f>MIN(1,E19+1.96*SQRT(E19*(1-E19)/B19))</x:f>
        <x:v>0.7904501415680557</x:v>
      </x:c>
      <x:c r="H19" s="84" t="str">
        <x:f>IF(D19&gt;G19,"Above",IF(D19&lt;F19,"Below","Within"))</x:f>
        <x:v>Within</x:v>
      </x:c>
    </x:row>
    <x:row r="20">
      <x:c r="A20" s="91" t="str">
        <x:v>Region D</x:v>
      </x:c>
      <x:c r="B20" s="89" t="n">
        <x:f>COUNTIF(WorkforceData[First Assignment],A20)</x:f>
        <x:v>248</x:v>
      </x:c>
      <x:c r="C20" s="89" t="n">
        <x:f>SUMIFS(WorkforceData[Success Flag],WorkforceData[First Assignment],A20)</x:f>
        <x:v>176</x:v>
      </x:c>
      <x:c r="D20" s="90" t="n">
        <x:f>C20/B20</x:f>
        <x:v>0.7096774193548387</x:v>
      </x:c>
      <x:c r="E20" s="90" t="n">
        <x:f>SUMIFS(WorkforceData[Success Flag],WorkforceData[First Assignment],"&lt;&gt;")/COUNTIF(WorkforceData[First Assignment],"&lt;&gt;")</x:f>
        <x:v>0.717683557394002</x:v>
      </x:c>
      <x:c r="F20" s="90" t="n">
        <x:f>MAX(0,E20-1.96*SQRT(E20*(1-E20)/B20))</x:f>
        <x:v>0.661660756788814</x:v>
      </x:c>
      <x:c r="G20" s="90" t="n">
        <x:f>MIN(1,E20+1.96*SQRT(E20*(1-E20)/B20))</x:f>
        <x:v>0.7737063579991901</x:v>
      </x:c>
      <x:c r="H20" s="91" t="str">
        <x:f>IF(D20&gt;G20,"Above",IF(D20&lt;F20,"Below","Within"))</x:f>
        <x:v>Within</x:v>
      </x:c>
    </x:row>
    <x:row r="21">
      <x:c r="A21" s="84" t="str">
        <x:v>Region E</x:v>
      </x:c>
      <x:c r="B21" s="85" t="n">
        <x:f>COUNTIF(WorkforceData[First Assignment],A21)</x:f>
        <x:v>86</x:v>
      </x:c>
      <x:c r="C21" s="85" t="n">
        <x:f>SUMIFS(WorkforceData[Success Flag],WorkforceData[First Assignment],A21)</x:f>
        <x:v>59</x:v>
      </x:c>
      <x:c r="D21" s="86" t="n">
        <x:f>C21/B21</x:f>
        <x:v>0.686046511627907</x:v>
      </x:c>
      <x:c r="E21" s="86" t="n">
        <x:f>SUMIFS(WorkforceData[Success Flag],WorkforceData[First Assignment],"&lt;&gt;")/COUNTIF(WorkforceData[First Assignment],"&lt;&gt;")</x:f>
        <x:v>0.717683557394002</x:v>
      </x:c>
      <x:c r="F21" s="86" t="n">
        <x:f>MAX(0,E21-1.96*SQRT(E21*(1-E21)/B21))</x:f>
        <x:v>0.6225483147044946</x:v>
      </x:c>
      <x:c r="G21" s="86" t="n">
        <x:f>MIN(1,E21+1.96*SQRT(E21*(1-E21)/B21))</x:f>
        <x:v>0.8128188000835095</x:v>
      </x:c>
      <x:c r="H21" s="84" t="str">
        <x:f>IF(D21&gt;G21,"Above",IF(D21&lt;F21,"Below","Within"))</x:f>
        <x:v>Within</x:v>
      </x:c>
    </x:row>
  </x:sheetData>
  <x:mergeCells>
    <x:mergeCell ref="A1:H1"/>
    <x:mergeCell ref="A2:H2"/>
    <x:mergeCell ref="A3:H3"/>
  </x:mergeCells>
  <x:pageMargins left="0.7" right="0.7" top="0.75" bottom="0.75" header="0.3" footer="0.3"/>
  <x:drawing xmlns:r="http://schemas.openxmlformats.org/officeDocument/2006/relationships" r:id="R4905938528f64945"/>
</x:worksheet>
</file>

<file path=xl/worksheets/sheet13.xml><?xml version="1.0" encoding="utf-8"?>
<x:worksheet xmlns:x="http://schemas.openxmlformats.org/spreadsheetml/2006/main">
  <x:sheetFormatPr defaultRowHeight="14.5"/>
  <x:cols>
    <x:col min="1" max="1" width="26.36328125" customWidth="1"/>
    <x:col min="2" max="4" width="14.90625" customWidth="1"/>
    <x:col min="5" max="5" width="18.26953125" customWidth="1"/>
    <x:col min="6" max="6" width="18.08984375" customWidth="1"/>
    <x:col min="7" max="8" width="14.90625" customWidth="1"/>
  </x:cols>
  <x:sheetData>
    <x:row r="1" ht="32" customHeight="1">
      <x:c r="A1" s="79" t="s">
        <x:v>179</x:v>
      </x:c>
      <x:c r="B1" s="79"/>
      <x:c r="C1" s="79"/>
      <x:c r="D1" s="79"/>
      <x:c r="E1" s="79"/>
      <x:c r="F1" s="79"/>
      <x:c r="G1" s="79"/>
      <x:c r="H1" s="79"/>
    </x:row>
    <x:row r="2">
      <x:c r="A2" s="81" t="s">
        <x:v>180</x:v>
      </x:c>
      <x:c r="B2" s="81"/>
      <x:c r="C2" s="81"/>
      <x:c r="D2" s="81"/>
      <x:c r="E2" s="81"/>
      <x:c r="F2" s="81"/>
      <x:c r="G2" s="81"/>
      <x:c r="H2" s="81"/>
    </x:row>
    <x:row r="3" ht="45" customHeight="1">
      <x:c r="A3" s="82" t="s">
        <x:v>181</x:v>
      </x:c>
      <x:c r="B3" s="80"/>
      <x:c r="C3" s="80"/>
      <x:c r="D3" s="80"/>
      <x:c r="E3" s="80"/>
      <x:c r="F3" s="80"/>
      <x:c r="G3" s="80"/>
      <x:c r="H3" s="80"/>
    </x:row>
    <x:row r="5">
      <x:c r="A5" s="83" t="s">
        <x:v>41</x:v>
      </x:c>
      <x:c r="B5" s="83" t="s">
        <x:v>54</x:v>
      </x:c>
      <x:c r="C5" s="83" t="s">
        <x:v>182</x:v>
      </x:c>
      <x:c r="D5" s="83" t="s">
        <x:v>76</x:v>
      </x:c>
      <x:c r="E5" s="83" t="s">
        <x:v>183</x:v>
      </x:c>
      <x:c r="F5" s="83" t="s">
        <x:v>184</x:v>
      </x:c>
    </x:row>
    <x:row r="6">
      <x:c r="A6" s="84" t="s">
        <x:v>42</x:v>
      </x:c>
      <x:c r="B6" s="85" t="n">
        <x:f>COUNTIF(WorkforceData[Assignment Timing],A6)</x:f>
        <x:v>708</x:v>
      </x:c>
      <x:c r="C6" s="86" t="n">
        <x:f>IFERROR(COUNTIFS(WorkforceData[Assignment Timing],A6,WorkforceData[Status],"Active")/B6,0)</x:f>
        <x:v>0.4350282485875706</x:v>
      </x:c>
      <x:c r="D6" s="86" t="n">
        <x:f>IFERROR(COUNTIFS(WorkforceData[Assignment Timing],A6,WorkforceData[Promoted],"Yes")/B6,0)</x:f>
        <x:v>0.5282485875706214</x:v>
      </x:c>
      <x:c r="E6" s="86" t="n">
        <x:f>IFERROR(SUMIFS(WorkforceData[Retained 121+ Flag],WorkforceData[Assignment Timing],A6)/B6,0)</x:f>
        <x:v>0.653954802259887</x:v>
      </x:c>
      <x:c r="F6" s="86" t="n">
        <x:f>IFERROR(SUMIFS(WorkforceData[Success Flag],WorkforceData[Assignment Timing],A6)/B6,0)</x:f>
        <x:v>0.6977401129943502</x:v>
      </x:c>
    </x:row>
    <x:row r="7">
      <x:c r="A7" s="91" t="s">
        <x:v>43</x:v>
      </x:c>
      <x:c r="B7" s="89" t="n">
        <x:f>COUNTIF(WorkforceData[Assignment Timing],A7)</x:f>
        <x:v>16</x:v>
      </x:c>
      <x:c r="C7" s="90" t="n">
        <x:f>IFERROR(COUNTIFS(WorkforceData[Assignment Timing],A7,WorkforceData[Status],"Active")/B7,0)</x:f>
        <x:v>0.5</x:v>
      </x:c>
      <x:c r="D7" s="90" t="n">
        <x:f>IFERROR(COUNTIFS(WorkforceData[Assignment Timing],A7,WorkforceData[Promoted],"Yes")/B7,0)</x:f>
        <x:v>0.5625</x:v>
      </x:c>
      <x:c r="E7" s="90" t="n">
        <x:f>IFERROR(SUMIFS(WorkforceData[Retained 121+ Flag],WorkforceData[Assignment Timing],A7)/B7,0)</x:f>
        <x:v>0.625</x:v>
      </x:c>
      <x:c r="F7" s="90" t="n">
        <x:f>IFERROR(SUMIFS(WorkforceData[Success Flag],WorkforceData[Assignment Timing],A7)/B7,0)</x:f>
        <x:v>0.6875</x:v>
      </x:c>
    </x:row>
    <x:row r="8">
      <x:c r="A8" s="84" t="s">
        <x:v>44</x:v>
      </x:c>
      <x:c r="B8" s="85" t="n">
        <x:f>COUNTIF(WorkforceData[Assignment Timing],A8)</x:f>
        <x:v>133</x:v>
      </x:c>
      <x:c r="C8" s="86" t="n">
        <x:f>IFERROR(COUNTIFS(WorkforceData[Assignment Timing],A8,WorkforceData[Status],"Active")/B8,0)</x:f>
        <x:v>0.47368421052631576</x:v>
      </x:c>
      <x:c r="D8" s="86" t="n">
        <x:f>IFERROR(COUNTIFS(WorkforceData[Assignment Timing],A8,WorkforceData[Promoted],"Yes")/B8,0)</x:f>
        <x:v>0.5488721804511278</x:v>
      </x:c>
      <x:c r="E8" s="86" t="n">
        <x:f>IFERROR(SUMIFS(WorkforceData[Retained 121+ Flag],WorkforceData[Assignment Timing],A8)/B8,0)</x:f>
        <x:v>0.6541353383458647</x:v>
      </x:c>
      <x:c r="F8" s="86" t="n">
        <x:f>IFERROR(SUMIFS(WorkforceData[Success Flag],WorkforceData[Assignment Timing],A8)/B8,0)</x:f>
        <x:v>0.6917293233082706</x:v>
      </x:c>
    </x:row>
    <x:row r="9">
      <x:c r="A9" s="91" t="s">
        <x:v>45</x:v>
      </x:c>
      <x:c r="B9" s="89" t="n">
        <x:f>COUNTIF(WorkforceData[Assignment Timing],A9)</x:f>
        <x:v>75</x:v>
      </x:c>
      <x:c r="C9" s="90" t="n">
        <x:f>IFERROR(COUNTIFS(WorkforceData[Assignment Timing],A9,WorkforceData[Status],"Active")/B9,0)</x:f>
        <x:v>0.3333333333333333</x:v>
      </x:c>
      <x:c r="D9" s="90" t="n">
        <x:f>IFERROR(COUNTIFS(WorkforceData[Assignment Timing],A9,WorkforceData[Promoted],"Yes")/B9,0)</x:f>
        <x:v>0.49333333333333335</x:v>
      </x:c>
      <x:c r="E9" s="90" t="n">
        <x:f>IFERROR(SUMIFS(WorkforceData[Retained 121+ Flag],WorkforceData[Assignment Timing],A9)/B9,0)</x:f>
        <x:v>0.56</x:v>
      </x:c>
      <x:c r="F9" s="90" t="n">
        <x:f>IFERROR(SUMIFS(WorkforceData[Success Flag],WorkforceData[Assignment Timing],A9)/B9,0)</x:f>
        <x:v>0.64</x:v>
      </x:c>
    </x:row>
    <x:row r="10">
      <x:c r="A10" s="84" t="s">
        <x:v>46</x:v>
      </x:c>
      <x:c r="B10" s="85" t="n">
        <x:f>COUNTIF(WorkforceData[Assignment Timing],A10)</x:f>
        <x:v>24</x:v>
      </x:c>
      <x:c r="C10" s="86" t="n">
        <x:f>IFERROR(COUNTIFS(WorkforceData[Assignment Timing],A10,WorkforceData[Status],"Active")/B10,0)</x:f>
        <x:v>0.375</x:v>
      </x:c>
      <x:c r="D10" s="86" t="n">
        <x:f>IFERROR(COUNTIFS(WorkforceData[Assignment Timing],A10,WorkforceData[Promoted],"Yes")/B10,0)</x:f>
        <x:v>0.5416666666666666</x:v>
      </x:c>
      <x:c r="E10" s="86" t="n">
        <x:f>IFERROR(SUMIFS(WorkforceData[Retained 121+ Flag],WorkforceData[Assignment Timing],A10)/B10,0)</x:f>
        <x:v>0.5833333333333334</x:v>
      </x:c>
      <x:c r="F10" s="86" t="n">
        <x:f>IFERROR(SUMIFS(WorkforceData[Success Flag],WorkforceData[Assignment Timing],A10)/B10,0)</x:f>
        <x:v>0.625</x:v>
      </x:c>
    </x:row>
    <x:row r="11">
      <x:c r="A11" s="91" t="s">
        <x:v>47</x:v>
      </x:c>
      <x:c r="B11" s="89" t="n">
        <x:f>COUNTIF(WorkforceData[Assignment Timing],A11)</x:f>
        <x:v>72</x:v>
      </x:c>
      <x:c r="C11" s="90" t="n">
        <x:f>IFERROR(COUNTIFS(WorkforceData[Assignment Timing],A11,WorkforceData[Status],"Active")/B11,0)</x:f>
        <x:v>0.5416666666666666</x:v>
      </x:c>
      <x:c r="D11" s="90" t="n">
        <x:f>IFERROR(COUNTIFS(WorkforceData[Assignment Timing],A11,WorkforceData[Promoted],"Yes")/B11,0)</x:f>
        <x:v>0.5972222222222222</x:v>
      </x:c>
      <x:c r="E11" s="90" t="n">
        <x:f>IFERROR(SUMIFS(WorkforceData[Retained 121+ Flag],WorkforceData[Assignment Timing],A11)/B11,0)</x:f>
        <x:v>0.8055555555555556</x:v>
      </x:c>
      <x:c r="F11" s="90" t="n">
        <x:f>IFERROR(SUMIFS(WorkforceData[Success Flag],WorkforceData[Assignment Timing],A11)/B11,0)</x:f>
        <x:v>0.8472222222222222</x:v>
      </x:c>
    </x:row>
    <x:row r="12">
      <x:c r="A12" s="84" t="s">
        <x:v>71</x:v>
      </x:c>
      <x:c r="B12" s="85" t="n">
        <x:f>COUNTIF(WorkforceData[Assignment Timing],A12)</x:f>
        <x:v>22</x:v>
      </x:c>
      <x:c r="C12" s="86" t="n">
        <x:f>IFERROR(COUNTIFS(WorkforceData[Assignment Timing],A12,WorkforceData[Status],"Active")/B12,0)</x:f>
        <x:v>0.18181818181818182</x:v>
      </x:c>
      <x:c r="D12" s="86" t="n">
        <x:f>IFERROR(COUNTIFS(WorkforceData[Assignment Timing],A12,WorkforceData[Promoted],"Yes")/B12,0)</x:f>
        <x:v>0</x:v>
      </x:c>
      <x:c r="E12" s="86" t="n">
        <x:f>IFERROR(SUMIFS(WorkforceData[Retained 121+ Flag],WorkforceData[Assignment Timing],A12)/B12,0)</x:f>
        <x:v>0.45454545454545453</x:v>
      </x:c>
      <x:c r="F12" s="86" t="n">
        <x:f>IFERROR(SUMIFS(WorkforceData[Success Flag],WorkforceData[Assignment Timing],A12)/B12,0)</x:f>
        <x:v>0.45454545454545453</x:v>
      </x:c>
    </x:row>
  </x:sheetData>
  <x:mergeCells>
    <x:mergeCell ref="A1:H1"/>
    <x:mergeCell ref="A2:H2"/>
    <x:mergeCell ref="A3:H3"/>
  </x:mergeCells>
  <x:pageMargins left="0.7" right="0.7" top="0.75" bottom="0.75" header="0.3" footer="0.3"/>
  <x:drawing xmlns:r="http://schemas.openxmlformats.org/officeDocument/2006/relationships" r:id="Rf4b110d1f42d4f56"/>
</x:worksheet>
</file>

<file path=xl/worksheets/sheet14.xml><?xml version="1.0" encoding="utf-8"?>
<x:worksheet xmlns:x="http://schemas.openxmlformats.org/spreadsheetml/2006/main">
  <x:sheetFormatPr defaultRowHeight="15"/>
  <x:cols>
    <x:col min="1" max="1" width="24" hidden="0" customWidth="1"/>
    <x:col min="2" max="2" width="70" hidden="0" customWidth="1"/>
    <x:col min="3" max="3" width="4" hidden="0" customWidth="1"/>
    <x:col min="4" max="4" width="4" hidden="0" customWidth="1"/>
  </x:cols>
  <x:sheetData>
    <x:row r="1" ht="28" customHeight="1">
      <x:c r="A1" s="335" t="str">
        <x:v>METHODOLOGY &amp; PORTFOLIO DATA NOTES</x:v>
      </x:c>
      <x:c r="B1" s="335"/>
      <x:c r="C1" s="335"/>
      <x:c r="D1" s="335"/>
    </x:row>
    <x:row r="3">
      <x:c r="A3" s="338" t="str">
        <x:v>Topic</x:v>
      </x:c>
      <x:c r="B3" s="338" t="str">
        <x:v>Portfolio treatment</x:v>
      </x:c>
    </x:row>
    <x:row r="4">
      <x:c r="A4" s="339" t="str">
        <x:v>Dataset</x:v>
      </x:c>
      <x:c r="B4" s="339" t="str">
        <x:v>1,050 fully synthetic trainee records. No real employee, recruiter, employer, or operating-location data is included.</x:v>
      </x:c>
    </x:row>
    <x:row r="5">
      <x:c r="A5" s="339" t="str">
        <x:v>Success metric</x:v>
      </x:c>
      <x:c r="B5" s="339" t="str">
        <x:v>Success = active employment OR promotion OR retention of at least 121 days. Conditions may overlap; outcome distribution should be used when mutually exclusive categories are needed.</x:v>
      </x:c>
    </x:row>
    <x:row r="6">
      <x:c r="A6" s="339" t="str">
        <x:v>Retention</x:v>
      </x:c>
      <x:c r="B6" s="339" t="str">
        <x:v>Survival Analysis treats active employees as right-censored so incomplete tenure is not counted as an exit.</x:v>
      </x:c>
    </x:row>
    <x:row r="7">
      <x:c r="A7" s="339" t="str">
        <x:v>Cohort maturity</x:v>
      </x:c>
      <x:c r="B7" s="339" t="str">
        <x:v>30/60/90/121-day retention rates include only cohorts that have had enough elapsed time to reach the milestone.</x:v>
      </x:c>
    </x:row>
    <x:row r="8">
      <x:c r="A8" s="339" t="str">
        <x:v>Performance comparisons</x:v>
      </x:c>
      <x:c r="B8" s="339" t="str">
        <x:v>Recruiter and region comparisons include sample size and 95% confidence limits. Descriptive leaders should not automatically be interpreted as statistically different.</x:v>
      </x:c>
    </x:row>
    <x:row r="9">
      <x:c r="A9" s="339" t="str">
        <x:v>Causality</x:v>
      </x:c>
      <x:c r="B9" s="339" t="str">
        <x:v>Observed relationships are descriptive or correlational. The workbook does not claim that training, placement timing, recruiter, or region independently caused an outcome.</x:v>
      </x:c>
    </x:row>
    <x:row r="10">
      <x:c r="A10" s="339" t="str">
        <x:v>Privacy</x:v>
      </x:c>
      <x:c r="B10" s="339" t="str">
        <x:v>Names, employee numbers, demographics, geography, real recruiter identities, training sites, and operating destinations were removed or replaced with generic synthetic labels.</x:v>
      </x:c>
    </x:row>
    <x:row r="12">
      <x:c r="A12" s="342" t="str">
        <x:v>Portfolio note: analytical techniques represented here are based on professional learning-and-performance practice, while every displayed value and finding belongs to this synthetic demonstration dataset.</x:v>
      </x:c>
      <x:c r="B12" s="342"/>
      <x:c r="C12" s="342"/>
      <x:c r="D12" s="342"/>
    </x:row>
  </x:sheetData>
  <x:mergeCells>
    <x:mergeCell ref="A1:D1"/>
    <x:mergeCell ref="A12:D12"/>
  </x:mergeCells>
  <x:pageMargins left="0.7" right="0.7" top="0.75" bottom="0.75" header="0.3" footer="0.3"/>
</x:worksheet>
</file>